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f1bf477d9e3eae/Desktop/Energy_grid_project/"/>
    </mc:Choice>
  </mc:AlternateContent>
  <xr:revisionPtr revIDLastSave="18" documentId="8_{F4990711-9807-4864-9F7A-A1319622D0AF}" xr6:coauthVersionLast="47" xr6:coauthVersionMax="47" xr10:uidLastSave="{3CC79964-1AB8-4824-8061-62F6AD08A143}"/>
  <bookViews>
    <workbookView xWindow="-108" yWindow="-108" windowWidth="23256" windowHeight="12456" xr2:uid="{C9B758EC-9C4D-49DE-BE20-8526749F2FF6}"/>
  </bookViews>
  <sheets>
    <sheet name="dashboard" sheetId="3" r:id="rId1"/>
    <sheet name="energy_timestamp_sql" sheetId="9" r:id="rId2"/>
    <sheet name="energy_grid_portfolio_dataset" sheetId="1" r:id="rId3"/>
    <sheet name="region id vs fuel" sheetId="5" r:id="rId4"/>
    <sheet name="Dashboard prequisites" sheetId="2" r:id="rId5"/>
    <sheet name="hour graph" sheetId="6" r:id="rId6"/>
    <sheet name="backup by region" sheetId="7" r:id="rId7"/>
    <sheet name="solar by tregion" sheetId="8" r:id="rId8"/>
  </sheets>
  <definedNames>
    <definedName name="ExternalData_1" localSheetId="1" hidden="1">energy_timestamp_sql!$A$1:$J$1009</definedName>
  </definedNames>
  <calcPr calcId="191029"/>
  <pivotCaches>
    <pivotCache cacheId="0" r:id="rId9"/>
    <pivotCache cacheId="1" r:id="rId10"/>
    <pivotCache cacheId="2" r:id="rId11"/>
    <pivotCache cacheId="3" r:id="rId12"/>
  </pivotCaches>
</workbook>
</file>

<file path=xl/calcChain.xml><?xml version="1.0" encoding="utf-8"?>
<calcChain xmlns="http://schemas.openxmlformats.org/spreadsheetml/2006/main">
  <c r="L3" i="9" l="1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508" i="9"/>
  <c r="L509" i="9"/>
  <c r="L510" i="9"/>
  <c r="L511" i="9"/>
  <c r="L512" i="9"/>
  <c r="L513" i="9"/>
  <c r="L514" i="9"/>
  <c r="L515" i="9"/>
  <c r="L516" i="9"/>
  <c r="L517" i="9"/>
  <c r="L518" i="9"/>
  <c r="L519" i="9"/>
  <c r="L520" i="9"/>
  <c r="L521" i="9"/>
  <c r="L522" i="9"/>
  <c r="L523" i="9"/>
  <c r="L524" i="9"/>
  <c r="L525" i="9"/>
  <c r="L526" i="9"/>
  <c r="L527" i="9"/>
  <c r="L528" i="9"/>
  <c r="L529" i="9"/>
  <c r="L530" i="9"/>
  <c r="L531" i="9"/>
  <c r="L532" i="9"/>
  <c r="L533" i="9"/>
  <c r="L534" i="9"/>
  <c r="L535" i="9"/>
  <c r="L536" i="9"/>
  <c r="L537" i="9"/>
  <c r="L538" i="9"/>
  <c r="L539" i="9"/>
  <c r="L540" i="9"/>
  <c r="L541" i="9"/>
  <c r="L542" i="9"/>
  <c r="L543" i="9"/>
  <c r="L544" i="9"/>
  <c r="L545" i="9"/>
  <c r="L546" i="9"/>
  <c r="L547" i="9"/>
  <c r="L548" i="9"/>
  <c r="L549" i="9"/>
  <c r="L550" i="9"/>
  <c r="L551" i="9"/>
  <c r="L552" i="9"/>
  <c r="L553" i="9"/>
  <c r="L554" i="9"/>
  <c r="L555" i="9"/>
  <c r="L556" i="9"/>
  <c r="L557" i="9"/>
  <c r="L558" i="9"/>
  <c r="L559" i="9"/>
  <c r="L560" i="9"/>
  <c r="L561" i="9"/>
  <c r="L562" i="9"/>
  <c r="L563" i="9"/>
  <c r="L564" i="9"/>
  <c r="L565" i="9"/>
  <c r="L566" i="9"/>
  <c r="L567" i="9"/>
  <c r="L568" i="9"/>
  <c r="L569" i="9"/>
  <c r="L570" i="9"/>
  <c r="L571" i="9"/>
  <c r="L572" i="9"/>
  <c r="L573" i="9"/>
  <c r="L574" i="9"/>
  <c r="L575" i="9"/>
  <c r="L576" i="9"/>
  <c r="L577" i="9"/>
  <c r="L578" i="9"/>
  <c r="L579" i="9"/>
  <c r="L580" i="9"/>
  <c r="L581" i="9"/>
  <c r="L582" i="9"/>
  <c r="L583" i="9"/>
  <c r="L584" i="9"/>
  <c r="L585" i="9"/>
  <c r="L586" i="9"/>
  <c r="L587" i="9"/>
  <c r="L588" i="9"/>
  <c r="L589" i="9"/>
  <c r="L590" i="9"/>
  <c r="L591" i="9"/>
  <c r="L592" i="9"/>
  <c r="L593" i="9"/>
  <c r="L594" i="9"/>
  <c r="L595" i="9"/>
  <c r="L596" i="9"/>
  <c r="L597" i="9"/>
  <c r="L598" i="9"/>
  <c r="L599" i="9"/>
  <c r="L600" i="9"/>
  <c r="L601" i="9"/>
  <c r="L602" i="9"/>
  <c r="L603" i="9"/>
  <c r="L604" i="9"/>
  <c r="L605" i="9"/>
  <c r="L606" i="9"/>
  <c r="L607" i="9"/>
  <c r="L608" i="9"/>
  <c r="L609" i="9"/>
  <c r="L610" i="9"/>
  <c r="L611" i="9"/>
  <c r="L612" i="9"/>
  <c r="L613" i="9"/>
  <c r="L614" i="9"/>
  <c r="L615" i="9"/>
  <c r="L616" i="9"/>
  <c r="L617" i="9"/>
  <c r="L618" i="9"/>
  <c r="L619" i="9"/>
  <c r="L620" i="9"/>
  <c r="L621" i="9"/>
  <c r="L622" i="9"/>
  <c r="L623" i="9"/>
  <c r="L624" i="9"/>
  <c r="L625" i="9"/>
  <c r="L626" i="9"/>
  <c r="L627" i="9"/>
  <c r="L628" i="9"/>
  <c r="L629" i="9"/>
  <c r="L630" i="9"/>
  <c r="L631" i="9"/>
  <c r="L632" i="9"/>
  <c r="L633" i="9"/>
  <c r="L634" i="9"/>
  <c r="L635" i="9"/>
  <c r="L636" i="9"/>
  <c r="L637" i="9"/>
  <c r="L638" i="9"/>
  <c r="L639" i="9"/>
  <c r="L640" i="9"/>
  <c r="L641" i="9"/>
  <c r="L642" i="9"/>
  <c r="L643" i="9"/>
  <c r="L644" i="9"/>
  <c r="L645" i="9"/>
  <c r="L646" i="9"/>
  <c r="L647" i="9"/>
  <c r="L648" i="9"/>
  <c r="L649" i="9"/>
  <c r="L650" i="9"/>
  <c r="L651" i="9"/>
  <c r="L652" i="9"/>
  <c r="L653" i="9"/>
  <c r="L654" i="9"/>
  <c r="L655" i="9"/>
  <c r="L656" i="9"/>
  <c r="L657" i="9"/>
  <c r="L658" i="9"/>
  <c r="L659" i="9"/>
  <c r="L660" i="9"/>
  <c r="L661" i="9"/>
  <c r="L662" i="9"/>
  <c r="L663" i="9"/>
  <c r="L664" i="9"/>
  <c r="L665" i="9"/>
  <c r="L666" i="9"/>
  <c r="L667" i="9"/>
  <c r="L668" i="9"/>
  <c r="L669" i="9"/>
  <c r="L670" i="9"/>
  <c r="L671" i="9"/>
  <c r="L672" i="9"/>
  <c r="L673" i="9"/>
  <c r="L674" i="9"/>
  <c r="L675" i="9"/>
  <c r="L676" i="9"/>
  <c r="L677" i="9"/>
  <c r="L678" i="9"/>
  <c r="L679" i="9"/>
  <c r="L680" i="9"/>
  <c r="L681" i="9"/>
  <c r="L682" i="9"/>
  <c r="L683" i="9"/>
  <c r="L684" i="9"/>
  <c r="L685" i="9"/>
  <c r="L686" i="9"/>
  <c r="L687" i="9"/>
  <c r="L688" i="9"/>
  <c r="L689" i="9"/>
  <c r="L690" i="9"/>
  <c r="L691" i="9"/>
  <c r="L692" i="9"/>
  <c r="L693" i="9"/>
  <c r="L694" i="9"/>
  <c r="L695" i="9"/>
  <c r="L696" i="9"/>
  <c r="L697" i="9"/>
  <c r="L698" i="9"/>
  <c r="L699" i="9"/>
  <c r="L700" i="9"/>
  <c r="L701" i="9"/>
  <c r="L702" i="9"/>
  <c r="L703" i="9"/>
  <c r="L704" i="9"/>
  <c r="L705" i="9"/>
  <c r="L706" i="9"/>
  <c r="L707" i="9"/>
  <c r="L708" i="9"/>
  <c r="L709" i="9"/>
  <c r="L710" i="9"/>
  <c r="L711" i="9"/>
  <c r="L712" i="9"/>
  <c r="L713" i="9"/>
  <c r="L714" i="9"/>
  <c r="L715" i="9"/>
  <c r="L716" i="9"/>
  <c r="L717" i="9"/>
  <c r="L718" i="9"/>
  <c r="L719" i="9"/>
  <c r="L720" i="9"/>
  <c r="L721" i="9"/>
  <c r="L722" i="9"/>
  <c r="L723" i="9"/>
  <c r="L724" i="9"/>
  <c r="L725" i="9"/>
  <c r="L726" i="9"/>
  <c r="L727" i="9"/>
  <c r="L728" i="9"/>
  <c r="L729" i="9"/>
  <c r="L730" i="9"/>
  <c r="L731" i="9"/>
  <c r="L732" i="9"/>
  <c r="L733" i="9"/>
  <c r="L734" i="9"/>
  <c r="L735" i="9"/>
  <c r="L736" i="9"/>
  <c r="L737" i="9"/>
  <c r="L738" i="9"/>
  <c r="L739" i="9"/>
  <c r="L740" i="9"/>
  <c r="L741" i="9"/>
  <c r="L742" i="9"/>
  <c r="L743" i="9"/>
  <c r="L744" i="9"/>
  <c r="L745" i="9"/>
  <c r="L746" i="9"/>
  <c r="L747" i="9"/>
  <c r="L748" i="9"/>
  <c r="L749" i="9"/>
  <c r="L750" i="9"/>
  <c r="L751" i="9"/>
  <c r="L752" i="9"/>
  <c r="L753" i="9"/>
  <c r="L754" i="9"/>
  <c r="L755" i="9"/>
  <c r="L756" i="9"/>
  <c r="L757" i="9"/>
  <c r="L758" i="9"/>
  <c r="L759" i="9"/>
  <c r="L760" i="9"/>
  <c r="L761" i="9"/>
  <c r="L762" i="9"/>
  <c r="L763" i="9"/>
  <c r="L764" i="9"/>
  <c r="L765" i="9"/>
  <c r="L766" i="9"/>
  <c r="L767" i="9"/>
  <c r="L768" i="9"/>
  <c r="L769" i="9"/>
  <c r="L770" i="9"/>
  <c r="L771" i="9"/>
  <c r="L772" i="9"/>
  <c r="L773" i="9"/>
  <c r="L774" i="9"/>
  <c r="L775" i="9"/>
  <c r="L776" i="9"/>
  <c r="L777" i="9"/>
  <c r="L778" i="9"/>
  <c r="L779" i="9"/>
  <c r="L780" i="9"/>
  <c r="L781" i="9"/>
  <c r="L782" i="9"/>
  <c r="L783" i="9"/>
  <c r="L784" i="9"/>
  <c r="L785" i="9"/>
  <c r="L786" i="9"/>
  <c r="L787" i="9"/>
  <c r="L788" i="9"/>
  <c r="L789" i="9"/>
  <c r="L790" i="9"/>
  <c r="L791" i="9"/>
  <c r="L792" i="9"/>
  <c r="L793" i="9"/>
  <c r="L794" i="9"/>
  <c r="L795" i="9"/>
  <c r="L796" i="9"/>
  <c r="L797" i="9"/>
  <c r="L798" i="9"/>
  <c r="L799" i="9"/>
  <c r="L800" i="9"/>
  <c r="L801" i="9"/>
  <c r="L802" i="9"/>
  <c r="L803" i="9"/>
  <c r="L804" i="9"/>
  <c r="L805" i="9"/>
  <c r="L806" i="9"/>
  <c r="L807" i="9"/>
  <c r="L808" i="9"/>
  <c r="L809" i="9"/>
  <c r="L810" i="9"/>
  <c r="L811" i="9"/>
  <c r="L812" i="9"/>
  <c r="L813" i="9"/>
  <c r="L814" i="9"/>
  <c r="L815" i="9"/>
  <c r="L816" i="9"/>
  <c r="L817" i="9"/>
  <c r="L818" i="9"/>
  <c r="L819" i="9"/>
  <c r="L820" i="9"/>
  <c r="L821" i="9"/>
  <c r="L822" i="9"/>
  <c r="L823" i="9"/>
  <c r="L824" i="9"/>
  <c r="L825" i="9"/>
  <c r="L826" i="9"/>
  <c r="L827" i="9"/>
  <c r="L828" i="9"/>
  <c r="L829" i="9"/>
  <c r="L830" i="9"/>
  <c r="L831" i="9"/>
  <c r="L832" i="9"/>
  <c r="L833" i="9"/>
  <c r="L834" i="9"/>
  <c r="L835" i="9"/>
  <c r="L836" i="9"/>
  <c r="L837" i="9"/>
  <c r="L838" i="9"/>
  <c r="L839" i="9"/>
  <c r="L840" i="9"/>
  <c r="L841" i="9"/>
  <c r="L842" i="9"/>
  <c r="L843" i="9"/>
  <c r="L844" i="9"/>
  <c r="L845" i="9"/>
  <c r="L846" i="9"/>
  <c r="L847" i="9"/>
  <c r="L848" i="9"/>
  <c r="L849" i="9"/>
  <c r="L850" i="9"/>
  <c r="L851" i="9"/>
  <c r="L852" i="9"/>
  <c r="L853" i="9"/>
  <c r="L854" i="9"/>
  <c r="L855" i="9"/>
  <c r="L856" i="9"/>
  <c r="L857" i="9"/>
  <c r="L858" i="9"/>
  <c r="L859" i="9"/>
  <c r="L860" i="9"/>
  <c r="L861" i="9"/>
  <c r="L862" i="9"/>
  <c r="L863" i="9"/>
  <c r="L864" i="9"/>
  <c r="L865" i="9"/>
  <c r="L866" i="9"/>
  <c r="L867" i="9"/>
  <c r="L868" i="9"/>
  <c r="L869" i="9"/>
  <c r="L870" i="9"/>
  <c r="L871" i="9"/>
  <c r="L872" i="9"/>
  <c r="L873" i="9"/>
  <c r="L874" i="9"/>
  <c r="L875" i="9"/>
  <c r="L876" i="9"/>
  <c r="L877" i="9"/>
  <c r="L878" i="9"/>
  <c r="L879" i="9"/>
  <c r="L880" i="9"/>
  <c r="L881" i="9"/>
  <c r="L882" i="9"/>
  <c r="L883" i="9"/>
  <c r="L884" i="9"/>
  <c r="L885" i="9"/>
  <c r="L886" i="9"/>
  <c r="L887" i="9"/>
  <c r="L888" i="9"/>
  <c r="L889" i="9"/>
  <c r="L890" i="9"/>
  <c r="L891" i="9"/>
  <c r="L892" i="9"/>
  <c r="L893" i="9"/>
  <c r="L894" i="9"/>
  <c r="L895" i="9"/>
  <c r="L896" i="9"/>
  <c r="L897" i="9"/>
  <c r="L898" i="9"/>
  <c r="L899" i="9"/>
  <c r="L900" i="9"/>
  <c r="L901" i="9"/>
  <c r="L902" i="9"/>
  <c r="L903" i="9"/>
  <c r="L904" i="9"/>
  <c r="L905" i="9"/>
  <c r="L906" i="9"/>
  <c r="L907" i="9"/>
  <c r="L908" i="9"/>
  <c r="L909" i="9"/>
  <c r="L910" i="9"/>
  <c r="L911" i="9"/>
  <c r="L912" i="9"/>
  <c r="L913" i="9"/>
  <c r="L914" i="9"/>
  <c r="L915" i="9"/>
  <c r="L916" i="9"/>
  <c r="L917" i="9"/>
  <c r="L918" i="9"/>
  <c r="L919" i="9"/>
  <c r="L920" i="9"/>
  <c r="L921" i="9"/>
  <c r="L922" i="9"/>
  <c r="L923" i="9"/>
  <c r="L924" i="9"/>
  <c r="L925" i="9"/>
  <c r="L926" i="9"/>
  <c r="L927" i="9"/>
  <c r="L928" i="9"/>
  <c r="L929" i="9"/>
  <c r="L930" i="9"/>
  <c r="L931" i="9"/>
  <c r="L932" i="9"/>
  <c r="L933" i="9"/>
  <c r="L934" i="9"/>
  <c r="L935" i="9"/>
  <c r="L936" i="9"/>
  <c r="L937" i="9"/>
  <c r="L938" i="9"/>
  <c r="L939" i="9"/>
  <c r="L940" i="9"/>
  <c r="L941" i="9"/>
  <c r="L942" i="9"/>
  <c r="L943" i="9"/>
  <c r="L944" i="9"/>
  <c r="L945" i="9"/>
  <c r="L946" i="9"/>
  <c r="L947" i="9"/>
  <c r="L948" i="9"/>
  <c r="L949" i="9"/>
  <c r="L950" i="9"/>
  <c r="L951" i="9"/>
  <c r="L952" i="9"/>
  <c r="L953" i="9"/>
  <c r="L954" i="9"/>
  <c r="L955" i="9"/>
  <c r="L956" i="9"/>
  <c r="L957" i="9"/>
  <c r="L958" i="9"/>
  <c r="L959" i="9"/>
  <c r="L960" i="9"/>
  <c r="L961" i="9"/>
  <c r="L962" i="9"/>
  <c r="L963" i="9"/>
  <c r="L964" i="9"/>
  <c r="L965" i="9"/>
  <c r="L966" i="9"/>
  <c r="L967" i="9"/>
  <c r="L968" i="9"/>
  <c r="L969" i="9"/>
  <c r="L970" i="9"/>
  <c r="L971" i="9"/>
  <c r="L972" i="9"/>
  <c r="L973" i="9"/>
  <c r="L974" i="9"/>
  <c r="L975" i="9"/>
  <c r="L976" i="9"/>
  <c r="L977" i="9"/>
  <c r="L978" i="9"/>
  <c r="L979" i="9"/>
  <c r="L980" i="9"/>
  <c r="L981" i="9"/>
  <c r="L982" i="9"/>
  <c r="L983" i="9"/>
  <c r="L984" i="9"/>
  <c r="L985" i="9"/>
  <c r="L986" i="9"/>
  <c r="L987" i="9"/>
  <c r="L988" i="9"/>
  <c r="L989" i="9"/>
  <c r="L990" i="9"/>
  <c r="L991" i="9"/>
  <c r="L992" i="9"/>
  <c r="L993" i="9"/>
  <c r="L994" i="9"/>
  <c r="L995" i="9"/>
  <c r="L996" i="9"/>
  <c r="L997" i="9"/>
  <c r="L998" i="9"/>
  <c r="L999" i="9"/>
  <c r="L1000" i="9"/>
  <c r="L1001" i="9"/>
  <c r="L1002" i="9"/>
  <c r="L1003" i="9"/>
  <c r="L1004" i="9"/>
  <c r="L1005" i="9"/>
  <c r="L1006" i="9"/>
  <c r="L1007" i="9"/>
  <c r="L1008" i="9"/>
  <c r="L1009" i="9"/>
  <c r="L2" i="9"/>
  <c r="K1009" i="9"/>
  <c r="K1008" i="9"/>
  <c r="K1007" i="9"/>
  <c r="K1006" i="9"/>
  <c r="K1005" i="9"/>
  <c r="K1004" i="9"/>
  <c r="K1003" i="9"/>
  <c r="K1002" i="9"/>
  <c r="K1001" i="9"/>
  <c r="K1000" i="9"/>
  <c r="K999" i="9"/>
  <c r="K998" i="9"/>
  <c r="K997" i="9"/>
  <c r="K996" i="9"/>
  <c r="K995" i="9"/>
  <c r="K994" i="9"/>
  <c r="K993" i="9"/>
  <c r="K992" i="9"/>
  <c r="K991" i="9"/>
  <c r="K990" i="9"/>
  <c r="K989" i="9"/>
  <c r="K988" i="9"/>
  <c r="K987" i="9"/>
  <c r="K986" i="9"/>
  <c r="K985" i="9"/>
  <c r="K984" i="9"/>
  <c r="K983" i="9"/>
  <c r="K982" i="9"/>
  <c r="K981" i="9"/>
  <c r="K980" i="9"/>
  <c r="K979" i="9"/>
  <c r="K978" i="9"/>
  <c r="K977" i="9"/>
  <c r="K976" i="9"/>
  <c r="K975" i="9"/>
  <c r="K974" i="9"/>
  <c r="K973" i="9"/>
  <c r="K972" i="9"/>
  <c r="K971" i="9"/>
  <c r="K970" i="9"/>
  <c r="K969" i="9"/>
  <c r="K968" i="9"/>
  <c r="K967" i="9"/>
  <c r="K966" i="9"/>
  <c r="K965" i="9"/>
  <c r="K964" i="9"/>
  <c r="K963" i="9"/>
  <c r="K962" i="9"/>
  <c r="K961" i="9"/>
  <c r="K960" i="9"/>
  <c r="K959" i="9"/>
  <c r="K958" i="9"/>
  <c r="K957" i="9"/>
  <c r="K956" i="9"/>
  <c r="K955" i="9"/>
  <c r="K954" i="9"/>
  <c r="K953" i="9"/>
  <c r="K952" i="9"/>
  <c r="K951" i="9"/>
  <c r="K950" i="9"/>
  <c r="K949" i="9"/>
  <c r="K948" i="9"/>
  <c r="K947" i="9"/>
  <c r="K946" i="9"/>
  <c r="K945" i="9"/>
  <c r="K944" i="9"/>
  <c r="K943" i="9"/>
  <c r="K942" i="9"/>
  <c r="K941" i="9"/>
  <c r="K940" i="9"/>
  <c r="K939" i="9"/>
  <c r="K938" i="9"/>
  <c r="K937" i="9"/>
  <c r="K936" i="9"/>
  <c r="K935" i="9"/>
  <c r="K934" i="9"/>
  <c r="K933" i="9"/>
  <c r="K932" i="9"/>
  <c r="K931" i="9"/>
  <c r="K930" i="9"/>
  <c r="K929" i="9"/>
  <c r="K928" i="9"/>
  <c r="K927" i="9"/>
  <c r="K926" i="9"/>
  <c r="K925" i="9"/>
  <c r="K924" i="9"/>
  <c r="K923" i="9"/>
  <c r="K922" i="9"/>
  <c r="K921" i="9"/>
  <c r="K920" i="9"/>
  <c r="K919" i="9"/>
  <c r="K918" i="9"/>
  <c r="K917" i="9"/>
  <c r="K916" i="9"/>
  <c r="K915" i="9"/>
  <c r="K914" i="9"/>
  <c r="K913" i="9"/>
  <c r="K912" i="9"/>
  <c r="K911" i="9"/>
  <c r="K910" i="9"/>
  <c r="K909" i="9"/>
  <c r="K908" i="9"/>
  <c r="K907" i="9"/>
  <c r="K906" i="9"/>
  <c r="K905" i="9"/>
  <c r="K904" i="9"/>
  <c r="K903" i="9"/>
  <c r="K902" i="9"/>
  <c r="K901" i="9"/>
  <c r="K900" i="9"/>
  <c r="K899" i="9"/>
  <c r="K898" i="9"/>
  <c r="K897" i="9"/>
  <c r="K896" i="9"/>
  <c r="K895" i="9"/>
  <c r="K894" i="9"/>
  <c r="K893" i="9"/>
  <c r="K892" i="9"/>
  <c r="K891" i="9"/>
  <c r="K890" i="9"/>
  <c r="K889" i="9"/>
  <c r="K888" i="9"/>
  <c r="K887" i="9"/>
  <c r="K886" i="9"/>
  <c r="K885" i="9"/>
  <c r="K884" i="9"/>
  <c r="K883" i="9"/>
  <c r="K882" i="9"/>
  <c r="K881" i="9"/>
  <c r="K880" i="9"/>
  <c r="K879" i="9"/>
  <c r="K878" i="9"/>
  <c r="K877" i="9"/>
  <c r="K876" i="9"/>
  <c r="K875" i="9"/>
  <c r="K874" i="9"/>
  <c r="K873" i="9"/>
  <c r="K872" i="9"/>
  <c r="K871" i="9"/>
  <c r="K870" i="9"/>
  <c r="K869" i="9"/>
  <c r="K868" i="9"/>
  <c r="K867" i="9"/>
  <c r="K866" i="9"/>
  <c r="K865" i="9"/>
  <c r="K864" i="9"/>
  <c r="K863" i="9"/>
  <c r="K862" i="9"/>
  <c r="K861" i="9"/>
  <c r="K860" i="9"/>
  <c r="K859" i="9"/>
  <c r="K858" i="9"/>
  <c r="K857" i="9"/>
  <c r="K856" i="9"/>
  <c r="K855" i="9"/>
  <c r="K854" i="9"/>
  <c r="K853" i="9"/>
  <c r="K852" i="9"/>
  <c r="K851" i="9"/>
  <c r="K850" i="9"/>
  <c r="K849" i="9"/>
  <c r="K848" i="9"/>
  <c r="K847" i="9"/>
  <c r="K846" i="9"/>
  <c r="K845" i="9"/>
  <c r="K844" i="9"/>
  <c r="K843" i="9"/>
  <c r="K842" i="9"/>
  <c r="K841" i="9"/>
  <c r="K840" i="9"/>
  <c r="K839" i="9"/>
  <c r="K838" i="9"/>
  <c r="K837" i="9"/>
  <c r="K836" i="9"/>
  <c r="K835" i="9"/>
  <c r="K834" i="9"/>
  <c r="K833" i="9"/>
  <c r="K832" i="9"/>
  <c r="K831" i="9"/>
  <c r="K830" i="9"/>
  <c r="K829" i="9"/>
  <c r="K828" i="9"/>
  <c r="K827" i="9"/>
  <c r="K826" i="9"/>
  <c r="K825" i="9"/>
  <c r="K824" i="9"/>
  <c r="K823" i="9"/>
  <c r="K822" i="9"/>
  <c r="K821" i="9"/>
  <c r="K820" i="9"/>
  <c r="K819" i="9"/>
  <c r="K818" i="9"/>
  <c r="K817" i="9"/>
  <c r="K816" i="9"/>
  <c r="K815" i="9"/>
  <c r="K814" i="9"/>
  <c r="K813" i="9"/>
  <c r="K812" i="9"/>
  <c r="K811" i="9"/>
  <c r="K810" i="9"/>
  <c r="K809" i="9"/>
  <c r="K808" i="9"/>
  <c r="K807" i="9"/>
  <c r="K806" i="9"/>
  <c r="K805" i="9"/>
  <c r="K804" i="9"/>
  <c r="K803" i="9"/>
  <c r="K802" i="9"/>
  <c r="K801" i="9"/>
  <c r="K800" i="9"/>
  <c r="K799" i="9"/>
  <c r="K798" i="9"/>
  <c r="K797" i="9"/>
  <c r="K796" i="9"/>
  <c r="K795" i="9"/>
  <c r="K794" i="9"/>
  <c r="K793" i="9"/>
  <c r="K792" i="9"/>
  <c r="K791" i="9"/>
  <c r="K790" i="9"/>
  <c r="K789" i="9"/>
  <c r="K788" i="9"/>
  <c r="K787" i="9"/>
  <c r="K786" i="9"/>
  <c r="K785" i="9"/>
  <c r="K784" i="9"/>
  <c r="K783" i="9"/>
  <c r="K782" i="9"/>
  <c r="K781" i="9"/>
  <c r="K780" i="9"/>
  <c r="K779" i="9"/>
  <c r="K778" i="9"/>
  <c r="K777" i="9"/>
  <c r="K776" i="9"/>
  <c r="K775" i="9"/>
  <c r="K774" i="9"/>
  <c r="K773" i="9"/>
  <c r="K772" i="9"/>
  <c r="K771" i="9"/>
  <c r="K770" i="9"/>
  <c r="K769" i="9"/>
  <c r="K768" i="9"/>
  <c r="K767" i="9"/>
  <c r="K766" i="9"/>
  <c r="K765" i="9"/>
  <c r="K764" i="9"/>
  <c r="K763" i="9"/>
  <c r="K762" i="9"/>
  <c r="K761" i="9"/>
  <c r="K760" i="9"/>
  <c r="K759" i="9"/>
  <c r="K758" i="9"/>
  <c r="K757" i="9"/>
  <c r="K756" i="9"/>
  <c r="K755" i="9"/>
  <c r="K754" i="9"/>
  <c r="K753" i="9"/>
  <c r="K752" i="9"/>
  <c r="K751" i="9"/>
  <c r="K750" i="9"/>
  <c r="K749" i="9"/>
  <c r="K748" i="9"/>
  <c r="K747" i="9"/>
  <c r="K746" i="9"/>
  <c r="K745" i="9"/>
  <c r="K744" i="9"/>
  <c r="K743" i="9"/>
  <c r="K742" i="9"/>
  <c r="K741" i="9"/>
  <c r="K740" i="9"/>
  <c r="K739" i="9"/>
  <c r="K738" i="9"/>
  <c r="K737" i="9"/>
  <c r="K736" i="9"/>
  <c r="K735" i="9"/>
  <c r="K734" i="9"/>
  <c r="K733" i="9"/>
  <c r="K732" i="9"/>
  <c r="K731" i="9"/>
  <c r="K730" i="9"/>
  <c r="K729" i="9"/>
  <c r="K728" i="9"/>
  <c r="K727" i="9"/>
  <c r="K726" i="9"/>
  <c r="K725" i="9"/>
  <c r="K724" i="9"/>
  <c r="K723" i="9"/>
  <c r="K722" i="9"/>
  <c r="K721" i="9"/>
  <c r="K720" i="9"/>
  <c r="K719" i="9"/>
  <c r="K718" i="9"/>
  <c r="K717" i="9"/>
  <c r="K716" i="9"/>
  <c r="K715" i="9"/>
  <c r="K714" i="9"/>
  <c r="K713" i="9"/>
  <c r="K712" i="9"/>
  <c r="K711" i="9"/>
  <c r="K710" i="9"/>
  <c r="K709" i="9"/>
  <c r="K708" i="9"/>
  <c r="K707" i="9"/>
  <c r="K706" i="9"/>
  <c r="K705" i="9"/>
  <c r="K704" i="9"/>
  <c r="K703" i="9"/>
  <c r="K702" i="9"/>
  <c r="K701" i="9"/>
  <c r="K700" i="9"/>
  <c r="K699" i="9"/>
  <c r="K698" i="9"/>
  <c r="K697" i="9"/>
  <c r="K696" i="9"/>
  <c r="K695" i="9"/>
  <c r="K694" i="9"/>
  <c r="K693" i="9"/>
  <c r="K692" i="9"/>
  <c r="K691" i="9"/>
  <c r="K690" i="9"/>
  <c r="K689" i="9"/>
  <c r="K688" i="9"/>
  <c r="K687" i="9"/>
  <c r="K686" i="9"/>
  <c r="K685" i="9"/>
  <c r="K684" i="9"/>
  <c r="K683" i="9"/>
  <c r="K682" i="9"/>
  <c r="K681" i="9"/>
  <c r="K680" i="9"/>
  <c r="K679" i="9"/>
  <c r="K678" i="9"/>
  <c r="K677" i="9"/>
  <c r="K676" i="9"/>
  <c r="K675" i="9"/>
  <c r="K674" i="9"/>
  <c r="K673" i="9"/>
  <c r="K672" i="9"/>
  <c r="K671" i="9"/>
  <c r="K670" i="9"/>
  <c r="K669" i="9"/>
  <c r="K668" i="9"/>
  <c r="K667" i="9"/>
  <c r="K666" i="9"/>
  <c r="K665" i="9"/>
  <c r="K664" i="9"/>
  <c r="K663" i="9"/>
  <c r="K662" i="9"/>
  <c r="K661" i="9"/>
  <c r="K660" i="9"/>
  <c r="K659" i="9"/>
  <c r="K658" i="9"/>
  <c r="K657" i="9"/>
  <c r="K656" i="9"/>
  <c r="K655" i="9"/>
  <c r="K654" i="9"/>
  <c r="K653" i="9"/>
  <c r="K652" i="9"/>
  <c r="K651" i="9"/>
  <c r="K650" i="9"/>
  <c r="K649" i="9"/>
  <c r="K648" i="9"/>
  <c r="K647" i="9"/>
  <c r="K646" i="9"/>
  <c r="K645" i="9"/>
  <c r="K644" i="9"/>
  <c r="K643" i="9"/>
  <c r="K642" i="9"/>
  <c r="K641" i="9"/>
  <c r="K640" i="9"/>
  <c r="K639" i="9"/>
  <c r="K638" i="9"/>
  <c r="K637" i="9"/>
  <c r="K636" i="9"/>
  <c r="K635" i="9"/>
  <c r="K634" i="9"/>
  <c r="K633" i="9"/>
  <c r="K632" i="9"/>
  <c r="K631" i="9"/>
  <c r="K630" i="9"/>
  <c r="K629" i="9"/>
  <c r="K628" i="9"/>
  <c r="K627" i="9"/>
  <c r="K626" i="9"/>
  <c r="K625" i="9"/>
  <c r="K624" i="9"/>
  <c r="K623" i="9"/>
  <c r="K622" i="9"/>
  <c r="K621" i="9"/>
  <c r="K620" i="9"/>
  <c r="K619" i="9"/>
  <c r="K618" i="9"/>
  <c r="K617" i="9"/>
  <c r="K616" i="9"/>
  <c r="K615" i="9"/>
  <c r="K614" i="9"/>
  <c r="K613" i="9"/>
  <c r="K612" i="9"/>
  <c r="K611" i="9"/>
  <c r="K610" i="9"/>
  <c r="K609" i="9"/>
  <c r="K608" i="9"/>
  <c r="K607" i="9"/>
  <c r="K606" i="9"/>
  <c r="K605" i="9"/>
  <c r="K604" i="9"/>
  <c r="K603" i="9"/>
  <c r="K602" i="9"/>
  <c r="K601" i="9"/>
  <c r="K600" i="9"/>
  <c r="K599" i="9"/>
  <c r="K598" i="9"/>
  <c r="K597" i="9"/>
  <c r="K596" i="9"/>
  <c r="K595" i="9"/>
  <c r="K594" i="9"/>
  <c r="K593" i="9"/>
  <c r="K592" i="9"/>
  <c r="K591" i="9"/>
  <c r="K590" i="9"/>
  <c r="K589" i="9"/>
  <c r="K588" i="9"/>
  <c r="K587" i="9"/>
  <c r="K586" i="9"/>
  <c r="K585" i="9"/>
  <c r="K584" i="9"/>
  <c r="K583" i="9"/>
  <c r="K582" i="9"/>
  <c r="K581" i="9"/>
  <c r="K580" i="9"/>
  <c r="K579" i="9"/>
  <c r="K578" i="9"/>
  <c r="K577" i="9"/>
  <c r="K576" i="9"/>
  <c r="K575" i="9"/>
  <c r="K574" i="9"/>
  <c r="K573" i="9"/>
  <c r="K572" i="9"/>
  <c r="K571" i="9"/>
  <c r="K570" i="9"/>
  <c r="K569" i="9"/>
  <c r="K568" i="9"/>
  <c r="K567" i="9"/>
  <c r="K566" i="9"/>
  <c r="K565" i="9"/>
  <c r="K564" i="9"/>
  <c r="K563" i="9"/>
  <c r="K562" i="9"/>
  <c r="K561" i="9"/>
  <c r="K560" i="9"/>
  <c r="K559" i="9"/>
  <c r="K558" i="9"/>
  <c r="K557" i="9"/>
  <c r="K556" i="9"/>
  <c r="K555" i="9"/>
  <c r="K554" i="9"/>
  <c r="K553" i="9"/>
  <c r="K552" i="9"/>
  <c r="K551" i="9"/>
  <c r="K550" i="9"/>
  <c r="K549" i="9"/>
  <c r="K548" i="9"/>
  <c r="K547" i="9"/>
  <c r="K546" i="9"/>
  <c r="K545" i="9"/>
  <c r="K544" i="9"/>
  <c r="K543" i="9"/>
  <c r="K542" i="9"/>
  <c r="K541" i="9"/>
  <c r="K540" i="9"/>
  <c r="K539" i="9"/>
  <c r="K538" i="9"/>
  <c r="K537" i="9"/>
  <c r="K536" i="9"/>
  <c r="K535" i="9"/>
  <c r="K534" i="9"/>
  <c r="K533" i="9"/>
  <c r="K532" i="9"/>
  <c r="K531" i="9"/>
  <c r="K530" i="9"/>
  <c r="K529" i="9"/>
  <c r="K528" i="9"/>
  <c r="K527" i="9"/>
  <c r="K526" i="9"/>
  <c r="K525" i="9"/>
  <c r="K524" i="9"/>
  <c r="K523" i="9"/>
  <c r="K522" i="9"/>
  <c r="K521" i="9"/>
  <c r="K520" i="9"/>
  <c r="K519" i="9"/>
  <c r="K518" i="9"/>
  <c r="K517" i="9"/>
  <c r="K516" i="9"/>
  <c r="K515" i="9"/>
  <c r="K514" i="9"/>
  <c r="K513" i="9"/>
  <c r="K512" i="9"/>
  <c r="K511" i="9"/>
  <c r="K510" i="9"/>
  <c r="K509" i="9"/>
  <c r="K508" i="9"/>
  <c r="K507" i="9"/>
  <c r="K506" i="9"/>
  <c r="K505" i="9"/>
  <c r="K504" i="9"/>
  <c r="K503" i="9"/>
  <c r="K502" i="9"/>
  <c r="K501" i="9"/>
  <c r="K500" i="9"/>
  <c r="K499" i="9"/>
  <c r="K498" i="9"/>
  <c r="K497" i="9"/>
  <c r="K496" i="9"/>
  <c r="K495" i="9"/>
  <c r="K494" i="9"/>
  <c r="K493" i="9"/>
  <c r="K492" i="9"/>
  <c r="K491" i="9"/>
  <c r="K490" i="9"/>
  <c r="K489" i="9"/>
  <c r="K488" i="9"/>
  <c r="K487" i="9"/>
  <c r="K486" i="9"/>
  <c r="K485" i="9"/>
  <c r="K484" i="9"/>
  <c r="K483" i="9"/>
  <c r="K482" i="9"/>
  <c r="K481" i="9"/>
  <c r="K480" i="9"/>
  <c r="K479" i="9"/>
  <c r="K478" i="9"/>
  <c r="K477" i="9"/>
  <c r="K476" i="9"/>
  <c r="K475" i="9"/>
  <c r="K474" i="9"/>
  <c r="K473" i="9"/>
  <c r="K472" i="9"/>
  <c r="K471" i="9"/>
  <c r="K470" i="9"/>
  <c r="K469" i="9"/>
  <c r="K468" i="9"/>
  <c r="K467" i="9"/>
  <c r="K466" i="9"/>
  <c r="K465" i="9"/>
  <c r="K464" i="9"/>
  <c r="K463" i="9"/>
  <c r="K462" i="9"/>
  <c r="K461" i="9"/>
  <c r="K460" i="9"/>
  <c r="K459" i="9"/>
  <c r="K458" i="9"/>
  <c r="K457" i="9"/>
  <c r="K456" i="9"/>
  <c r="K455" i="9"/>
  <c r="K454" i="9"/>
  <c r="K453" i="9"/>
  <c r="K452" i="9"/>
  <c r="K451" i="9"/>
  <c r="K450" i="9"/>
  <c r="K449" i="9"/>
  <c r="K448" i="9"/>
  <c r="K447" i="9"/>
  <c r="K446" i="9"/>
  <c r="K445" i="9"/>
  <c r="K444" i="9"/>
  <c r="K443" i="9"/>
  <c r="K442" i="9"/>
  <c r="K441" i="9"/>
  <c r="K440" i="9"/>
  <c r="K439" i="9"/>
  <c r="K438" i="9"/>
  <c r="K437" i="9"/>
  <c r="K436" i="9"/>
  <c r="K435" i="9"/>
  <c r="K434" i="9"/>
  <c r="K433" i="9"/>
  <c r="K432" i="9"/>
  <c r="K431" i="9"/>
  <c r="K430" i="9"/>
  <c r="K429" i="9"/>
  <c r="K428" i="9"/>
  <c r="K427" i="9"/>
  <c r="K426" i="9"/>
  <c r="K425" i="9"/>
  <c r="K424" i="9"/>
  <c r="K423" i="9"/>
  <c r="K422" i="9"/>
  <c r="K421" i="9"/>
  <c r="K420" i="9"/>
  <c r="K419" i="9"/>
  <c r="K418" i="9"/>
  <c r="K417" i="9"/>
  <c r="K416" i="9"/>
  <c r="K415" i="9"/>
  <c r="K414" i="9"/>
  <c r="K413" i="9"/>
  <c r="K412" i="9"/>
  <c r="K411" i="9"/>
  <c r="K410" i="9"/>
  <c r="K409" i="9"/>
  <c r="K408" i="9"/>
  <c r="K407" i="9"/>
  <c r="K406" i="9"/>
  <c r="K405" i="9"/>
  <c r="K404" i="9"/>
  <c r="K403" i="9"/>
  <c r="K402" i="9"/>
  <c r="K401" i="9"/>
  <c r="K400" i="9"/>
  <c r="K399" i="9"/>
  <c r="K398" i="9"/>
  <c r="K397" i="9"/>
  <c r="K396" i="9"/>
  <c r="K395" i="9"/>
  <c r="K394" i="9"/>
  <c r="K393" i="9"/>
  <c r="K392" i="9"/>
  <c r="K391" i="9"/>
  <c r="K390" i="9"/>
  <c r="K389" i="9"/>
  <c r="K388" i="9"/>
  <c r="K387" i="9"/>
  <c r="K386" i="9"/>
  <c r="K385" i="9"/>
  <c r="K384" i="9"/>
  <c r="K383" i="9"/>
  <c r="K382" i="9"/>
  <c r="K381" i="9"/>
  <c r="K380" i="9"/>
  <c r="K379" i="9"/>
  <c r="K378" i="9"/>
  <c r="K377" i="9"/>
  <c r="K376" i="9"/>
  <c r="K375" i="9"/>
  <c r="K374" i="9"/>
  <c r="K373" i="9"/>
  <c r="K372" i="9"/>
  <c r="K371" i="9"/>
  <c r="K370" i="9"/>
  <c r="K369" i="9"/>
  <c r="K368" i="9"/>
  <c r="K367" i="9"/>
  <c r="K366" i="9"/>
  <c r="K365" i="9"/>
  <c r="K364" i="9"/>
  <c r="K363" i="9"/>
  <c r="K362" i="9"/>
  <c r="K361" i="9"/>
  <c r="K360" i="9"/>
  <c r="K359" i="9"/>
  <c r="K358" i="9"/>
  <c r="K357" i="9"/>
  <c r="K356" i="9"/>
  <c r="K355" i="9"/>
  <c r="K354" i="9"/>
  <c r="K353" i="9"/>
  <c r="K352" i="9"/>
  <c r="K351" i="9"/>
  <c r="K350" i="9"/>
  <c r="K349" i="9"/>
  <c r="K348" i="9"/>
  <c r="K347" i="9"/>
  <c r="K346" i="9"/>
  <c r="K345" i="9"/>
  <c r="K344" i="9"/>
  <c r="K343" i="9"/>
  <c r="K342" i="9"/>
  <c r="K341" i="9"/>
  <c r="K340" i="9"/>
  <c r="K339" i="9"/>
  <c r="K338" i="9"/>
  <c r="K337" i="9"/>
  <c r="K336" i="9"/>
  <c r="K335" i="9"/>
  <c r="K334" i="9"/>
  <c r="K333" i="9"/>
  <c r="K332" i="9"/>
  <c r="K331" i="9"/>
  <c r="K330" i="9"/>
  <c r="K329" i="9"/>
  <c r="K328" i="9"/>
  <c r="K327" i="9"/>
  <c r="K326" i="9"/>
  <c r="K325" i="9"/>
  <c r="K324" i="9"/>
  <c r="K323" i="9"/>
  <c r="K322" i="9"/>
  <c r="K321" i="9"/>
  <c r="K320" i="9"/>
  <c r="K319" i="9"/>
  <c r="K318" i="9"/>
  <c r="K317" i="9"/>
  <c r="K316" i="9"/>
  <c r="K315" i="9"/>
  <c r="K314" i="9"/>
  <c r="K313" i="9"/>
  <c r="K312" i="9"/>
  <c r="K311" i="9"/>
  <c r="K310" i="9"/>
  <c r="K309" i="9"/>
  <c r="K308" i="9"/>
  <c r="K307" i="9"/>
  <c r="K306" i="9"/>
  <c r="K305" i="9"/>
  <c r="K304" i="9"/>
  <c r="K303" i="9"/>
  <c r="K302" i="9"/>
  <c r="K301" i="9"/>
  <c r="K300" i="9"/>
  <c r="K299" i="9"/>
  <c r="K298" i="9"/>
  <c r="K297" i="9"/>
  <c r="K296" i="9"/>
  <c r="K295" i="9"/>
  <c r="K294" i="9"/>
  <c r="K293" i="9"/>
  <c r="K292" i="9"/>
  <c r="K291" i="9"/>
  <c r="K290" i="9"/>
  <c r="K289" i="9"/>
  <c r="K288" i="9"/>
  <c r="K287" i="9"/>
  <c r="K286" i="9"/>
  <c r="K285" i="9"/>
  <c r="K284" i="9"/>
  <c r="K283" i="9"/>
  <c r="K282" i="9"/>
  <c r="K281" i="9"/>
  <c r="K280" i="9"/>
  <c r="K279" i="9"/>
  <c r="K278" i="9"/>
  <c r="K277" i="9"/>
  <c r="K276" i="9"/>
  <c r="K275" i="9"/>
  <c r="K274" i="9"/>
  <c r="K273" i="9"/>
  <c r="K272" i="9"/>
  <c r="K271" i="9"/>
  <c r="K270" i="9"/>
  <c r="K269" i="9"/>
  <c r="K268" i="9"/>
  <c r="K267" i="9"/>
  <c r="K266" i="9"/>
  <c r="K265" i="9"/>
  <c r="K264" i="9"/>
  <c r="K263" i="9"/>
  <c r="K262" i="9"/>
  <c r="K261" i="9"/>
  <c r="K260" i="9"/>
  <c r="K259" i="9"/>
  <c r="K258" i="9"/>
  <c r="K257" i="9"/>
  <c r="K256" i="9"/>
  <c r="K255" i="9"/>
  <c r="K254" i="9"/>
  <c r="K253" i="9"/>
  <c r="K252" i="9"/>
  <c r="K251" i="9"/>
  <c r="K250" i="9"/>
  <c r="K249" i="9"/>
  <c r="K248" i="9"/>
  <c r="K247" i="9"/>
  <c r="K246" i="9"/>
  <c r="K245" i="9"/>
  <c r="K244" i="9"/>
  <c r="K243" i="9"/>
  <c r="K242" i="9"/>
  <c r="K241" i="9"/>
  <c r="K240" i="9"/>
  <c r="K239" i="9"/>
  <c r="K238" i="9"/>
  <c r="K237" i="9"/>
  <c r="K236" i="9"/>
  <c r="K235" i="9"/>
  <c r="K234" i="9"/>
  <c r="K233" i="9"/>
  <c r="K232" i="9"/>
  <c r="K231" i="9"/>
  <c r="K230" i="9"/>
  <c r="K229" i="9"/>
  <c r="K228" i="9"/>
  <c r="K227" i="9"/>
  <c r="K226" i="9"/>
  <c r="K225" i="9"/>
  <c r="K224" i="9"/>
  <c r="K223" i="9"/>
  <c r="K222" i="9"/>
  <c r="K221" i="9"/>
  <c r="K220" i="9"/>
  <c r="K219" i="9"/>
  <c r="K218" i="9"/>
  <c r="K217" i="9"/>
  <c r="K216" i="9"/>
  <c r="K215" i="9"/>
  <c r="K214" i="9"/>
  <c r="K213" i="9"/>
  <c r="K212" i="9"/>
  <c r="K211" i="9"/>
  <c r="K210" i="9"/>
  <c r="K209" i="9"/>
  <c r="K208" i="9"/>
  <c r="K207" i="9"/>
  <c r="K206" i="9"/>
  <c r="K205" i="9"/>
  <c r="K204" i="9"/>
  <c r="K203" i="9"/>
  <c r="K202" i="9"/>
  <c r="K201" i="9"/>
  <c r="K200" i="9"/>
  <c r="K199" i="9"/>
  <c r="K198" i="9"/>
  <c r="K197" i="9"/>
  <c r="K196" i="9"/>
  <c r="K195" i="9"/>
  <c r="K194" i="9"/>
  <c r="K193" i="9"/>
  <c r="K192" i="9"/>
  <c r="K191" i="9"/>
  <c r="K190" i="9"/>
  <c r="K189" i="9"/>
  <c r="K188" i="9"/>
  <c r="K187" i="9"/>
  <c r="K186" i="9"/>
  <c r="K185" i="9"/>
  <c r="K184" i="9"/>
  <c r="K183" i="9"/>
  <c r="K182" i="9"/>
  <c r="K181" i="9"/>
  <c r="K180" i="9"/>
  <c r="K179" i="9"/>
  <c r="K178" i="9"/>
  <c r="K177" i="9"/>
  <c r="K176" i="9"/>
  <c r="K175" i="9"/>
  <c r="K174" i="9"/>
  <c r="K173" i="9"/>
  <c r="K172" i="9"/>
  <c r="K171" i="9"/>
  <c r="K170" i="9"/>
  <c r="K169" i="9"/>
  <c r="K168" i="9"/>
  <c r="K167" i="9"/>
  <c r="K166" i="9"/>
  <c r="K165" i="9"/>
  <c r="K164" i="9"/>
  <c r="K163" i="9"/>
  <c r="K162" i="9"/>
  <c r="K161" i="9"/>
  <c r="K160" i="9"/>
  <c r="K159" i="9"/>
  <c r="K158" i="9"/>
  <c r="K157" i="9"/>
  <c r="K156" i="9"/>
  <c r="K155" i="9"/>
  <c r="K154" i="9"/>
  <c r="K153" i="9"/>
  <c r="K152" i="9"/>
  <c r="K151" i="9"/>
  <c r="K150" i="9"/>
  <c r="K149" i="9"/>
  <c r="K148" i="9"/>
  <c r="K147" i="9"/>
  <c r="K146" i="9"/>
  <c r="K145" i="9"/>
  <c r="K144" i="9"/>
  <c r="K143" i="9"/>
  <c r="K142" i="9"/>
  <c r="K141" i="9"/>
  <c r="K140" i="9"/>
  <c r="K139" i="9"/>
  <c r="K138" i="9"/>
  <c r="K137" i="9"/>
  <c r="K136" i="9"/>
  <c r="K135" i="9"/>
  <c r="K134" i="9"/>
  <c r="K133" i="9"/>
  <c r="K132" i="9"/>
  <c r="K131" i="9"/>
  <c r="K130" i="9"/>
  <c r="K129" i="9"/>
  <c r="K128" i="9"/>
  <c r="K127" i="9"/>
  <c r="K126" i="9"/>
  <c r="K125" i="9"/>
  <c r="K124" i="9"/>
  <c r="K123" i="9"/>
  <c r="K122" i="9"/>
  <c r="K121" i="9"/>
  <c r="K120" i="9"/>
  <c r="K119" i="9"/>
  <c r="K118" i="9"/>
  <c r="K117" i="9"/>
  <c r="K116" i="9"/>
  <c r="K115" i="9"/>
  <c r="K114" i="9"/>
  <c r="K113" i="9"/>
  <c r="K112" i="9"/>
  <c r="K111" i="9"/>
  <c r="K110" i="9"/>
  <c r="K109" i="9"/>
  <c r="K108" i="9"/>
  <c r="K107" i="9"/>
  <c r="K106" i="9"/>
  <c r="K105" i="9"/>
  <c r="K104" i="9"/>
  <c r="K103" i="9"/>
  <c r="K102" i="9"/>
  <c r="K101" i="9"/>
  <c r="K100" i="9"/>
  <c r="K99" i="9"/>
  <c r="K98" i="9"/>
  <c r="K97" i="9"/>
  <c r="K96" i="9"/>
  <c r="K95" i="9"/>
  <c r="K94" i="9"/>
  <c r="K93" i="9"/>
  <c r="K92" i="9"/>
  <c r="K91" i="9"/>
  <c r="K90" i="9"/>
  <c r="K89" i="9"/>
  <c r="K88" i="9"/>
  <c r="K87" i="9"/>
  <c r="K86" i="9"/>
  <c r="K85" i="9"/>
  <c r="K84" i="9"/>
  <c r="K83" i="9"/>
  <c r="K82" i="9"/>
  <c r="K81" i="9"/>
  <c r="K80" i="9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/>
  <c r="K2" i="9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2" i="1"/>
  <c r="L294" i="1"/>
  <c r="L366" i="1"/>
  <c r="L438" i="1"/>
  <c r="L510" i="1"/>
  <c r="L582" i="1"/>
  <c r="L654" i="1"/>
  <c r="L720" i="1"/>
  <c r="L780" i="1"/>
  <c r="L828" i="1"/>
  <c r="L876" i="1"/>
  <c r="L924" i="1"/>
  <c r="L972" i="1"/>
  <c r="B7" i="2"/>
  <c r="B13" i="2"/>
  <c r="B9" i="2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L486" i="1" s="1"/>
  <c r="K487" i="1"/>
  <c r="L487" i="1" s="1"/>
  <c r="K488" i="1"/>
  <c r="L488" i="1" s="1"/>
  <c r="K489" i="1"/>
  <c r="L489" i="1" s="1"/>
  <c r="K490" i="1"/>
  <c r="L490" i="1" s="1"/>
  <c r="K491" i="1"/>
  <c r="L491" i="1" s="1"/>
  <c r="K492" i="1"/>
  <c r="L492" i="1" s="1"/>
  <c r="K493" i="1"/>
  <c r="L493" i="1" s="1"/>
  <c r="K494" i="1"/>
  <c r="L494" i="1" s="1"/>
  <c r="K495" i="1"/>
  <c r="L495" i="1" s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502" i="1"/>
  <c r="L502" i="1" s="1"/>
  <c r="K503" i="1"/>
  <c r="L503" i="1" s="1"/>
  <c r="K504" i="1"/>
  <c r="L504" i="1" s="1"/>
  <c r="K505" i="1"/>
  <c r="L505" i="1" s="1"/>
  <c r="K506" i="1"/>
  <c r="L506" i="1" s="1"/>
  <c r="K507" i="1"/>
  <c r="L507" i="1" s="1"/>
  <c r="K508" i="1"/>
  <c r="L508" i="1" s="1"/>
  <c r="K509" i="1"/>
  <c r="L509" i="1" s="1"/>
  <c r="K510" i="1"/>
  <c r="K511" i="1"/>
  <c r="L511" i="1" s="1"/>
  <c r="K512" i="1"/>
  <c r="L512" i="1" s="1"/>
  <c r="K513" i="1"/>
  <c r="L513" i="1" s="1"/>
  <c r="K514" i="1"/>
  <c r="L514" i="1" s="1"/>
  <c r="K515" i="1"/>
  <c r="L515" i="1" s="1"/>
  <c r="K516" i="1"/>
  <c r="L516" i="1" s="1"/>
  <c r="K517" i="1"/>
  <c r="L517" i="1" s="1"/>
  <c r="K518" i="1"/>
  <c r="L518" i="1" s="1"/>
  <c r="K519" i="1"/>
  <c r="L519" i="1" s="1"/>
  <c r="K520" i="1"/>
  <c r="L520" i="1" s="1"/>
  <c r="K521" i="1"/>
  <c r="L521" i="1" s="1"/>
  <c r="K522" i="1"/>
  <c r="L522" i="1" s="1"/>
  <c r="K523" i="1"/>
  <c r="L523" i="1" s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L531" i="1" s="1"/>
  <c r="K532" i="1"/>
  <c r="L532" i="1" s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L538" i="1" s="1"/>
  <c r="K539" i="1"/>
  <c r="L539" i="1" s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L545" i="1" s="1"/>
  <c r="K546" i="1"/>
  <c r="L546" i="1" s="1"/>
  <c r="K547" i="1"/>
  <c r="L547" i="1" s="1"/>
  <c r="K548" i="1"/>
  <c r="L548" i="1" s="1"/>
  <c r="K549" i="1"/>
  <c r="L549" i="1" s="1"/>
  <c r="K550" i="1"/>
  <c r="L550" i="1" s="1"/>
  <c r="K551" i="1"/>
  <c r="L551" i="1" s="1"/>
  <c r="K552" i="1"/>
  <c r="L552" i="1" s="1"/>
  <c r="K553" i="1"/>
  <c r="L553" i="1" s="1"/>
  <c r="K554" i="1"/>
  <c r="L554" i="1" s="1"/>
  <c r="K555" i="1"/>
  <c r="L555" i="1" s="1"/>
  <c r="K556" i="1"/>
  <c r="L556" i="1" s="1"/>
  <c r="K557" i="1"/>
  <c r="L557" i="1" s="1"/>
  <c r="K558" i="1"/>
  <c r="L558" i="1" s="1"/>
  <c r="K559" i="1"/>
  <c r="L559" i="1" s="1"/>
  <c r="K560" i="1"/>
  <c r="L560" i="1" s="1"/>
  <c r="K561" i="1"/>
  <c r="L561" i="1" s="1"/>
  <c r="K562" i="1"/>
  <c r="L562" i="1" s="1"/>
  <c r="K563" i="1"/>
  <c r="L563" i="1" s="1"/>
  <c r="K564" i="1"/>
  <c r="L564" i="1" s="1"/>
  <c r="K565" i="1"/>
  <c r="L565" i="1" s="1"/>
  <c r="K566" i="1"/>
  <c r="L566" i="1" s="1"/>
  <c r="K567" i="1"/>
  <c r="L567" i="1" s="1"/>
  <c r="K568" i="1"/>
  <c r="L568" i="1" s="1"/>
  <c r="K569" i="1"/>
  <c r="L569" i="1" s="1"/>
  <c r="K570" i="1"/>
  <c r="L570" i="1" s="1"/>
  <c r="K571" i="1"/>
  <c r="L571" i="1" s="1"/>
  <c r="K572" i="1"/>
  <c r="L572" i="1" s="1"/>
  <c r="K573" i="1"/>
  <c r="L573" i="1" s="1"/>
  <c r="K574" i="1"/>
  <c r="L574" i="1" s="1"/>
  <c r="K575" i="1"/>
  <c r="L575" i="1" s="1"/>
  <c r="K576" i="1"/>
  <c r="L576" i="1" s="1"/>
  <c r="K577" i="1"/>
  <c r="L577" i="1" s="1"/>
  <c r="K578" i="1"/>
  <c r="L578" i="1" s="1"/>
  <c r="K579" i="1"/>
  <c r="L579" i="1" s="1"/>
  <c r="K580" i="1"/>
  <c r="L580" i="1" s="1"/>
  <c r="K581" i="1"/>
  <c r="L581" i="1" s="1"/>
  <c r="K582" i="1"/>
  <c r="K583" i="1"/>
  <c r="L583" i="1" s="1"/>
  <c r="K584" i="1"/>
  <c r="L584" i="1" s="1"/>
  <c r="K585" i="1"/>
  <c r="L585" i="1" s="1"/>
  <c r="K586" i="1"/>
  <c r="L586" i="1" s="1"/>
  <c r="K587" i="1"/>
  <c r="L587" i="1" s="1"/>
  <c r="K588" i="1"/>
  <c r="L588" i="1" s="1"/>
  <c r="K589" i="1"/>
  <c r="L589" i="1" s="1"/>
  <c r="K590" i="1"/>
  <c r="L590" i="1" s="1"/>
  <c r="K591" i="1"/>
  <c r="L591" i="1" s="1"/>
  <c r="K592" i="1"/>
  <c r="L592" i="1" s="1"/>
  <c r="K593" i="1"/>
  <c r="L593" i="1" s="1"/>
  <c r="K594" i="1"/>
  <c r="L594" i="1" s="1"/>
  <c r="K595" i="1"/>
  <c r="L595" i="1" s="1"/>
  <c r="K596" i="1"/>
  <c r="L596" i="1" s="1"/>
  <c r="K597" i="1"/>
  <c r="L597" i="1" s="1"/>
  <c r="K598" i="1"/>
  <c r="L598" i="1" s="1"/>
  <c r="K599" i="1"/>
  <c r="L599" i="1" s="1"/>
  <c r="K600" i="1"/>
  <c r="L600" i="1" s="1"/>
  <c r="K601" i="1"/>
  <c r="L601" i="1" s="1"/>
  <c r="K602" i="1"/>
  <c r="L602" i="1" s="1"/>
  <c r="K603" i="1"/>
  <c r="L603" i="1" s="1"/>
  <c r="K604" i="1"/>
  <c r="L604" i="1" s="1"/>
  <c r="K605" i="1"/>
  <c r="L605" i="1" s="1"/>
  <c r="K606" i="1"/>
  <c r="L606" i="1" s="1"/>
  <c r="K607" i="1"/>
  <c r="L607" i="1" s="1"/>
  <c r="K608" i="1"/>
  <c r="L608" i="1" s="1"/>
  <c r="K609" i="1"/>
  <c r="L609" i="1" s="1"/>
  <c r="K610" i="1"/>
  <c r="L610" i="1" s="1"/>
  <c r="K611" i="1"/>
  <c r="L611" i="1" s="1"/>
  <c r="K612" i="1"/>
  <c r="L612" i="1" s="1"/>
  <c r="K613" i="1"/>
  <c r="L613" i="1" s="1"/>
  <c r="K614" i="1"/>
  <c r="L614" i="1" s="1"/>
  <c r="K615" i="1"/>
  <c r="L615" i="1" s="1"/>
  <c r="K616" i="1"/>
  <c r="L616" i="1" s="1"/>
  <c r="K617" i="1"/>
  <c r="L617" i="1" s="1"/>
  <c r="K618" i="1"/>
  <c r="L618" i="1" s="1"/>
  <c r="K619" i="1"/>
  <c r="L619" i="1" s="1"/>
  <c r="K620" i="1"/>
  <c r="L620" i="1" s="1"/>
  <c r="K621" i="1"/>
  <c r="L621" i="1" s="1"/>
  <c r="K622" i="1"/>
  <c r="L622" i="1" s="1"/>
  <c r="K623" i="1"/>
  <c r="L623" i="1" s="1"/>
  <c r="K624" i="1"/>
  <c r="L624" i="1" s="1"/>
  <c r="K625" i="1"/>
  <c r="L625" i="1" s="1"/>
  <c r="K626" i="1"/>
  <c r="L626" i="1" s="1"/>
  <c r="K627" i="1"/>
  <c r="L627" i="1" s="1"/>
  <c r="K628" i="1"/>
  <c r="L628" i="1" s="1"/>
  <c r="K629" i="1"/>
  <c r="L629" i="1" s="1"/>
  <c r="K630" i="1"/>
  <c r="L630" i="1" s="1"/>
  <c r="K631" i="1"/>
  <c r="L631" i="1" s="1"/>
  <c r="K632" i="1"/>
  <c r="L632" i="1" s="1"/>
  <c r="K633" i="1"/>
  <c r="L633" i="1" s="1"/>
  <c r="K634" i="1"/>
  <c r="L634" i="1" s="1"/>
  <c r="K635" i="1"/>
  <c r="L635" i="1" s="1"/>
  <c r="K636" i="1"/>
  <c r="L636" i="1" s="1"/>
  <c r="K637" i="1"/>
  <c r="L637" i="1" s="1"/>
  <c r="K638" i="1"/>
  <c r="L638" i="1" s="1"/>
  <c r="K639" i="1"/>
  <c r="L639" i="1" s="1"/>
  <c r="K640" i="1"/>
  <c r="L640" i="1" s="1"/>
  <c r="K641" i="1"/>
  <c r="L641" i="1" s="1"/>
  <c r="K642" i="1"/>
  <c r="L642" i="1" s="1"/>
  <c r="K643" i="1"/>
  <c r="L643" i="1" s="1"/>
  <c r="K644" i="1"/>
  <c r="L644" i="1" s="1"/>
  <c r="K645" i="1"/>
  <c r="L645" i="1" s="1"/>
  <c r="K646" i="1"/>
  <c r="L646" i="1" s="1"/>
  <c r="K647" i="1"/>
  <c r="L647" i="1" s="1"/>
  <c r="K648" i="1"/>
  <c r="L648" i="1" s="1"/>
  <c r="K649" i="1"/>
  <c r="L649" i="1" s="1"/>
  <c r="K650" i="1"/>
  <c r="L650" i="1" s="1"/>
  <c r="K651" i="1"/>
  <c r="L651" i="1" s="1"/>
  <c r="K652" i="1"/>
  <c r="L652" i="1" s="1"/>
  <c r="K653" i="1"/>
  <c r="L653" i="1" s="1"/>
  <c r="K654" i="1"/>
  <c r="K655" i="1"/>
  <c r="L655" i="1" s="1"/>
  <c r="K656" i="1"/>
  <c r="L656" i="1" s="1"/>
  <c r="K657" i="1"/>
  <c r="L657" i="1" s="1"/>
  <c r="K658" i="1"/>
  <c r="L658" i="1" s="1"/>
  <c r="K659" i="1"/>
  <c r="L659" i="1" s="1"/>
  <c r="K660" i="1"/>
  <c r="L660" i="1" s="1"/>
  <c r="K661" i="1"/>
  <c r="L661" i="1" s="1"/>
  <c r="K662" i="1"/>
  <c r="L662" i="1" s="1"/>
  <c r="K663" i="1"/>
  <c r="L663" i="1" s="1"/>
  <c r="K664" i="1"/>
  <c r="L664" i="1" s="1"/>
  <c r="K665" i="1"/>
  <c r="L665" i="1" s="1"/>
  <c r="K666" i="1"/>
  <c r="L666" i="1" s="1"/>
  <c r="K667" i="1"/>
  <c r="L667" i="1" s="1"/>
  <c r="K668" i="1"/>
  <c r="L668" i="1" s="1"/>
  <c r="K669" i="1"/>
  <c r="L669" i="1" s="1"/>
  <c r="K670" i="1"/>
  <c r="L670" i="1" s="1"/>
  <c r="K671" i="1"/>
  <c r="L671" i="1" s="1"/>
  <c r="K672" i="1"/>
  <c r="L672" i="1" s="1"/>
  <c r="K673" i="1"/>
  <c r="L673" i="1" s="1"/>
  <c r="K674" i="1"/>
  <c r="L674" i="1" s="1"/>
  <c r="K675" i="1"/>
  <c r="L675" i="1" s="1"/>
  <c r="K676" i="1"/>
  <c r="L676" i="1" s="1"/>
  <c r="K677" i="1"/>
  <c r="L677" i="1" s="1"/>
  <c r="K678" i="1"/>
  <c r="L678" i="1" s="1"/>
  <c r="K679" i="1"/>
  <c r="L679" i="1" s="1"/>
  <c r="K680" i="1"/>
  <c r="L680" i="1" s="1"/>
  <c r="K681" i="1"/>
  <c r="L681" i="1" s="1"/>
  <c r="K682" i="1"/>
  <c r="L682" i="1" s="1"/>
  <c r="K683" i="1"/>
  <c r="L683" i="1" s="1"/>
  <c r="K684" i="1"/>
  <c r="L684" i="1" s="1"/>
  <c r="K685" i="1"/>
  <c r="L685" i="1" s="1"/>
  <c r="K686" i="1"/>
  <c r="L686" i="1" s="1"/>
  <c r="K687" i="1"/>
  <c r="L687" i="1" s="1"/>
  <c r="K688" i="1"/>
  <c r="L688" i="1" s="1"/>
  <c r="K689" i="1"/>
  <c r="L689" i="1" s="1"/>
  <c r="K690" i="1"/>
  <c r="L690" i="1" s="1"/>
  <c r="K691" i="1"/>
  <c r="L691" i="1" s="1"/>
  <c r="K692" i="1"/>
  <c r="L692" i="1" s="1"/>
  <c r="K693" i="1"/>
  <c r="L693" i="1" s="1"/>
  <c r="K694" i="1"/>
  <c r="L694" i="1" s="1"/>
  <c r="K695" i="1"/>
  <c r="L695" i="1" s="1"/>
  <c r="K696" i="1"/>
  <c r="L696" i="1" s="1"/>
  <c r="K697" i="1"/>
  <c r="L697" i="1" s="1"/>
  <c r="K698" i="1"/>
  <c r="L698" i="1" s="1"/>
  <c r="K699" i="1"/>
  <c r="L699" i="1" s="1"/>
  <c r="K700" i="1"/>
  <c r="L700" i="1" s="1"/>
  <c r="K701" i="1"/>
  <c r="L701" i="1" s="1"/>
  <c r="K702" i="1"/>
  <c r="L702" i="1" s="1"/>
  <c r="K703" i="1"/>
  <c r="L703" i="1" s="1"/>
  <c r="K704" i="1"/>
  <c r="L704" i="1" s="1"/>
  <c r="K705" i="1"/>
  <c r="L705" i="1" s="1"/>
  <c r="K706" i="1"/>
  <c r="L706" i="1" s="1"/>
  <c r="K707" i="1"/>
  <c r="L707" i="1" s="1"/>
  <c r="K708" i="1"/>
  <c r="L708" i="1" s="1"/>
  <c r="K709" i="1"/>
  <c r="L709" i="1" s="1"/>
  <c r="K710" i="1"/>
  <c r="L710" i="1" s="1"/>
  <c r="K711" i="1"/>
  <c r="L711" i="1" s="1"/>
  <c r="K712" i="1"/>
  <c r="L712" i="1" s="1"/>
  <c r="K713" i="1"/>
  <c r="L713" i="1" s="1"/>
  <c r="K714" i="1"/>
  <c r="L714" i="1" s="1"/>
  <c r="K715" i="1"/>
  <c r="L715" i="1" s="1"/>
  <c r="K716" i="1"/>
  <c r="L716" i="1" s="1"/>
  <c r="K717" i="1"/>
  <c r="L717" i="1" s="1"/>
  <c r="K718" i="1"/>
  <c r="L718" i="1" s="1"/>
  <c r="K719" i="1"/>
  <c r="L719" i="1" s="1"/>
  <c r="K720" i="1"/>
  <c r="K721" i="1"/>
  <c r="L721" i="1" s="1"/>
  <c r="K722" i="1"/>
  <c r="L722" i="1" s="1"/>
  <c r="K723" i="1"/>
  <c r="L723" i="1" s="1"/>
  <c r="K724" i="1"/>
  <c r="L724" i="1" s="1"/>
  <c r="K725" i="1"/>
  <c r="L725" i="1" s="1"/>
  <c r="K726" i="1"/>
  <c r="L726" i="1" s="1"/>
  <c r="K727" i="1"/>
  <c r="L727" i="1" s="1"/>
  <c r="K728" i="1"/>
  <c r="L728" i="1" s="1"/>
  <c r="K729" i="1"/>
  <c r="L729" i="1" s="1"/>
  <c r="K730" i="1"/>
  <c r="L730" i="1" s="1"/>
  <c r="K731" i="1"/>
  <c r="L731" i="1" s="1"/>
  <c r="K732" i="1"/>
  <c r="L732" i="1" s="1"/>
  <c r="K733" i="1"/>
  <c r="L733" i="1" s="1"/>
  <c r="K734" i="1"/>
  <c r="L734" i="1" s="1"/>
  <c r="K735" i="1"/>
  <c r="L735" i="1" s="1"/>
  <c r="K736" i="1"/>
  <c r="L736" i="1" s="1"/>
  <c r="K737" i="1"/>
  <c r="L737" i="1" s="1"/>
  <c r="K738" i="1"/>
  <c r="L738" i="1" s="1"/>
  <c r="K739" i="1"/>
  <c r="L739" i="1" s="1"/>
  <c r="K740" i="1"/>
  <c r="L740" i="1" s="1"/>
  <c r="K741" i="1"/>
  <c r="L741" i="1" s="1"/>
  <c r="K742" i="1"/>
  <c r="L742" i="1" s="1"/>
  <c r="K743" i="1"/>
  <c r="L743" i="1" s="1"/>
  <c r="K744" i="1"/>
  <c r="L744" i="1" s="1"/>
  <c r="K745" i="1"/>
  <c r="L745" i="1" s="1"/>
  <c r="K746" i="1"/>
  <c r="L746" i="1" s="1"/>
  <c r="K747" i="1"/>
  <c r="L747" i="1" s="1"/>
  <c r="K748" i="1"/>
  <c r="L748" i="1" s="1"/>
  <c r="K749" i="1"/>
  <c r="L749" i="1" s="1"/>
  <c r="K750" i="1"/>
  <c r="L750" i="1" s="1"/>
  <c r="K751" i="1"/>
  <c r="L751" i="1" s="1"/>
  <c r="K752" i="1"/>
  <c r="L752" i="1" s="1"/>
  <c r="K753" i="1"/>
  <c r="L753" i="1" s="1"/>
  <c r="K754" i="1"/>
  <c r="L754" i="1" s="1"/>
  <c r="K755" i="1"/>
  <c r="L755" i="1" s="1"/>
  <c r="K756" i="1"/>
  <c r="L756" i="1" s="1"/>
  <c r="K757" i="1"/>
  <c r="L757" i="1" s="1"/>
  <c r="K758" i="1"/>
  <c r="L758" i="1" s="1"/>
  <c r="K759" i="1"/>
  <c r="L759" i="1" s="1"/>
  <c r="K760" i="1"/>
  <c r="L760" i="1" s="1"/>
  <c r="K761" i="1"/>
  <c r="L761" i="1" s="1"/>
  <c r="K762" i="1"/>
  <c r="L762" i="1" s="1"/>
  <c r="K763" i="1"/>
  <c r="L763" i="1" s="1"/>
  <c r="K764" i="1"/>
  <c r="L764" i="1" s="1"/>
  <c r="K765" i="1"/>
  <c r="L765" i="1" s="1"/>
  <c r="K766" i="1"/>
  <c r="L766" i="1" s="1"/>
  <c r="K767" i="1"/>
  <c r="L767" i="1" s="1"/>
  <c r="K768" i="1"/>
  <c r="L768" i="1" s="1"/>
  <c r="K769" i="1"/>
  <c r="L769" i="1" s="1"/>
  <c r="K770" i="1"/>
  <c r="L770" i="1" s="1"/>
  <c r="K771" i="1"/>
  <c r="L771" i="1" s="1"/>
  <c r="K772" i="1"/>
  <c r="L772" i="1" s="1"/>
  <c r="K773" i="1"/>
  <c r="L773" i="1" s="1"/>
  <c r="K774" i="1"/>
  <c r="L774" i="1" s="1"/>
  <c r="K775" i="1"/>
  <c r="L775" i="1" s="1"/>
  <c r="K776" i="1"/>
  <c r="L776" i="1" s="1"/>
  <c r="K777" i="1"/>
  <c r="L777" i="1" s="1"/>
  <c r="K778" i="1"/>
  <c r="L778" i="1" s="1"/>
  <c r="K779" i="1"/>
  <c r="L779" i="1" s="1"/>
  <c r="K780" i="1"/>
  <c r="K781" i="1"/>
  <c r="L781" i="1" s="1"/>
  <c r="K782" i="1"/>
  <c r="L782" i="1" s="1"/>
  <c r="K783" i="1"/>
  <c r="L783" i="1" s="1"/>
  <c r="K784" i="1"/>
  <c r="L784" i="1" s="1"/>
  <c r="K785" i="1"/>
  <c r="L785" i="1" s="1"/>
  <c r="K786" i="1"/>
  <c r="L786" i="1" s="1"/>
  <c r="K787" i="1"/>
  <c r="L787" i="1" s="1"/>
  <c r="K788" i="1"/>
  <c r="L788" i="1" s="1"/>
  <c r="K789" i="1"/>
  <c r="L789" i="1" s="1"/>
  <c r="K790" i="1"/>
  <c r="L790" i="1" s="1"/>
  <c r="K791" i="1"/>
  <c r="L791" i="1" s="1"/>
  <c r="K792" i="1"/>
  <c r="L792" i="1" s="1"/>
  <c r="K793" i="1"/>
  <c r="L793" i="1" s="1"/>
  <c r="K794" i="1"/>
  <c r="L794" i="1" s="1"/>
  <c r="K795" i="1"/>
  <c r="L795" i="1" s="1"/>
  <c r="K796" i="1"/>
  <c r="L796" i="1" s="1"/>
  <c r="K797" i="1"/>
  <c r="L797" i="1" s="1"/>
  <c r="K798" i="1"/>
  <c r="L798" i="1" s="1"/>
  <c r="K799" i="1"/>
  <c r="L799" i="1" s="1"/>
  <c r="K800" i="1"/>
  <c r="L800" i="1" s="1"/>
  <c r="K801" i="1"/>
  <c r="L801" i="1" s="1"/>
  <c r="K802" i="1"/>
  <c r="L802" i="1" s="1"/>
  <c r="K803" i="1"/>
  <c r="L803" i="1" s="1"/>
  <c r="K804" i="1"/>
  <c r="L804" i="1" s="1"/>
  <c r="K805" i="1"/>
  <c r="L805" i="1" s="1"/>
  <c r="K806" i="1"/>
  <c r="L806" i="1" s="1"/>
  <c r="K807" i="1"/>
  <c r="L807" i="1" s="1"/>
  <c r="K808" i="1"/>
  <c r="L808" i="1" s="1"/>
  <c r="K809" i="1"/>
  <c r="L809" i="1" s="1"/>
  <c r="K810" i="1"/>
  <c r="L810" i="1" s="1"/>
  <c r="K811" i="1"/>
  <c r="L811" i="1" s="1"/>
  <c r="K812" i="1"/>
  <c r="L812" i="1" s="1"/>
  <c r="K813" i="1"/>
  <c r="L813" i="1" s="1"/>
  <c r="K814" i="1"/>
  <c r="L814" i="1" s="1"/>
  <c r="K815" i="1"/>
  <c r="L815" i="1" s="1"/>
  <c r="K816" i="1"/>
  <c r="L816" i="1" s="1"/>
  <c r="K817" i="1"/>
  <c r="L817" i="1" s="1"/>
  <c r="K818" i="1"/>
  <c r="L818" i="1" s="1"/>
  <c r="K819" i="1"/>
  <c r="L819" i="1" s="1"/>
  <c r="K820" i="1"/>
  <c r="L820" i="1" s="1"/>
  <c r="K821" i="1"/>
  <c r="L821" i="1" s="1"/>
  <c r="K822" i="1"/>
  <c r="L822" i="1" s="1"/>
  <c r="K823" i="1"/>
  <c r="L823" i="1" s="1"/>
  <c r="K824" i="1"/>
  <c r="L824" i="1" s="1"/>
  <c r="K825" i="1"/>
  <c r="L825" i="1" s="1"/>
  <c r="K826" i="1"/>
  <c r="L826" i="1" s="1"/>
  <c r="K827" i="1"/>
  <c r="L827" i="1" s="1"/>
  <c r="K828" i="1"/>
  <c r="K829" i="1"/>
  <c r="L829" i="1" s="1"/>
  <c r="K830" i="1"/>
  <c r="L830" i="1" s="1"/>
  <c r="K831" i="1"/>
  <c r="L831" i="1" s="1"/>
  <c r="K832" i="1"/>
  <c r="L832" i="1" s="1"/>
  <c r="K833" i="1"/>
  <c r="L833" i="1" s="1"/>
  <c r="K834" i="1"/>
  <c r="L834" i="1" s="1"/>
  <c r="K835" i="1"/>
  <c r="L835" i="1" s="1"/>
  <c r="K836" i="1"/>
  <c r="L836" i="1" s="1"/>
  <c r="K837" i="1"/>
  <c r="L837" i="1" s="1"/>
  <c r="K838" i="1"/>
  <c r="L838" i="1" s="1"/>
  <c r="K839" i="1"/>
  <c r="L839" i="1" s="1"/>
  <c r="K840" i="1"/>
  <c r="L840" i="1" s="1"/>
  <c r="K841" i="1"/>
  <c r="L841" i="1" s="1"/>
  <c r="K842" i="1"/>
  <c r="L842" i="1" s="1"/>
  <c r="K843" i="1"/>
  <c r="L843" i="1" s="1"/>
  <c r="K844" i="1"/>
  <c r="L844" i="1" s="1"/>
  <c r="K845" i="1"/>
  <c r="L845" i="1" s="1"/>
  <c r="K846" i="1"/>
  <c r="L846" i="1" s="1"/>
  <c r="K847" i="1"/>
  <c r="L847" i="1" s="1"/>
  <c r="K848" i="1"/>
  <c r="L848" i="1" s="1"/>
  <c r="K849" i="1"/>
  <c r="L849" i="1" s="1"/>
  <c r="K850" i="1"/>
  <c r="L850" i="1" s="1"/>
  <c r="K851" i="1"/>
  <c r="L851" i="1" s="1"/>
  <c r="K852" i="1"/>
  <c r="L852" i="1" s="1"/>
  <c r="K853" i="1"/>
  <c r="L853" i="1" s="1"/>
  <c r="K854" i="1"/>
  <c r="L854" i="1" s="1"/>
  <c r="K855" i="1"/>
  <c r="L855" i="1" s="1"/>
  <c r="K856" i="1"/>
  <c r="L856" i="1" s="1"/>
  <c r="K857" i="1"/>
  <c r="L857" i="1" s="1"/>
  <c r="K858" i="1"/>
  <c r="L858" i="1" s="1"/>
  <c r="K859" i="1"/>
  <c r="L859" i="1" s="1"/>
  <c r="K860" i="1"/>
  <c r="L860" i="1" s="1"/>
  <c r="K861" i="1"/>
  <c r="L861" i="1" s="1"/>
  <c r="K862" i="1"/>
  <c r="L862" i="1" s="1"/>
  <c r="K863" i="1"/>
  <c r="L863" i="1" s="1"/>
  <c r="K864" i="1"/>
  <c r="L864" i="1" s="1"/>
  <c r="K865" i="1"/>
  <c r="L865" i="1" s="1"/>
  <c r="K866" i="1"/>
  <c r="L866" i="1" s="1"/>
  <c r="K867" i="1"/>
  <c r="L867" i="1" s="1"/>
  <c r="K868" i="1"/>
  <c r="L868" i="1" s="1"/>
  <c r="K869" i="1"/>
  <c r="L869" i="1" s="1"/>
  <c r="K870" i="1"/>
  <c r="L870" i="1" s="1"/>
  <c r="K871" i="1"/>
  <c r="L871" i="1" s="1"/>
  <c r="K872" i="1"/>
  <c r="L872" i="1" s="1"/>
  <c r="K873" i="1"/>
  <c r="L873" i="1" s="1"/>
  <c r="K874" i="1"/>
  <c r="L874" i="1" s="1"/>
  <c r="K875" i="1"/>
  <c r="L875" i="1" s="1"/>
  <c r="K876" i="1"/>
  <c r="K877" i="1"/>
  <c r="L877" i="1" s="1"/>
  <c r="K878" i="1"/>
  <c r="L878" i="1" s="1"/>
  <c r="K879" i="1"/>
  <c r="L879" i="1" s="1"/>
  <c r="K880" i="1"/>
  <c r="L880" i="1" s="1"/>
  <c r="K881" i="1"/>
  <c r="L881" i="1" s="1"/>
  <c r="K882" i="1"/>
  <c r="L882" i="1" s="1"/>
  <c r="K883" i="1"/>
  <c r="L883" i="1" s="1"/>
  <c r="K884" i="1"/>
  <c r="L884" i="1" s="1"/>
  <c r="K885" i="1"/>
  <c r="L885" i="1" s="1"/>
  <c r="K886" i="1"/>
  <c r="L886" i="1" s="1"/>
  <c r="K887" i="1"/>
  <c r="L887" i="1" s="1"/>
  <c r="K888" i="1"/>
  <c r="L888" i="1" s="1"/>
  <c r="K889" i="1"/>
  <c r="L889" i="1" s="1"/>
  <c r="K890" i="1"/>
  <c r="L890" i="1" s="1"/>
  <c r="K891" i="1"/>
  <c r="L891" i="1" s="1"/>
  <c r="K892" i="1"/>
  <c r="L892" i="1" s="1"/>
  <c r="K893" i="1"/>
  <c r="L893" i="1" s="1"/>
  <c r="K894" i="1"/>
  <c r="L894" i="1" s="1"/>
  <c r="K895" i="1"/>
  <c r="L895" i="1" s="1"/>
  <c r="K896" i="1"/>
  <c r="L896" i="1" s="1"/>
  <c r="K897" i="1"/>
  <c r="L897" i="1" s="1"/>
  <c r="K898" i="1"/>
  <c r="L898" i="1" s="1"/>
  <c r="K899" i="1"/>
  <c r="L899" i="1" s="1"/>
  <c r="K900" i="1"/>
  <c r="L900" i="1" s="1"/>
  <c r="K901" i="1"/>
  <c r="L901" i="1" s="1"/>
  <c r="K902" i="1"/>
  <c r="L902" i="1" s="1"/>
  <c r="K903" i="1"/>
  <c r="L903" i="1" s="1"/>
  <c r="K904" i="1"/>
  <c r="L904" i="1" s="1"/>
  <c r="K905" i="1"/>
  <c r="L905" i="1" s="1"/>
  <c r="K906" i="1"/>
  <c r="L906" i="1" s="1"/>
  <c r="K907" i="1"/>
  <c r="L907" i="1" s="1"/>
  <c r="K908" i="1"/>
  <c r="L908" i="1" s="1"/>
  <c r="K909" i="1"/>
  <c r="L909" i="1" s="1"/>
  <c r="K910" i="1"/>
  <c r="L910" i="1" s="1"/>
  <c r="K911" i="1"/>
  <c r="L911" i="1" s="1"/>
  <c r="K912" i="1"/>
  <c r="L912" i="1" s="1"/>
  <c r="K913" i="1"/>
  <c r="L913" i="1" s="1"/>
  <c r="K914" i="1"/>
  <c r="L914" i="1" s="1"/>
  <c r="K915" i="1"/>
  <c r="L915" i="1" s="1"/>
  <c r="K916" i="1"/>
  <c r="L916" i="1" s="1"/>
  <c r="K917" i="1"/>
  <c r="L917" i="1" s="1"/>
  <c r="K918" i="1"/>
  <c r="L918" i="1" s="1"/>
  <c r="K919" i="1"/>
  <c r="L919" i="1" s="1"/>
  <c r="K920" i="1"/>
  <c r="L920" i="1" s="1"/>
  <c r="K921" i="1"/>
  <c r="L921" i="1" s="1"/>
  <c r="K922" i="1"/>
  <c r="L922" i="1" s="1"/>
  <c r="K923" i="1"/>
  <c r="L923" i="1" s="1"/>
  <c r="K924" i="1"/>
  <c r="K925" i="1"/>
  <c r="L925" i="1" s="1"/>
  <c r="K926" i="1"/>
  <c r="L926" i="1" s="1"/>
  <c r="K927" i="1"/>
  <c r="L927" i="1" s="1"/>
  <c r="K928" i="1"/>
  <c r="L928" i="1" s="1"/>
  <c r="K929" i="1"/>
  <c r="L929" i="1" s="1"/>
  <c r="K930" i="1"/>
  <c r="L930" i="1" s="1"/>
  <c r="K931" i="1"/>
  <c r="L931" i="1" s="1"/>
  <c r="K932" i="1"/>
  <c r="L932" i="1" s="1"/>
  <c r="K933" i="1"/>
  <c r="L933" i="1" s="1"/>
  <c r="K934" i="1"/>
  <c r="L934" i="1" s="1"/>
  <c r="K935" i="1"/>
  <c r="L935" i="1" s="1"/>
  <c r="K936" i="1"/>
  <c r="L936" i="1" s="1"/>
  <c r="K937" i="1"/>
  <c r="L937" i="1" s="1"/>
  <c r="K938" i="1"/>
  <c r="L938" i="1" s="1"/>
  <c r="K939" i="1"/>
  <c r="L939" i="1" s="1"/>
  <c r="K940" i="1"/>
  <c r="L940" i="1" s="1"/>
  <c r="K941" i="1"/>
  <c r="L941" i="1" s="1"/>
  <c r="K942" i="1"/>
  <c r="L942" i="1" s="1"/>
  <c r="K943" i="1"/>
  <c r="L943" i="1" s="1"/>
  <c r="K944" i="1"/>
  <c r="L944" i="1" s="1"/>
  <c r="K945" i="1"/>
  <c r="L945" i="1" s="1"/>
  <c r="K946" i="1"/>
  <c r="L946" i="1" s="1"/>
  <c r="K947" i="1"/>
  <c r="L947" i="1" s="1"/>
  <c r="K948" i="1"/>
  <c r="L948" i="1" s="1"/>
  <c r="K949" i="1"/>
  <c r="L949" i="1" s="1"/>
  <c r="K950" i="1"/>
  <c r="L950" i="1" s="1"/>
  <c r="K951" i="1"/>
  <c r="L951" i="1" s="1"/>
  <c r="K952" i="1"/>
  <c r="L952" i="1" s="1"/>
  <c r="K953" i="1"/>
  <c r="L953" i="1" s="1"/>
  <c r="K954" i="1"/>
  <c r="L954" i="1" s="1"/>
  <c r="K955" i="1"/>
  <c r="L955" i="1" s="1"/>
  <c r="K956" i="1"/>
  <c r="L956" i="1" s="1"/>
  <c r="K957" i="1"/>
  <c r="L957" i="1" s="1"/>
  <c r="K958" i="1"/>
  <c r="L958" i="1" s="1"/>
  <c r="K959" i="1"/>
  <c r="L959" i="1" s="1"/>
  <c r="K960" i="1"/>
  <c r="L960" i="1" s="1"/>
  <c r="K961" i="1"/>
  <c r="L961" i="1" s="1"/>
  <c r="K962" i="1"/>
  <c r="L962" i="1" s="1"/>
  <c r="K963" i="1"/>
  <c r="L963" i="1" s="1"/>
  <c r="K964" i="1"/>
  <c r="L964" i="1" s="1"/>
  <c r="K965" i="1"/>
  <c r="L965" i="1" s="1"/>
  <c r="K966" i="1"/>
  <c r="L966" i="1" s="1"/>
  <c r="K967" i="1"/>
  <c r="L967" i="1" s="1"/>
  <c r="K968" i="1"/>
  <c r="L968" i="1" s="1"/>
  <c r="K969" i="1"/>
  <c r="L969" i="1" s="1"/>
  <c r="K970" i="1"/>
  <c r="L970" i="1" s="1"/>
  <c r="K971" i="1"/>
  <c r="L971" i="1" s="1"/>
  <c r="K972" i="1"/>
  <c r="K973" i="1"/>
  <c r="L973" i="1" s="1"/>
  <c r="K974" i="1"/>
  <c r="L974" i="1" s="1"/>
  <c r="K975" i="1"/>
  <c r="L975" i="1" s="1"/>
  <c r="K976" i="1"/>
  <c r="L976" i="1" s="1"/>
  <c r="K977" i="1"/>
  <c r="L977" i="1" s="1"/>
  <c r="K978" i="1"/>
  <c r="L978" i="1" s="1"/>
  <c r="K979" i="1"/>
  <c r="L979" i="1" s="1"/>
  <c r="K980" i="1"/>
  <c r="L980" i="1" s="1"/>
  <c r="K981" i="1"/>
  <c r="L981" i="1" s="1"/>
  <c r="K982" i="1"/>
  <c r="L982" i="1" s="1"/>
  <c r="K983" i="1"/>
  <c r="L983" i="1" s="1"/>
  <c r="K984" i="1"/>
  <c r="L984" i="1" s="1"/>
  <c r="K985" i="1"/>
  <c r="L985" i="1" s="1"/>
  <c r="K986" i="1"/>
  <c r="L986" i="1" s="1"/>
  <c r="K987" i="1"/>
  <c r="L987" i="1" s="1"/>
  <c r="K988" i="1"/>
  <c r="L988" i="1" s="1"/>
  <c r="K989" i="1"/>
  <c r="L989" i="1" s="1"/>
  <c r="K990" i="1"/>
  <c r="L990" i="1" s="1"/>
  <c r="K991" i="1"/>
  <c r="L991" i="1" s="1"/>
  <c r="K992" i="1"/>
  <c r="L992" i="1" s="1"/>
  <c r="K993" i="1"/>
  <c r="L993" i="1" s="1"/>
  <c r="K994" i="1"/>
  <c r="L994" i="1" s="1"/>
  <c r="K995" i="1"/>
  <c r="L995" i="1" s="1"/>
  <c r="K996" i="1"/>
  <c r="L996" i="1" s="1"/>
  <c r="K997" i="1"/>
  <c r="L997" i="1" s="1"/>
  <c r="K998" i="1"/>
  <c r="L998" i="1" s="1"/>
  <c r="K999" i="1"/>
  <c r="L999" i="1" s="1"/>
  <c r="K1000" i="1"/>
  <c r="L1000" i="1" s="1"/>
  <c r="K1001" i="1"/>
  <c r="L1001" i="1" s="1"/>
  <c r="K1002" i="1"/>
  <c r="L1002" i="1" s="1"/>
  <c r="K1003" i="1"/>
  <c r="L1003" i="1" s="1"/>
  <c r="K1004" i="1"/>
  <c r="L1004" i="1" s="1"/>
  <c r="K1005" i="1"/>
  <c r="L1005" i="1" s="1"/>
  <c r="K1006" i="1"/>
  <c r="L1006" i="1" s="1"/>
  <c r="K1007" i="1"/>
  <c r="L1007" i="1" s="1"/>
  <c r="K1008" i="1"/>
  <c r="L1008" i="1" s="1"/>
  <c r="K1009" i="1"/>
  <c r="L1009" i="1" s="1"/>
  <c r="K2" i="1"/>
  <c r="B11" i="2" l="1"/>
  <c r="L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44B70B-191A-44AE-B7A9-C0B7ECDB33B7}" keepAlive="1" name="Query - energy_timestamp" description="Connection to the 'energy_timestamp' query in the workbook." type="5" refreshedVersion="8" background="1" saveData="1">
    <dbPr connection="Provider=Microsoft.Mashup.OleDb.1;Data Source=$Workbook$;Location=energy_timestamp;Extended Properties=&quot;&quot;" command="SELECT * FROM [energy_timestamp]"/>
  </connection>
</connections>
</file>

<file path=xl/sharedStrings.xml><?xml version="1.0" encoding="utf-8"?>
<sst xmlns="http://schemas.openxmlformats.org/spreadsheetml/2006/main" count="3089" uniqueCount="379">
  <si>
    <t>timestamp</t>
  </si>
  <si>
    <t>region_id</t>
  </si>
  <si>
    <t>temperature_c</t>
  </si>
  <si>
    <t>cloud_cover_pct</t>
  </si>
  <si>
    <t>wind_speed_ms</t>
  </si>
  <si>
    <t>solar_mw</t>
  </si>
  <si>
    <t>wind_mw</t>
  </si>
  <si>
    <t>fossil_backup_mw</t>
  </si>
  <si>
    <t>grid_demand_mw</t>
  </si>
  <si>
    <t>grid_strain_incident</t>
  </si>
  <si>
    <t>REG_NORTH</t>
  </si>
  <si>
    <t>REG_SOUTH</t>
  </si>
  <si>
    <t>REG_EAST</t>
  </si>
  <si>
    <t>Graph A: Clustered Column &amp; Line Combo Chart (Supply vs. Demand Bottlenecks)</t>
  </si>
  <si>
    <r>
      <t>Strategic Insight:</t>
    </r>
    <r>
      <rPr>
        <sz val="10"/>
        <color theme="1"/>
        <rFont val="Arial"/>
        <family val="2"/>
      </rPr>
      <t xml:space="preserve"> Proves visually that grid strain spikes to 100% between 18:00 and 21:00 across all regions when solar output drops to zero but demand surges.</t>
    </r>
  </si>
  <si>
    <t>Graph B: Stacked Bar Chart (Regional Sustainability Matrix)</t>
  </si>
  <si>
    <t>sum of renewable energy resource</t>
  </si>
  <si>
    <t>Total Grid Strain Incidents:</t>
  </si>
  <si>
    <r>
      <t>Grid Strain Incident Rate:</t>
    </r>
    <r>
      <rPr>
        <sz val="10"/>
        <color theme="1"/>
        <rFont val="Arial"/>
        <family val="2"/>
      </rPr>
      <t xml:space="preserve"> .</t>
    </r>
  </si>
  <si>
    <r>
      <t>Renewable Energy Penetration:</t>
    </r>
    <r>
      <rPr>
        <sz val="10"/>
        <color theme="1"/>
        <rFont val="Arial"/>
        <family val="2"/>
      </rPr>
      <t xml:space="preserve"> </t>
    </r>
  </si>
  <si>
    <r>
      <t>Fossil Fuel Backup Utilization:</t>
    </r>
    <r>
      <rPr>
        <sz val="10"/>
        <color theme="1"/>
        <rFont val="Arial"/>
        <family val="2"/>
      </rPr>
      <t xml:space="preserve"> </t>
    </r>
  </si>
  <si>
    <t>Row Labels</t>
  </si>
  <si>
    <t>Grand Total</t>
  </si>
  <si>
    <t>Sum of solar_mw</t>
  </si>
  <si>
    <t>Sum of wind_mw</t>
  </si>
  <si>
    <t>Sum of fossil_backup_mw</t>
  </si>
  <si>
    <t>Average of grid_demand_mw</t>
  </si>
  <si>
    <t>Total supply</t>
  </si>
  <si>
    <t>Average of Total supply</t>
  </si>
  <si>
    <t>Hour</t>
  </si>
  <si>
    <t>Analytic Graphs</t>
  </si>
  <si>
    <t>X-Axis:Hour (0 to 23)</t>
  </si>
  <si>
    <t>Secondary Y-Axis (Line): Grid strain incident</t>
  </si>
  <si>
    <r>
      <t xml:space="preserve">Primary Y-Axis (Columns): Average </t>
    </r>
    <r>
      <rPr>
        <sz val="10"/>
        <color theme="1"/>
        <rFont val="Calibri"/>
        <family val="2"/>
        <scheme val="minor"/>
      </rPr>
      <t>grid_demand_mw</t>
    </r>
    <r>
      <rPr>
        <sz val="10"/>
        <color theme="1"/>
        <rFont val="Arial"/>
        <family val="2"/>
      </rPr>
      <t xml:space="preserve"> vs. Average Total Supply</t>
    </r>
    <r>
      <rPr>
        <sz val="10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(renewable_generation_mw + fossil_backup_mw).</t>
    </r>
  </si>
  <si>
    <r>
      <t>Rows: r</t>
    </r>
    <r>
      <rPr>
        <sz val="10"/>
        <color theme="1"/>
        <rFont val="Calibri"/>
        <family val="2"/>
        <scheme val="minor"/>
      </rPr>
      <t>egion_id</t>
    </r>
    <r>
      <rPr>
        <sz val="10"/>
        <color theme="1"/>
        <rFont val="Arial"/>
        <family val="2"/>
      </rPr>
      <t xml:space="preserve"> (REG_NORTH, REG_SOUTH, REG_EAST).</t>
    </r>
  </si>
  <si>
    <r>
      <t xml:space="preserve">Bars: Sum of </t>
    </r>
    <r>
      <rPr>
        <sz val="11"/>
        <color theme="1"/>
        <rFont val="Calibri"/>
        <family val="2"/>
        <scheme val="minor"/>
      </rPr>
      <t>solar_mw</t>
    </r>
    <r>
      <rPr>
        <sz val="10"/>
        <color theme="1"/>
        <rFont val="Arial"/>
        <family val="2"/>
      </rPr>
      <t xml:space="preserve"> vs. Sum of</t>
    </r>
    <r>
      <rPr>
        <sz val="12"/>
        <color theme="1"/>
        <rFont val="Calibri"/>
        <family val="2"/>
        <scheme val="minor"/>
      </rPr>
      <t xml:space="preserve"> wind_mw.</t>
    </r>
  </si>
  <si>
    <r>
      <t xml:space="preserve">Strategic Insight: Highlights that </t>
    </r>
    <r>
      <rPr>
        <sz val="10"/>
        <color theme="1"/>
        <rFont val="Calibri"/>
        <family val="2"/>
        <scheme val="minor"/>
      </rPr>
      <t>REG_SOUTH</t>
    </r>
    <r>
      <rPr>
        <sz val="10"/>
        <color theme="1"/>
        <rFont val="Arial"/>
        <family val="2"/>
      </rPr>
      <t xml:space="preserve"> dominates wind generation, while </t>
    </r>
    <r>
      <rPr>
        <sz val="8"/>
        <color theme="1"/>
        <rFont val="Courier New"/>
        <family val="3"/>
      </rPr>
      <t>REG_NORTH</t>
    </r>
    <r>
      <rPr>
        <sz val="10"/>
        <color theme="1"/>
        <rFont val="Arial"/>
        <family val="2"/>
      </rPr>
      <t xml:space="preserve"> holds the highest solar capacity, guiding corporate clean energy procurement strategies.</t>
    </r>
  </si>
  <si>
    <t xml:space="preserve">KPIs </t>
  </si>
  <si>
    <t>Project: Smart Grid Risk Modeling &amp; Sustainability Dashboard</t>
  </si>
  <si>
    <r>
      <rPr>
        <b/>
        <sz val="10"/>
        <color theme="1"/>
        <rFont val="Arial"/>
        <family val="2"/>
      </rPr>
      <t>Modeled structural supply-demand</t>
    </r>
    <r>
      <rPr>
        <sz val="10"/>
        <color theme="1"/>
        <rFont val="Arial"/>
        <family val="2"/>
      </rPr>
      <t xml:space="preserve"> risks by parsing environmental thresholds and netting instantaneous load deficits against intermittent renewable output paths.</t>
    </r>
  </si>
  <si>
    <r>
      <rPr>
        <b/>
        <sz val="10"/>
        <color theme="1"/>
        <rFont val="Arial"/>
        <family val="2"/>
      </rPr>
      <t xml:space="preserve">Developed an automated executive Excel dashboard </t>
    </r>
    <r>
      <rPr>
        <sz val="10"/>
        <color theme="1"/>
        <rFont val="Arial"/>
        <family val="2"/>
      </rPr>
      <t>via Power Query integration, incorporating interactive dynamic slicers, conditional hazard color mapping, and multi-axis performance trend graphs.</t>
    </r>
  </si>
  <si>
    <r>
      <rPr>
        <b/>
        <sz val="10"/>
        <color theme="1"/>
        <rFont val="Arial"/>
        <family val="2"/>
      </rPr>
      <t>Business Value Uncovered</t>
    </r>
    <r>
      <rPr>
        <sz val="10"/>
        <color theme="1"/>
        <rFont val="Arial"/>
        <family val="2"/>
      </rPr>
      <t>: Isolated a systematic 7</t>
    </r>
    <r>
      <rPr>
        <b/>
        <sz val="10"/>
        <color theme="1"/>
        <rFont val="Arial"/>
        <family val="2"/>
      </rPr>
      <t>8.0% grid strain vulnerability rate</t>
    </r>
    <r>
      <rPr>
        <sz val="10"/>
        <color theme="1"/>
        <rFont val="Arial"/>
        <family val="2"/>
      </rPr>
      <t>, establishing concrete proof that current storage capabilities fail to cover peak load demand during evening solar drop-off cycles.</t>
    </r>
  </si>
  <si>
    <r>
      <rPr>
        <b/>
        <sz val="10"/>
        <color theme="1"/>
        <rFont val="Arial"/>
        <family val="2"/>
      </rPr>
      <t>Architectured an analytical ETL pipeline</t>
    </r>
    <r>
      <rPr>
        <sz val="10"/>
        <color theme="1"/>
        <rFont val="Arial"/>
        <family val="2"/>
      </rPr>
      <t xml:space="preserve"> translating over 1000 granular energy records across three regional nodes (</t>
    </r>
    <r>
      <rPr>
        <sz val="8"/>
        <color theme="1"/>
        <rFont val="Courier New"/>
        <family val="3"/>
      </rPr>
      <t>REG_NORTH</t>
    </r>
    <r>
      <rPr>
        <sz val="10"/>
        <color theme="1"/>
        <rFont val="Arial"/>
        <family val="2"/>
      </rPr>
      <t xml:space="preserve">, </t>
    </r>
    <r>
      <rPr>
        <sz val="8"/>
        <color theme="1"/>
        <rFont val="Courier New"/>
        <family val="3"/>
      </rPr>
      <t>REG_SOUTH</t>
    </r>
    <r>
      <rPr>
        <sz val="10"/>
        <color theme="1"/>
        <rFont val="Arial"/>
        <family val="2"/>
      </rPr>
      <t xml:space="preserve">, </t>
    </r>
    <r>
      <rPr>
        <sz val="8"/>
        <color theme="1"/>
        <rFont val="Courier New"/>
        <family val="3"/>
      </rPr>
      <t>REG_EAST</t>
    </r>
    <r>
      <rPr>
        <sz val="10"/>
        <color theme="1"/>
        <rFont val="Arial"/>
        <family val="2"/>
      </rPr>
      <t>), engineering rolling capacity performance tables via SQL windowing logic.</t>
    </r>
  </si>
  <si>
    <t>2026-09-01 00:00:00</t>
  </si>
  <si>
    <t>2026-09-01 01:00:00</t>
  </si>
  <si>
    <t>2026-09-01 02:00:00</t>
  </si>
  <si>
    <t>2026-09-01 03:00:00</t>
  </si>
  <si>
    <t>2026-09-01 04:00:00</t>
  </si>
  <si>
    <t>2026-09-01 05:00:00</t>
  </si>
  <si>
    <t>2026-09-01 06:00:00</t>
  </si>
  <si>
    <t>2026-09-01 07:00:00</t>
  </si>
  <si>
    <t>2026-09-01 08:00:00</t>
  </si>
  <si>
    <t>2026-09-01 09:00:00</t>
  </si>
  <si>
    <t>2026-09-01 10:00:00</t>
  </si>
  <si>
    <t>2026-09-01 11:00:00</t>
  </si>
  <si>
    <t>2026-09-01 12:00:00</t>
  </si>
  <si>
    <t>2026-09-01 13:00:00</t>
  </si>
  <si>
    <t>2026-09-01 14:00:00</t>
  </si>
  <si>
    <t>2026-09-01 15:00:00</t>
  </si>
  <si>
    <t>2026-09-01 16:00:00</t>
  </si>
  <si>
    <t>2026-09-01 17:00:00</t>
  </si>
  <si>
    <t>2026-09-01 18:00:00</t>
  </si>
  <si>
    <t>2026-09-01 19:00:00</t>
  </si>
  <si>
    <t>2026-09-01 20:00:00</t>
  </si>
  <si>
    <t>2026-09-01 21:00:00</t>
  </si>
  <si>
    <t>2026-09-01 22:00:00</t>
  </si>
  <si>
    <t>2026-09-01 23:00:00</t>
  </si>
  <si>
    <t>2026-09-02 00:00:00</t>
  </si>
  <si>
    <t>2026-09-02 01:00:00</t>
  </si>
  <si>
    <t>2026-09-02 02:00:00</t>
  </si>
  <si>
    <t>2026-09-02 03:00:00</t>
  </si>
  <si>
    <t>2026-09-02 04:00:00</t>
  </si>
  <si>
    <t>2026-09-02 05:00:00</t>
  </si>
  <si>
    <t>2026-09-02 06:00:00</t>
  </si>
  <si>
    <t>2026-09-02 07:00:00</t>
  </si>
  <si>
    <t>2026-09-02 08:00:00</t>
  </si>
  <si>
    <t>2026-09-02 09:00:00</t>
  </si>
  <si>
    <t>2026-09-02 10:00:00</t>
  </si>
  <si>
    <t>2026-09-02 11:00:00</t>
  </si>
  <si>
    <t>2026-09-02 12:00:00</t>
  </si>
  <si>
    <t>2026-09-02 13:00:00</t>
  </si>
  <si>
    <t>2026-09-02 14:00:00</t>
  </si>
  <si>
    <t>2026-09-02 15:00:00</t>
  </si>
  <si>
    <t>2026-09-02 16:00:00</t>
  </si>
  <si>
    <t>2026-09-02 17:00:00</t>
  </si>
  <si>
    <t>2026-09-02 18:00:00</t>
  </si>
  <si>
    <t>2026-09-02 19:00:00</t>
  </si>
  <si>
    <t>2026-09-02 20:00:00</t>
  </si>
  <si>
    <t>2026-09-02 21:00:00</t>
  </si>
  <si>
    <t>2026-09-02 22:00:00</t>
  </si>
  <si>
    <t>2026-09-02 23:00:00</t>
  </si>
  <si>
    <t>2026-09-03 00:00:00</t>
  </si>
  <si>
    <t>2026-09-03 01:00:00</t>
  </si>
  <si>
    <t>2026-09-03 02:00:00</t>
  </si>
  <si>
    <t>2026-09-03 03:00:00</t>
  </si>
  <si>
    <t>2026-09-03 04:00:00</t>
  </si>
  <si>
    <t>2026-09-03 05:00:00</t>
  </si>
  <si>
    <t>2026-09-03 06:00:00</t>
  </si>
  <si>
    <t>2026-09-03 07:00:00</t>
  </si>
  <si>
    <t>2026-09-03 08:00:00</t>
  </si>
  <si>
    <t>2026-09-03 09:00:00</t>
  </si>
  <si>
    <t>2026-09-03 10:00:00</t>
  </si>
  <si>
    <t>2026-09-03 11:00:00</t>
  </si>
  <si>
    <t>2026-09-03 12:00:00</t>
  </si>
  <si>
    <t>2026-09-03 13:00:00</t>
  </si>
  <si>
    <t>2026-09-03 14:00:00</t>
  </si>
  <si>
    <t>2026-09-03 15:00:00</t>
  </si>
  <si>
    <t>2026-09-03 16:00:00</t>
  </si>
  <si>
    <t>2026-09-03 17:00:00</t>
  </si>
  <si>
    <t>2026-09-03 18:00:00</t>
  </si>
  <si>
    <t>2026-09-03 19:00:00</t>
  </si>
  <si>
    <t>2026-09-03 20:00:00</t>
  </si>
  <si>
    <t>2026-09-03 21:00:00</t>
  </si>
  <si>
    <t>2026-09-03 22:00:00</t>
  </si>
  <si>
    <t>2026-09-03 23:00:00</t>
  </si>
  <si>
    <t>2026-09-04 00:00:00</t>
  </si>
  <si>
    <t>2026-09-04 01:00:00</t>
  </si>
  <si>
    <t>2026-09-04 02:00:00</t>
  </si>
  <si>
    <t>2026-09-04 03:00:00</t>
  </si>
  <si>
    <t>2026-09-04 04:00:00</t>
  </si>
  <si>
    <t>2026-09-04 05:00:00</t>
  </si>
  <si>
    <t>2026-09-04 06:00:00</t>
  </si>
  <si>
    <t>2026-09-04 07:00:00</t>
  </si>
  <si>
    <t>2026-09-04 08:00:00</t>
  </si>
  <si>
    <t>2026-09-04 09:00:00</t>
  </si>
  <si>
    <t>2026-09-04 10:00:00</t>
  </si>
  <si>
    <t>2026-09-04 11:00:00</t>
  </si>
  <si>
    <t>2026-09-04 12:00:00</t>
  </si>
  <si>
    <t>2026-09-04 13:00:00</t>
  </si>
  <si>
    <t>2026-09-04 14:00:00</t>
  </si>
  <si>
    <t>2026-09-04 15:00:00</t>
  </si>
  <si>
    <t>2026-09-04 16:00:00</t>
  </si>
  <si>
    <t>2026-09-04 17:00:00</t>
  </si>
  <si>
    <t>2026-09-04 18:00:00</t>
  </si>
  <si>
    <t>2026-09-04 19:00:00</t>
  </si>
  <si>
    <t>2026-09-04 20:00:00</t>
  </si>
  <si>
    <t>2026-09-04 21:00:00</t>
  </si>
  <si>
    <t>2026-09-04 22:00:00</t>
  </si>
  <si>
    <t>2026-09-04 23:00:00</t>
  </si>
  <si>
    <t>2026-09-05 00:00:00</t>
  </si>
  <si>
    <t>2026-09-05 01:00:00</t>
  </si>
  <si>
    <t>2026-09-05 02:00:00</t>
  </si>
  <si>
    <t>2026-09-05 03:00:00</t>
  </si>
  <si>
    <t>2026-09-05 04:00:00</t>
  </si>
  <si>
    <t>2026-09-05 05:00:00</t>
  </si>
  <si>
    <t>2026-09-05 06:00:00</t>
  </si>
  <si>
    <t>2026-09-05 07:00:00</t>
  </si>
  <si>
    <t>2026-09-05 08:00:00</t>
  </si>
  <si>
    <t>2026-09-05 09:00:00</t>
  </si>
  <si>
    <t>2026-09-05 10:00:00</t>
  </si>
  <si>
    <t>2026-09-05 11:00:00</t>
  </si>
  <si>
    <t>2026-09-05 12:00:00</t>
  </si>
  <si>
    <t>2026-09-05 13:00:00</t>
  </si>
  <si>
    <t>2026-09-05 14:00:00</t>
  </si>
  <si>
    <t>2026-09-05 15:00:00</t>
  </si>
  <si>
    <t>2026-09-05 16:00:00</t>
  </si>
  <si>
    <t>2026-09-05 17:00:00</t>
  </si>
  <si>
    <t>2026-09-05 18:00:00</t>
  </si>
  <si>
    <t>2026-09-05 19:00:00</t>
  </si>
  <si>
    <t>2026-09-05 20:00:00</t>
  </si>
  <si>
    <t>2026-09-05 21:00:00</t>
  </si>
  <si>
    <t>2026-09-05 22:00:00</t>
  </si>
  <si>
    <t>2026-09-05 23:00:00</t>
  </si>
  <si>
    <t>2026-09-06 00:00:00</t>
  </si>
  <si>
    <t>2026-09-06 01:00:00</t>
  </si>
  <si>
    <t>2026-09-06 02:00:00</t>
  </si>
  <si>
    <t>2026-09-06 03:00:00</t>
  </si>
  <si>
    <t>2026-09-06 04:00:00</t>
  </si>
  <si>
    <t>2026-09-06 05:00:00</t>
  </si>
  <si>
    <t>2026-09-06 06:00:00</t>
  </si>
  <si>
    <t>2026-09-06 07:00:00</t>
  </si>
  <si>
    <t>2026-09-06 08:00:00</t>
  </si>
  <si>
    <t>2026-09-06 09:00:00</t>
  </si>
  <si>
    <t>2026-09-06 10:00:00</t>
  </si>
  <si>
    <t>2026-09-06 11:00:00</t>
  </si>
  <si>
    <t>2026-09-06 12:00:00</t>
  </si>
  <si>
    <t>2026-09-06 13:00:00</t>
  </si>
  <si>
    <t>2026-09-06 14:00:00</t>
  </si>
  <si>
    <t>2026-09-06 15:00:00</t>
  </si>
  <si>
    <t>2026-09-06 16:00:00</t>
  </si>
  <si>
    <t>2026-09-06 17:00:00</t>
  </si>
  <si>
    <t>2026-09-06 18:00:00</t>
  </si>
  <si>
    <t>2026-09-06 19:00:00</t>
  </si>
  <si>
    <t>2026-09-06 20:00:00</t>
  </si>
  <si>
    <t>2026-09-06 21:00:00</t>
  </si>
  <si>
    <t>2026-09-06 22:00:00</t>
  </si>
  <si>
    <t>2026-09-06 23:00:00</t>
  </si>
  <si>
    <t>2026-09-07 00:00:00</t>
  </si>
  <si>
    <t>2026-09-07 01:00:00</t>
  </si>
  <si>
    <t>2026-09-07 02:00:00</t>
  </si>
  <si>
    <t>2026-09-07 03:00:00</t>
  </si>
  <si>
    <t>2026-09-07 04:00:00</t>
  </si>
  <si>
    <t>2026-09-07 05:00:00</t>
  </si>
  <si>
    <t>2026-09-07 06:00:00</t>
  </si>
  <si>
    <t>2026-09-07 07:00:00</t>
  </si>
  <si>
    <t>2026-09-07 08:00:00</t>
  </si>
  <si>
    <t>2026-09-07 09:00:00</t>
  </si>
  <si>
    <t>2026-09-07 10:00:00</t>
  </si>
  <si>
    <t>2026-09-07 11:00:00</t>
  </si>
  <si>
    <t>2026-09-07 12:00:00</t>
  </si>
  <si>
    <t>2026-09-07 13:00:00</t>
  </si>
  <si>
    <t>2026-09-07 14:00:00</t>
  </si>
  <si>
    <t>2026-09-07 15:00:00</t>
  </si>
  <si>
    <t>2026-09-07 16:00:00</t>
  </si>
  <si>
    <t>2026-09-07 17:00:00</t>
  </si>
  <si>
    <t>2026-09-07 18:00:00</t>
  </si>
  <si>
    <t>2026-09-07 19:00:00</t>
  </si>
  <si>
    <t>2026-09-07 20:00:00</t>
  </si>
  <si>
    <t>2026-09-07 21:00:00</t>
  </si>
  <si>
    <t>2026-09-07 22:00:00</t>
  </si>
  <si>
    <t>2026-09-07 23:00:00</t>
  </si>
  <si>
    <t>2026-09-08 00:00:00</t>
  </si>
  <si>
    <t>2026-09-08 01:00:00</t>
  </si>
  <si>
    <t>2026-09-08 02:00:00</t>
  </si>
  <si>
    <t>2026-09-08 03:00:00</t>
  </si>
  <si>
    <t>2026-09-08 04:00:00</t>
  </si>
  <si>
    <t>2026-09-08 05:00:00</t>
  </si>
  <si>
    <t>2026-09-08 06:00:00</t>
  </si>
  <si>
    <t>2026-09-08 07:00:00</t>
  </si>
  <si>
    <t>2026-09-08 08:00:00</t>
  </si>
  <si>
    <t>2026-09-08 09:00:00</t>
  </si>
  <si>
    <t>2026-09-08 10:00:00</t>
  </si>
  <si>
    <t>2026-09-08 11:00:00</t>
  </si>
  <si>
    <t>2026-09-08 12:00:00</t>
  </si>
  <si>
    <t>2026-09-08 13:00:00</t>
  </si>
  <si>
    <t>2026-09-08 14:00:00</t>
  </si>
  <si>
    <t>2026-09-08 15:00:00</t>
  </si>
  <si>
    <t>2026-09-08 16:00:00</t>
  </si>
  <si>
    <t>2026-09-08 17:00:00</t>
  </si>
  <si>
    <t>2026-09-08 18:00:00</t>
  </si>
  <si>
    <t>2026-09-08 19:00:00</t>
  </si>
  <si>
    <t>2026-09-08 20:00:00</t>
  </si>
  <si>
    <t>2026-09-08 21:00:00</t>
  </si>
  <si>
    <t>2026-09-08 22:00:00</t>
  </si>
  <si>
    <t>2026-09-08 23:00:00</t>
  </si>
  <si>
    <t>2026-09-09 00:00:00</t>
  </si>
  <si>
    <t>2026-09-09 01:00:00</t>
  </si>
  <si>
    <t>2026-09-09 02:00:00</t>
  </si>
  <si>
    <t>2026-09-09 03:00:00</t>
  </si>
  <si>
    <t>2026-09-09 04:00:00</t>
  </si>
  <si>
    <t>2026-09-09 05:00:00</t>
  </si>
  <si>
    <t>2026-09-09 06:00:00</t>
  </si>
  <si>
    <t>2026-09-09 07:00:00</t>
  </si>
  <si>
    <t>2026-09-09 08:00:00</t>
  </si>
  <si>
    <t>2026-09-09 09:00:00</t>
  </si>
  <si>
    <t>2026-09-09 10:00:00</t>
  </si>
  <si>
    <t>2026-09-09 11:00:00</t>
  </si>
  <si>
    <t>2026-09-09 12:00:00</t>
  </si>
  <si>
    <t>2026-09-09 13:00:00</t>
  </si>
  <si>
    <t>2026-09-09 14:00:00</t>
  </si>
  <si>
    <t>2026-09-09 15:00:00</t>
  </si>
  <si>
    <t>2026-09-09 16:00:00</t>
  </si>
  <si>
    <t>2026-09-09 17:00:00</t>
  </si>
  <si>
    <t>2026-09-09 18:00:00</t>
  </si>
  <si>
    <t>2026-09-09 19:00:00</t>
  </si>
  <si>
    <t>2026-09-09 20:00:00</t>
  </si>
  <si>
    <t>2026-09-09 21:00:00</t>
  </si>
  <si>
    <t>2026-09-09 22:00:00</t>
  </si>
  <si>
    <t>2026-09-09 23:00:00</t>
  </si>
  <si>
    <t>2026-09-10 00:00:00</t>
  </si>
  <si>
    <t>2026-09-10 01:00:00</t>
  </si>
  <si>
    <t>2026-09-10 02:00:00</t>
  </si>
  <si>
    <t>2026-09-10 03:00:00</t>
  </si>
  <si>
    <t>2026-09-10 04:00:00</t>
  </si>
  <si>
    <t>2026-09-10 05:00:00</t>
  </si>
  <si>
    <t>2026-09-10 06:00:00</t>
  </si>
  <si>
    <t>2026-09-10 07:00:00</t>
  </si>
  <si>
    <t>2026-09-10 08:00:00</t>
  </si>
  <si>
    <t>2026-09-10 09:00:00</t>
  </si>
  <si>
    <t>2026-09-10 10:00:00</t>
  </si>
  <si>
    <t>2026-09-10 11:00:00</t>
  </si>
  <si>
    <t>2026-09-10 12:00:00</t>
  </si>
  <si>
    <t>2026-09-10 13:00:00</t>
  </si>
  <si>
    <t>2026-09-10 14:00:00</t>
  </si>
  <si>
    <t>2026-09-10 15:00:00</t>
  </si>
  <si>
    <t>2026-09-10 16:00:00</t>
  </si>
  <si>
    <t>2026-09-10 17:00:00</t>
  </si>
  <si>
    <t>2026-09-10 18:00:00</t>
  </si>
  <si>
    <t>2026-09-10 19:00:00</t>
  </si>
  <si>
    <t>2026-09-10 20:00:00</t>
  </si>
  <si>
    <t>2026-09-10 21:00:00</t>
  </si>
  <si>
    <t>2026-09-10 22:00:00</t>
  </si>
  <si>
    <t>2026-09-10 23:00:00</t>
  </si>
  <si>
    <t>2026-09-11 00:00:00</t>
  </si>
  <si>
    <t>2026-09-11 01:00:00</t>
  </si>
  <si>
    <t>2026-09-11 02:00:00</t>
  </si>
  <si>
    <t>2026-09-11 03:00:00</t>
  </si>
  <si>
    <t>2026-09-11 04:00:00</t>
  </si>
  <si>
    <t>2026-09-11 05:00:00</t>
  </si>
  <si>
    <t>2026-09-11 06:00:00</t>
  </si>
  <si>
    <t>2026-09-11 07:00:00</t>
  </si>
  <si>
    <t>2026-09-11 08:00:00</t>
  </si>
  <si>
    <t>2026-09-11 09:00:00</t>
  </si>
  <si>
    <t>2026-09-11 10:00:00</t>
  </si>
  <si>
    <t>2026-09-11 11:00:00</t>
  </si>
  <si>
    <t>2026-09-11 12:00:00</t>
  </si>
  <si>
    <t>2026-09-11 13:00:00</t>
  </si>
  <si>
    <t>2026-09-11 14:00:00</t>
  </si>
  <si>
    <t>2026-09-11 15:00:00</t>
  </si>
  <si>
    <t>2026-09-11 16:00:00</t>
  </si>
  <si>
    <t>2026-09-11 17:00:00</t>
  </si>
  <si>
    <t>2026-09-11 18:00:00</t>
  </si>
  <si>
    <t>2026-09-11 19:00:00</t>
  </si>
  <si>
    <t>2026-09-11 20:00:00</t>
  </si>
  <si>
    <t>2026-09-11 21:00:00</t>
  </si>
  <si>
    <t>2026-09-11 22:00:00</t>
  </si>
  <si>
    <t>2026-09-11 23:00:00</t>
  </si>
  <si>
    <t>2026-09-12 00:00:00</t>
  </si>
  <si>
    <t>2026-09-12 01:00:00</t>
  </si>
  <si>
    <t>2026-09-12 02:00:00</t>
  </si>
  <si>
    <t>2026-09-12 03:00:00</t>
  </si>
  <si>
    <t>2026-09-12 04:00:00</t>
  </si>
  <si>
    <t>2026-09-12 05:00:00</t>
  </si>
  <si>
    <t>2026-09-12 06:00:00</t>
  </si>
  <si>
    <t>2026-09-12 07:00:00</t>
  </si>
  <si>
    <t>2026-09-12 08:00:00</t>
  </si>
  <si>
    <t>2026-09-12 09:00:00</t>
  </si>
  <si>
    <t>2026-09-12 10:00:00</t>
  </si>
  <si>
    <t>2026-09-12 11:00:00</t>
  </si>
  <si>
    <t>2026-09-12 12:00:00</t>
  </si>
  <si>
    <t>2026-09-12 13:00:00</t>
  </si>
  <si>
    <t>2026-09-12 14:00:00</t>
  </si>
  <si>
    <t>2026-09-12 15:00:00</t>
  </si>
  <si>
    <t>2026-09-12 16:00:00</t>
  </si>
  <si>
    <t>2026-09-12 17:00:00</t>
  </si>
  <si>
    <t>2026-09-12 18:00:00</t>
  </si>
  <si>
    <t>2026-09-12 19:00:00</t>
  </si>
  <si>
    <t>2026-09-12 20:00:00</t>
  </si>
  <si>
    <t>2026-09-12 21:00:00</t>
  </si>
  <si>
    <t>2026-09-12 22:00:00</t>
  </si>
  <si>
    <t>2026-09-12 23:00:00</t>
  </si>
  <si>
    <t>2026-09-13 00:00:00</t>
  </si>
  <si>
    <t>2026-09-13 01:00:00</t>
  </si>
  <si>
    <t>2026-09-13 02:00:00</t>
  </si>
  <si>
    <t>2026-09-13 03:00:00</t>
  </si>
  <si>
    <t>2026-09-13 04:00:00</t>
  </si>
  <si>
    <t>2026-09-13 05:00:00</t>
  </si>
  <si>
    <t>2026-09-13 06:00:00</t>
  </si>
  <si>
    <t>2026-09-13 07:00:00</t>
  </si>
  <si>
    <t>2026-09-13 08:00:00</t>
  </si>
  <si>
    <t>2026-09-13 09:00:00</t>
  </si>
  <si>
    <t>2026-09-13 10:00:00</t>
  </si>
  <si>
    <t>2026-09-13 11:00:00</t>
  </si>
  <si>
    <t>2026-09-13 12:00:00</t>
  </si>
  <si>
    <t>2026-09-13 13:00:00</t>
  </si>
  <si>
    <t>2026-09-13 14:00:00</t>
  </si>
  <si>
    <t>2026-09-13 15:00:00</t>
  </si>
  <si>
    <t>2026-09-13 16:00:00</t>
  </si>
  <si>
    <t>2026-09-13 17:00:00</t>
  </si>
  <si>
    <t>2026-09-13 18:00:00</t>
  </si>
  <si>
    <t>2026-09-13 19:00:00</t>
  </si>
  <si>
    <t>2026-09-13 20:00:00</t>
  </si>
  <si>
    <t>2026-09-13 21:00:00</t>
  </si>
  <si>
    <t>2026-09-13 22:00:00</t>
  </si>
  <si>
    <t>2026-09-13 23:00:00</t>
  </si>
  <si>
    <t>2026-09-14 00:00:00</t>
  </si>
  <si>
    <t>2026-09-14 01:00:00</t>
  </si>
  <si>
    <t>2026-09-14 02:00:00</t>
  </si>
  <si>
    <t>2026-09-14 03:00:00</t>
  </si>
  <si>
    <t>2026-09-14 04:00:00</t>
  </si>
  <si>
    <t>2026-09-14 05:00:00</t>
  </si>
  <si>
    <t>2026-09-14 06:00:00</t>
  </si>
  <si>
    <t>2026-09-14 07:00:00</t>
  </si>
  <si>
    <t>2026-09-14 08:00:00</t>
  </si>
  <si>
    <t>2026-09-14 09:00:00</t>
  </si>
  <si>
    <t>2026-09-14 10:00:00</t>
  </si>
  <si>
    <t>2026-09-14 11:00:00</t>
  </si>
  <si>
    <t>2026-09-14 12:00:00</t>
  </si>
  <si>
    <t>2026-09-14 13:00:00</t>
  </si>
  <si>
    <t>2026-09-14 14:00:00</t>
  </si>
  <si>
    <t>2026-09-14 15:00:00</t>
  </si>
  <si>
    <t>2026-09-14 16:00:00</t>
  </si>
  <si>
    <t>2026-09-14 17:00:00</t>
  </si>
  <si>
    <t>2026-09-14 18:00:00</t>
  </si>
  <si>
    <t>2026-09-14 19:00:00</t>
  </si>
  <si>
    <t>2026-09-14 20:00:00</t>
  </si>
  <si>
    <t>2026-09-14 21:00:00</t>
  </si>
  <si>
    <t>2026-09-14 22:00:00</t>
  </si>
  <si>
    <t>2026-09-14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</si>
</sst>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8"/>
      <color theme="1"/>
      <name val="Courier New"/>
      <family val="3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22" fontId="0" fillId="0" borderId="0" xfId="0" applyNumberFormat="1"/>
    <xf numFmtId="0" fontId="19" fillId="0" borderId="0" xfId="0" applyFont="1" applyAlignment="1">
      <alignment horizontal="left" vertical="center" indent="1"/>
    </xf>
    <xf numFmtId="0" fontId="19" fillId="0" borderId="0" xfId="0" applyFont="1" applyAlignment="1">
      <alignment vertical="center"/>
    </xf>
    <xf numFmtId="0" fontId="18" fillId="0" borderId="0" xfId="0" applyFont="1" applyAlignment="1">
      <alignment horizontal="left" vertical="center" indent="1"/>
    </xf>
    <xf numFmtId="9" fontId="20" fillId="0" borderId="0" xfId="1" applyNumberFormat="1" applyFont="1" applyAlignment="1">
      <alignment horizontal="left" vertical="center"/>
    </xf>
    <xf numFmtId="10" fontId="0" fillId="0" borderId="0" xfId="0" applyNumberFormat="1"/>
    <xf numFmtId="0" fontId="20" fillId="0" borderId="0" xfId="0" applyFont="1" applyAlignment="1">
      <alignment horizontal="left" vertical="center"/>
    </xf>
    <xf numFmtId="10" fontId="20" fillId="0" borderId="0" xfId="0" applyNumberFormat="1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horizontal="left" vertical="center" wrapText="1" indent="1"/>
    </xf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[energy_grid_portfolio_dataset.xlsx]region id vs fuel!PivotTable1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lang="en-US" sz="108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Regional sustainibality </a:t>
            </a:r>
          </a:p>
        </c:rich>
      </c:tx>
      <c:layout>
        <c:manualLayout>
          <c:xMode val="edge"/>
          <c:yMode val="edge"/>
          <c:x val="0.28248815596163684"/>
          <c:y val="3.81679389312977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08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61093778372043"/>
          <c:y val="0.21628498727735368"/>
          <c:w val="0.65205454860595258"/>
          <c:h val="0.636143335136542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'region id vs fuel'!$B$3</c:f>
              <c:strCache>
                <c:ptCount val="1"/>
                <c:pt idx="0">
                  <c:v>Sum of solar_mw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 id vs fuel'!$A$4:$A$7</c:f>
              <c:strCache>
                <c:ptCount val="3"/>
                <c:pt idx="0">
                  <c:v>REG_EAST</c:v>
                </c:pt>
                <c:pt idx="1">
                  <c:v>REG_NORTH</c:v>
                </c:pt>
                <c:pt idx="2">
                  <c:v>REG_SOUTH</c:v>
                </c:pt>
              </c:strCache>
            </c:strRef>
          </c:cat>
          <c:val>
            <c:numRef>
              <c:f>'region id vs fuel'!$B$4:$B$7</c:f>
              <c:numCache>
                <c:formatCode>General</c:formatCode>
                <c:ptCount val="3"/>
                <c:pt idx="0">
                  <c:v>129285.79999999996</c:v>
                </c:pt>
                <c:pt idx="1">
                  <c:v>306956.90000000031</c:v>
                </c:pt>
                <c:pt idx="2">
                  <c:v>138696.49999999994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0-4EB6-8D58-F13C75ED5E18}"/>
            </c:ext>
          </c:extLst>
        </c:ser>
        <c:ser>
          <c:idx val="1"/>
          <c:order val="1"/>
          <c:tx>
            <c:strRef>
              <c:f>'region id vs fuel'!$C$3</c:f>
              <c:strCache>
                <c:ptCount val="1"/>
                <c:pt idx="0">
                  <c:v>Sum of wind_mw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 id vs fuel'!$A$4:$A$7</c:f>
              <c:strCache>
                <c:ptCount val="3"/>
                <c:pt idx="0">
                  <c:v>REG_EAST</c:v>
                </c:pt>
                <c:pt idx="1">
                  <c:v>REG_NORTH</c:v>
                </c:pt>
                <c:pt idx="2">
                  <c:v>REG_SOUTH</c:v>
                </c:pt>
              </c:strCache>
            </c:strRef>
          </c:cat>
          <c:val>
            <c:numRef>
              <c:f>'region id vs fuel'!$C$4:$C$7</c:f>
              <c:numCache>
                <c:formatCode>General</c:formatCode>
                <c:ptCount val="3"/>
                <c:pt idx="0">
                  <c:v>12693.80000000001</c:v>
                </c:pt>
                <c:pt idx="1">
                  <c:v>2545.9999999999991</c:v>
                </c:pt>
                <c:pt idx="2">
                  <c:v>136020.10000000009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40-4EB6-8D58-F13C75ED5E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29643152"/>
        <c:axId val="829651312"/>
      </c:barChart>
      <c:catAx>
        <c:axId val="82964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651312"/>
        <c:crosses val="autoZero"/>
        <c:auto val="1"/>
        <c:lblAlgn val="ctr"/>
        <c:lblOffset val="100"/>
        <c:noMultiLvlLbl val="0"/>
      </c:catAx>
      <c:valAx>
        <c:axId val="8296513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64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glow rad="228600">
        <a:schemeClr val="accent5">
          <a:satMod val="175000"/>
          <a:alpha val="40000"/>
        </a:schemeClr>
      </a:glow>
      <a:innerShdw blurRad="114300">
        <a:prstClr val="black"/>
      </a:innerShdw>
    </a:effectLst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[energy_grid_portfolio_dataset.xlsx]hour graph!PivotTable16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rPr>
              <a:t>Demand v/s Supply</a:t>
            </a:r>
          </a:p>
        </c:rich>
      </c:tx>
      <c:layout>
        <c:manualLayout>
          <c:xMode val="edge"/>
          <c:yMode val="edge"/>
          <c:x val="0.34660078889286561"/>
          <c:y val="6.11486064241969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1714637750905322E-2"/>
          <c:y val="0.27458114610673667"/>
          <c:w val="0.89814805333988645"/>
          <c:h val="0.52644757946923304"/>
        </c:manualLayout>
      </c:layout>
      <c:lineChart>
        <c:grouping val="standard"/>
        <c:varyColors val="0"/>
        <c:ser>
          <c:idx val="0"/>
          <c:order val="0"/>
          <c:tx>
            <c:strRef>
              <c:f>'hour graph'!$B$3</c:f>
              <c:strCache>
                <c:ptCount val="1"/>
                <c:pt idx="0">
                  <c:v>Average of grid_demand_mw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 graph'!$A$4:$A$27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'hour graph'!$B$4:$B$27</c:f>
              <c:numCache>
                <c:formatCode>General</c:formatCode>
                <c:ptCount val="24"/>
                <c:pt idx="0">
                  <c:v>4771.75238095238</c:v>
                </c:pt>
                <c:pt idx="1">
                  <c:v>4772.4357142857143</c:v>
                </c:pt>
                <c:pt idx="2">
                  <c:v>4764.8238095238094</c:v>
                </c:pt>
                <c:pt idx="3">
                  <c:v>4764.4690476190472</c:v>
                </c:pt>
                <c:pt idx="4">
                  <c:v>4776.8809523809514</c:v>
                </c:pt>
                <c:pt idx="5">
                  <c:v>4792.2190476190481</c:v>
                </c:pt>
                <c:pt idx="6">
                  <c:v>4747.695238095238</c:v>
                </c:pt>
                <c:pt idx="7">
                  <c:v>4803.9238095238088</c:v>
                </c:pt>
                <c:pt idx="8">
                  <c:v>4775.7595238095219</c:v>
                </c:pt>
                <c:pt idx="9">
                  <c:v>4788.4595238095244</c:v>
                </c:pt>
                <c:pt idx="10">
                  <c:v>6912.023809523811</c:v>
                </c:pt>
                <c:pt idx="11">
                  <c:v>6921.3404761904785</c:v>
                </c:pt>
                <c:pt idx="12">
                  <c:v>6919.9357142857143</c:v>
                </c:pt>
                <c:pt idx="13">
                  <c:v>6901.4785714285726</c:v>
                </c:pt>
                <c:pt idx="14">
                  <c:v>6891.9928571428572</c:v>
                </c:pt>
                <c:pt idx="15">
                  <c:v>4784.4476190476189</c:v>
                </c:pt>
                <c:pt idx="16">
                  <c:v>4752.4714285714308</c:v>
                </c:pt>
                <c:pt idx="17">
                  <c:v>4765.2119047619053</c:v>
                </c:pt>
                <c:pt idx="18">
                  <c:v>7422.723809523809</c:v>
                </c:pt>
                <c:pt idx="19">
                  <c:v>7417.2738095238083</c:v>
                </c:pt>
                <c:pt idx="20">
                  <c:v>7410.0142857142855</c:v>
                </c:pt>
                <c:pt idx="21">
                  <c:v>7442.9761904761881</c:v>
                </c:pt>
                <c:pt idx="22">
                  <c:v>4732.50238095238</c:v>
                </c:pt>
                <c:pt idx="23">
                  <c:v>4752.6333333333314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2F-4315-BE64-2B69B64490CC}"/>
            </c:ext>
          </c:extLst>
        </c:ser>
        <c:ser>
          <c:idx val="1"/>
          <c:order val="1"/>
          <c:tx>
            <c:strRef>
              <c:f>'hour graph'!$C$3</c:f>
              <c:strCache>
                <c:ptCount val="1"/>
                <c:pt idx="0">
                  <c:v>Average of Total supply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 graph'!$A$4:$A$27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'hour graph'!$C$4:$C$27</c:f>
              <c:numCache>
                <c:formatCode>General</c:formatCode>
                <c:ptCount val="24"/>
                <c:pt idx="0">
                  <c:v>4088.6047619047617</c:v>
                </c:pt>
                <c:pt idx="1">
                  <c:v>4101.5047619047618</c:v>
                </c:pt>
                <c:pt idx="2">
                  <c:v>4136.9547619047617</c:v>
                </c:pt>
                <c:pt idx="3">
                  <c:v>4103.7333333333336</c:v>
                </c:pt>
                <c:pt idx="4">
                  <c:v>4111.5952380952376</c:v>
                </c:pt>
                <c:pt idx="5">
                  <c:v>4090.0857142857144</c:v>
                </c:pt>
                <c:pt idx="6">
                  <c:v>4422.4547619047617</c:v>
                </c:pt>
                <c:pt idx="7">
                  <c:v>4610.0404761904774</c:v>
                </c:pt>
                <c:pt idx="8">
                  <c:v>4676.9761904761908</c:v>
                </c:pt>
                <c:pt idx="9">
                  <c:v>4681.1428571428578</c:v>
                </c:pt>
                <c:pt idx="10">
                  <c:v>5486.4190476190479</c:v>
                </c:pt>
                <c:pt idx="11">
                  <c:v>5543.911904761907</c:v>
                </c:pt>
                <c:pt idx="12">
                  <c:v>5636.6738095238097</c:v>
                </c:pt>
                <c:pt idx="13">
                  <c:v>5664.3190476190484</c:v>
                </c:pt>
                <c:pt idx="14">
                  <c:v>5628.8666666666686</c:v>
                </c:pt>
                <c:pt idx="15">
                  <c:v>4718.5333333333328</c:v>
                </c:pt>
                <c:pt idx="16">
                  <c:v>4683.6047619047622</c:v>
                </c:pt>
                <c:pt idx="17">
                  <c:v>4617.5714285714303</c:v>
                </c:pt>
                <c:pt idx="18">
                  <c:v>4486.3404761904749</c:v>
                </c:pt>
                <c:pt idx="19">
                  <c:v>4137.9999999999991</c:v>
                </c:pt>
                <c:pt idx="20">
                  <c:v>4131.692857142858</c:v>
                </c:pt>
                <c:pt idx="21">
                  <c:v>4190.0452380952383</c:v>
                </c:pt>
                <c:pt idx="22">
                  <c:v>4101.9833333333345</c:v>
                </c:pt>
                <c:pt idx="23">
                  <c:v>4100.6928571428562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2F-4315-BE64-2B69B6449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6302480"/>
        <c:axId val="1226308720"/>
      </c:lineChart>
      <c:catAx>
        <c:axId val="122630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308720"/>
        <c:crosses val="autoZero"/>
        <c:auto val="1"/>
        <c:lblAlgn val="ctr"/>
        <c:lblOffset val="100"/>
        <c:noMultiLvlLbl val="0"/>
      </c:catAx>
      <c:valAx>
        <c:axId val="122630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30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811149906651781"/>
          <c:y val="4.1227398658501037E-2"/>
          <c:w val="0.31188842270628581"/>
          <c:h val="0.223215848018997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228600">
        <a:schemeClr val="accent5">
          <a:satMod val="175000"/>
          <a:alpha val="40000"/>
        </a:schemeClr>
      </a:glow>
      <a:innerShdw blurRad="114300">
        <a:prstClr val="black"/>
      </a:innerShdw>
    </a:effectLst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[energy_grid_portfolio_dataset.xlsx]backup by region!PivotTable31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Sum of fossil_fuel</a:t>
            </a:r>
            <a:r>
              <a:rPr lang="en-IN" sz="1600" b="1" baseline="0"/>
              <a:t> </a:t>
            </a:r>
            <a:r>
              <a:rPr lang="en-IN" sz="1600" b="1"/>
              <a:t>backup_mw</a:t>
            </a:r>
          </a:p>
        </c:rich>
      </c:tx>
      <c:layout>
        <c:manualLayout>
          <c:xMode val="edge"/>
          <c:yMode val="edge"/>
          <c:x val="0.25757868849071031"/>
          <c:y val="3.74531835205992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'backup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'backup by region'!$A$4:$A$6</c:f>
              <c:strCache>
                <c:ptCount val="3"/>
                <c:pt idx="0">
                  <c:v>REG_EAST</c:v>
                </c:pt>
                <c:pt idx="1">
                  <c:v>REG_NORTH</c:v>
                </c:pt>
                <c:pt idx="2">
                  <c:v>REG_SOUTH</c:v>
                </c:pt>
              </c:strCache>
            </c:strRef>
          </c:cat>
          <c:val>
            <c:numRef>
              <c:f>'backup by region'!$B$4:$B$6</c:f>
              <c:numCache>
                <c:formatCode>General</c:formatCode>
                <c:ptCount val="3"/>
                <c:pt idx="0">
                  <c:v>1329930.8999999999</c:v>
                </c:pt>
                <c:pt idx="1">
                  <c:v>1272898.5000000007</c:v>
                </c:pt>
                <c:pt idx="2">
                  <c:v>1297344.9000000001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36-401E-9F78-2732AB50A1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6278960"/>
        <c:axId val="1226277520"/>
      </c:barChart>
      <c:catAx>
        <c:axId val="122627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277520"/>
        <c:crosses val="autoZero"/>
        <c:auto val="1"/>
        <c:lblAlgn val="ctr"/>
        <c:lblOffset val="100"/>
        <c:noMultiLvlLbl val="0"/>
      </c:catAx>
      <c:valAx>
        <c:axId val="122627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27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39700">
        <a:schemeClr val="accent1">
          <a:alpha val="40000"/>
        </a:schemeClr>
      </a:glow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[energy_grid_portfolio_dataset.xlsx]solar by tregion!PivotTable46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accent2"/>
                </a:solidFill>
              </a:rPr>
              <a:t>Sum of solar_mw by region</a:t>
            </a:r>
          </a:p>
        </c:rich>
      </c:tx>
      <c:layout>
        <c:manualLayout>
          <c:xMode val="edge"/>
          <c:yMode val="edge"/>
          <c:x val="0.30768761508828613"/>
          <c:y val="3.95256916996047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'solar by tregion'!$B$3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'solar by tregion'!$A$4:$A$6</c:f>
              <c:strCache>
                <c:ptCount val="3"/>
                <c:pt idx="0">
                  <c:v>REG_EAST</c:v>
                </c:pt>
                <c:pt idx="1">
                  <c:v>REG_NORTH</c:v>
                </c:pt>
                <c:pt idx="2">
                  <c:v>REG_SOUTH</c:v>
                </c:pt>
              </c:strCache>
            </c:strRef>
          </c:cat>
          <c:val>
            <c:numRef>
              <c:f>'solar by tregion'!$B$4:$B$6</c:f>
              <c:numCache>
                <c:formatCode>General</c:formatCode>
                <c:ptCount val="3"/>
                <c:pt idx="0">
                  <c:v>129285.79999999996</c:v>
                </c:pt>
                <c:pt idx="1">
                  <c:v>306956.90000000031</c:v>
                </c:pt>
                <c:pt idx="2">
                  <c:v>138696.49999999994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8-4AC4-9A9B-FEF9BA31B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6278480"/>
        <c:axId val="1226274640"/>
      </c:barChart>
      <c:catAx>
        <c:axId val="122627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274640"/>
        <c:crosses val="autoZero"/>
        <c:auto val="1"/>
        <c:lblAlgn val="ctr"/>
        <c:lblOffset val="100"/>
        <c:noMultiLvlLbl val="0"/>
      </c:catAx>
      <c:valAx>
        <c:axId val="122627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27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228600">
        <a:schemeClr val="accent5">
          <a:satMod val="175000"/>
          <a:alpha val="40000"/>
        </a:schemeClr>
      </a:glow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[energy_grid_portfolio_dataset.xlsx]region id vs fuel!PivotTable1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580927384077"/>
          <c:y val="0.15638670166229221"/>
          <c:w val="0.61034448818897635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'region id vs fuel'!$B$3</c:f>
              <c:strCache>
                <c:ptCount val="1"/>
                <c:pt idx="0">
                  <c:v>Sum of solar_mw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id vs fuel'!$A$4:$A$7</c:f>
              <c:strCache>
                <c:ptCount val="3"/>
                <c:pt idx="0">
                  <c:v>REG_EAST</c:v>
                </c:pt>
                <c:pt idx="1">
                  <c:v>REG_NORTH</c:v>
                </c:pt>
                <c:pt idx="2">
                  <c:v>REG_SOUTH</c:v>
                </c:pt>
              </c:strCache>
            </c:strRef>
          </c:cat>
          <c:val>
            <c:numRef>
              <c:f>'region id vs fuel'!$B$4:$B$7</c:f>
              <c:numCache>
                <c:formatCode>General</c:formatCode>
                <c:ptCount val="3"/>
                <c:pt idx="0">
                  <c:v>129285.79999999996</c:v>
                </c:pt>
                <c:pt idx="1">
                  <c:v>306956.90000000031</c:v>
                </c:pt>
                <c:pt idx="2">
                  <c:v>138696.49999999994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4-4EF5-B419-D00FAF734139}"/>
            </c:ext>
          </c:extLst>
        </c:ser>
        <c:ser>
          <c:idx val="1"/>
          <c:order val="1"/>
          <c:tx>
            <c:strRef>
              <c:f>'region id vs fuel'!$C$3</c:f>
              <c:strCache>
                <c:ptCount val="1"/>
                <c:pt idx="0">
                  <c:v>Sum of wind_mw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id vs fuel'!$A$4:$A$7</c:f>
              <c:strCache>
                <c:ptCount val="3"/>
                <c:pt idx="0">
                  <c:v>REG_EAST</c:v>
                </c:pt>
                <c:pt idx="1">
                  <c:v>REG_NORTH</c:v>
                </c:pt>
                <c:pt idx="2">
                  <c:v>REG_SOUTH</c:v>
                </c:pt>
              </c:strCache>
            </c:strRef>
          </c:cat>
          <c:val>
            <c:numRef>
              <c:f>'region id vs fuel'!$C$4:$C$7</c:f>
              <c:numCache>
                <c:formatCode>General</c:formatCode>
                <c:ptCount val="3"/>
                <c:pt idx="0">
                  <c:v>12693.80000000001</c:v>
                </c:pt>
                <c:pt idx="1">
                  <c:v>2545.9999999999991</c:v>
                </c:pt>
                <c:pt idx="2">
                  <c:v>136020.10000000009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F4-4EF5-B419-D00FAF73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3995232"/>
        <c:axId val="1213997152"/>
      </c:barChart>
      <c:catAx>
        <c:axId val="121399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997152"/>
        <c:crosses val="autoZero"/>
        <c:auto val="1"/>
        <c:lblAlgn val="ctr"/>
        <c:lblOffset val="100"/>
        <c:noMultiLvlLbl val="0"/>
      </c:catAx>
      <c:valAx>
        <c:axId val="121399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99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[energy_grid_portfolio_dataset.xlsx]backup by region!PivotTable31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fossil_backup_mw by region_id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'backup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'backup by region'!$A$4:$A$6</c:f>
              <c:strCache>
                <c:ptCount val="3"/>
                <c:pt idx="0">
                  <c:v>REG_EAST</c:v>
                </c:pt>
                <c:pt idx="1">
                  <c:v>REG_NORTH</c:v>
                </c:pt>
                <c:pt idx="2">
                  <c:v>REG_SOUTH</c:v>
                </c:pt>
              </c:strCache>
            </c:strRef>
          </c:cat>
          <c:val>
            <c:numRef>
              <c:f>'backup by region'!$B$4:$B$6</c:f>
              <c:numCache>
                <c:formatCode>General</c:formatCode>
                <c:ptCount val="3"/>
                <c:pt idx="0">
                  <c:v>1329930.8999999999</c:v>
                </c:pt>
                <c:pt idx="1">
                  <c:v>1272898.5000000007</c:v>
                </c:pt>
                <c:pt idx="2">
                  <c:v>1297344.9000000001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92-485F-A002-81A4783F8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6278960"/>
        <c:axId val="1226277520"/>
      </c:barChart>
      <c:catAx>
        <c:axId val="122627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277520"/>
        <c:crosses val="autoZero"/>
        <c:auto val="1"/>
        <c:lblAlgn val="ctr"/>
        <c:lblOffset val="100"/>
        <c:noMultiLvlLbl val="0"/>
      </c:catAx>
      <c:valAx>
        <c:axId val="122627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27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22860</xdr:rowOff>
    </xdr:from>
    <xdr:to>
      <xdr:col>2</xdr:col>
      <xdr:colOff>571500</xdr:colOff>
      <xdr:row>30</xdr:row>
      <xdr:rowOff>106680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AB9B96C-F45E-228B-7A8C-17B36A3662E3}"/>
            </a:ext>
          </a:extLst>
        </xdr:cNvPr>
        <xdr:cNvSpPr/>
      </xdr:nvSpPr>
      <xdr:spPr>
        <a:xfrm>
          <a:off x="45720" y="22860"/>
          <a:ext cx="2057400" cy="5570220"/>
        </a:xfrm>
        <a:prstGeom prst="rect">
          <a:avLst/>
        </a:prstGeom>
        <a:solidFill>
          <a:schemeClr val="accent1">
            <a:lumMod val="50000"/>
          </a:schemeClr>
        </a:solidFill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7620</xdr:colOff>
      <xdr:row>0</xdr:row>
      <xdr:rowOff>0</xdr:rowOff>
    </xdr:from>
    <xdr:to>
      <xdr:col>23</xdr:col>
      <xdr:colOff>274320</xdr:colOff>
      <xdr:row>30</xdr:row>
      <xdr:rowOff>83820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F2842F5-CB16-483F-9BCE-F0ABB4EA4441}"/>
            </a:ext>
          </a:extLst>
        </xdr:cNvPr>
        <xdr:cNvSpPr/>
      </xdr:nvSpPr>
      <xdr:spPr>
        <a:xfrm>
          <a:off x="1905000" y="0"/>
          <a:ext cx="12458700" cy="557022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effectLst>
          <a:innerShdw blurRad="114300">
            <a:schemeClr val="tx1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ln>
              <a:noFill/>
            </a:ln>
          </a:endParaRPr>
        </a:p>
      </xdr:txBody>
    </xdr:sp>
    <xdr:clientData/>
  </xdr:twoCellAnchor>
  <xdr:twoCellAnchor>
    <xdr:from>
      <xdr:col>3</xdr:col>
      <xdr:colOff>228600</xdr:colOff>
      <xdr:row>1</xdr:row>
      <xdr:rowOff>106680</xdr:rowOff>
    </xdr:from>
    <xdr:to>
      <xdr:col>10</xdr:col>
      <xdr:colOff>327660</xdr:colOff>
      <xdr:row>3</xdr:row>
      <xdr:rowOff>53340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744A6FD-0FAA-A3A3-20D5-EBA59027D9F0}"/>
            </a:ext>
          </a:extLst>
        </xdr:cNvPr>
        <xdr:cNvSpPr txBox="1"/>
      </xdr:nvSpPr>
      <xdr:spPr>
        <a:xfrm>
          <a:off x="2125980" y="289560"/>
          <a:ext cx="4366260" cy="31242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rPr lang="en-IN" sz="2000" b="1" i="0" u="none" strike="noStrike" kern="120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ENERGY GRID DATASET ANALYSIS</a:t>
          </a:r>
        </a:p>
      </xdr:txBody>
    </xdr:sp>
    <xdr:clientData/>
  </xdr:twoCellAnchor>
  <xdr:twoCellAnchor>
    <xdr:from>
      <xdr:col>0</xdr:col>
      <xdr:colOff>182880</xdr:colOff>
      <xdr:row>3</xdr:row>
      <xdr:rowOff>137160</xdr:rowOff>
    </xdr:from>
    <xdr:to>
      <xdr:col>2</xdr:col>
      <xdr:colOff>228600</xdr:colOff>
      <xdr:row>8</xdr:row>
      <xdr:rowOff>160020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3249308-4146-2AB7-7435-DC0686C22B37}"/>
            </a:ext>
          </a:extLst>
        </xdr:cNvPr>
        <xdr:cNvSpPr/>
      </xdr:nvSpPr>
      <xdr:spPr>
        <a:xfrm>
          <a:off x="182880" y="685800"/>
          <a:ext cx="1577340" cy="937260"/>
        </a:xfrm>
        <a:prstGeom prst="rect">
          <a:avLst/>
        </a:prstGeom>
        <a:effectLst>
          <a:reflection blurRad="6350" stA="52000" endA="300" endPos="350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accent2"/>
              </a:solidFill>
            </a:rPr>
            <a:t>Total Grid Strain Incidents</a:t>
          </a:r>
        </a:p>
        <a:p>
          <a:pPr algn="ctr"/>
          <a:r>
            <a:rPr lang="en-IN" sz="1400" b="1">
              <a:solidFill>
                <a:schemeClr val="bg1"/>
              </a:solidFill>
            </a:rPr>
            <a:t>789</a:t>
          </a:r>
          <a:br>
            <a:rPr lang="en-IN" sz="1400" b="1">
              <a:solidFill>
                <a:schemeClr val="accent6">
                  <a:lumMod val="50000"/>
                </a:schemeClr>
              </a:solidFill>
            </a:rPr>
          </a:br>
          <a:endParaRPr lang="en-IN" sz="1400" b="1">
            <a:solidFill>
              <a:schemeClr val="bg2"/>
            </a:solidFill>
          </a:endParaRPr>
        </a:p>
      </xdr:txBody>
    </xdr:sp>
    <xdr:clientData/>
  </xdr:twoCellAnchor>
  <xdr:twoCellAnchor>
    <xdr:from>
      <xdr:col>1</xdr:col>
      <xdr:colOff>0</xdr:colOff>
      <xdr:row>9</xdr:row>
      <xdr:rowOff>167640</xdr:rowOff>
    </xdr:from>
    <xdr:to>
      <xdr:col>2</xdr:col>
      <xdr:colOff>243840</xdr:colOff>
      <xdr:row>15</xdr:row>
      <xdr:rowOff>7620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6FA54E3-0AEE-4880-A18A-E4808AE18700}"/>
            </a:ext>
          </a:extLst>
        </xdr:cNvPr>
        <xdr:cNvSpPr/>
      </xdr:nvSpPr>
      <xdr:spPr>
        <a:xfrm>
          <a:off x="198120" y="1813560"/>
          <a:ext cx="1577340" cy="937260"/>
        </a:xfrm>
        <a:prstGeom prst="rect">
          <a:avLst/>
        </a:prstGeom>
        <a:effectLst>
          <a:reflection blurRad="6350" stA="52000" endA="300" endPos="350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accent2"/>
              </a:solidFill>
            </a:rPr>
            <a:t>Grid Strain Incident Rate: </a:t>
          </a:r>
          <a:r>
            <a:rPr lang="en-IN" sz="1400" b="1">
              <a:solidFill>
                <a:schemeClr val="bg1"/>
              </a:solidFill>
            </a:rPr>
            <a:t>78.0% </a:t>
          </a:r>
        </a:p>
      </xdr:txBody>
    </xdr:sp>
    <xdr:clientData/>
  </xdr:twoCellAnchor>
  <xdr:twoCellAnchor>
    <xdr:from>
      <xdr:col>0</xdr:col>
      <xdr:colOff>190500</xdr:colOff>
      <xdr:row>15</xdr:row>
      <xdr:rowOff>167640</xdr:rowOff>
    </xdr:from>
    <xdr:to>
      <xdr:col>2</xdr:col>
      <xdr:colOff>236220</xdr:colOff>
      <xdr:row>21</xdr:row>
      <xdr:rowOff>7620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374850D-F182-4689-94D4-17F90613894D}"/>
            </a:ext>
          </a:extLst>
        </xdr:cNvPr>
        <xdr:cNvSpPr/>
      </xdr:nvSpPr>
      <xdr:spPr>
        <a:xfrm>
          <a:off x="190500" y="2910840"/>
          <a:ext cx="1577340" cy="937260"/>
        </a:xfrm>
        <a:prstGeom prst="rect">
          <a:avLst/>
        </a:prstGeom>
        <a:effectLst>
          <a:reflection blurRad="6350" stA="52000" endA="300" endPos="350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accent2"/>
              </a:solidFill>
            </a:rPr>
            <a:t>Renewable Energy Penetration: </a:t>
          </a:r>
        </a:p>
        <a:p>
          <a:pPr algn="ctr"/>
          <a:r>
            <a:rPr lang="en-IN" sz="1400" b="1">
              <a:solidFill>
                <a:schemeClr val="bg1"/>
              </a:solidFill>
            </a:rPr>
            <a:t>13%</a:t>
          </a:r>
        </a:p>
      </xdr:txBody>
    </xdr:sp>
    <xdr:clientData/>
  </xdr:twoCellAnchor>
  <xdr:twoCellAnchor>
    <xdr:from>
      <xdr:col>1</xdr:col>
      <xdr:colOff>7620</xdr:colOff>
      <xdr:row>22</xdr:row>
      <xdr:rowOff>22860</xdr:rowOff>
    </xdr:from>
    <xdr:to>
      <xdr:col>2</xdr:col>
      <xdr:colOff>251460</xdr:colOff>
      <xdr:row>27</xdr:row>
      <xdr:rowOff>45720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1D60F71-8807-4D3F-ACAA-6472F44A63D6}"/>
            </a:ext>
          </a:extLst>
        </xdr:cNvPr>
        <xdr:cNvSpPr/>
      </xdr:nvSpPr>
      <xdr:spPr>
        <a:xfrm>
          <a:off x="205740" y="4046220"/>
          <a:ext cx="1577340" cy="937260"/>
        </a:xfrm>
        <a:prstGeom prst="rect">
          <a:avLst/>
        </a:prstGeom>
        <a:effectLst>
          <a:reflection blurRad="6350" stA="52000" endA="300" endPos="350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accent2"/>
              </a:solidFill>
            </a:rPr>
            <a:t>Fossil Fuel Backup Utilization</a:t>
          </a:r>
          <a:r>
            <a:rPr lang="en-IN" sz="1400" b="1">
              <a:solidFill>
                <a:schemeClr val="accent6">
                  <a:lumMod val="50000"/>
                </a:schemeClr>
              </a:solidFill>
            </a:rPr>
            <a:t>: </a:t>
          </a:r>
          <a:r>
            <a:rPr lang="en-IN" sz="1400" b="1">
              <a:solidFill>
                <a:schemeClr val="bg1"/>
              </a:solidFill>
            </a:rPr>
            <a:t>96.73%</a:t>
          </a:r>
        </a:p>
      </xdr:txBody>
    </xdr:sp>
    <xdr:clientData/>
  </xdr:twoCellAnchor>
  <xdr:twoCellAnchor>
    <xdr:from>
      <xdr:col>3</xdr:col>
      <xdr:colOff>312420</xdr:colOff>
      <xdr:row>3</xdr:row>
      <xdr:rowOff>167640</xdr:rowOff>
    </xdr:from>
    <xdr:to>
      <xdr:col>11</xdr:col>
      <xdr:colOff>281940</xdr:colOff>
      <xdr:row>14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90185B6-8947-4B8F-844C-EAABA1925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190500</xdr:colOff>
      <xdr:row>4</xdr:row>
      <xdr:rowOff>38100</xdr:rowOff>
    </xdr:from>
    <xdr:to>
      <xdr:col>20</xdr:col>
      <xdr:colOff>533400</xdr:colOff>
      <xdr:row>14</xdr:row>
      <xdr:rowOff>129540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9279310-646A-4679-AFB6-F2FF2F8706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335280</xdr:colOff>
      <xdr:row>15</xdr:row>
      <xdr:rowOff>99060</xdr:rowOff>
    </xdr:from>
    <xdr:to>
      <xdr:col>11</xdr:col>
      <xdr:colOff>297180</xdr:colOff>
      <xdr:row>26</xdr:row>
      <xdr:rowOff>121920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84799D4-3354-455F-8316-3565DD5580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198120</xdr:colOff>
      <xdr:row>15</xdr:row>
      <xdr:rowOff>129540</xdr:rowOff>
    </xdr:from>
    <xdr:to>
      <xdr:col>20</xdr:col>
      <xdr:colOff>525780</xdr:colOff>
      <xdr:row>26</xdr:row>
      <xdr:rowOff>129540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FD0E599-D27C-4BCE-AB0B-22786A5CD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541020</xdr:colOff>
      <xdr:row>0</xdr:row>
      <xdr:rowOff>156210</xdr:rowOff>
    </xdr:from>
    <xdr:to>
      <xdr:col>11</xdr:col>
      <xdr:colOff>236220</xdr:colOff>
      <xdr:row>15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243D1C-64EE-D1CF-AD3C-E9E1D30E9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6</xdr:row>
      <xdr:rowOff>148590</xdr:rowOff>
    </xdr:from>
    <xdr:to>
      <xdr:col>10</xdr:col>
      <xdr:colOff>449580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5E373D-DF07-2023-D699-450AD5299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9.541473726851" createdVersion="8" refreshedVersion="8" minRefreshableVersion="3" recordCount="1009" xr:uid="{F5783C99-07B4-46C8-9F0F-3D30E5BB7BCD}">
  <cacheSource type="worksheet">
    <worksheetSource ref="A1:K1048576" sheet="energy_grid_portfolio_dataset"/>
  </cacheSource>
  <cacheFields count="11">
    <cacheField name="timestamp" numFmtId="0">
      <sharedItems containsNonDate="0" containsDate="1" containsString="0" containsBlank="1" minDate="2026-09-01T00:00:00" maxDate="2026-09-15T00:00:00" count="337">
        <d v="2026-09-01T00:00:00"/>
        <d v="2026-09-01T01:00:00"/>
        <d v="2026-09-01T02:00:00"/>
        <d v="2026-09-01T03:00:00"/>
        <d v="2026-09-01T04:00:00"/>
        <d v="2026-09-01T05:00:00"/>
        <d v="2026-09-01T06:00:00"/>
        <d v="2026-09-01T07:00:00"/>
        <d v="2026-09-01T08:00:00"/>
        <d v="2026-09-01T09:00:00"/>
        <d v="2026-09-01T10:00:00"/>
        <d v="2026-09-01T11:00:00"/>
        <d v="2026-09-01T12:00:00"/>
        <d v="2026-09-01T13:00:00"/>
        <d v="2026-09-01T14:00:00"/>
        <d v="2026-09-01T15:00:00"/>
        <d v="2026-09-01T16:00:00"/>
        <d v="2026-09-01T17:00:00"/>
        <d v="2026-09-01T18:00:00"/>
        <d v="2026-09-01T19:00:00"/>
        <d v="2026-09-01T20:00:00"/>
        <d v="2026-09-01T21:00:00"/>
        <d v="2026-09-01T22:00:00"/>
        <d v="2026-09-01T23:00:00"/>
        <d v="2026-09-02T00:00:00"/>
        <d v="2026-09-02T01:00:00"/>
        <d v="2026-09-02T02:00:00"/>
        <d v="2026-09-02T03:00:00"/>
        <d v="2026-09-02T04:00:00"/>
        <d v="2026-09-02T05:00:00"/>
        <d v="2026-09-02T06:00:00"/>
        <d v="2026-09-02T07:00:00"/>
        <d v="2026-09-02T08:00:00"/>
        <d v="2026-09-02T09:00:00"/>
        <d v="2026-09-02T10:00:00"/>
        <d v="2026-09-02T11:00:00"/>
        <d v="2026-09-02T12:00:00"/>
        <d v="2026-09-02T13:00:00"/>
        <d v="2026-09-02T14:00:00"/>
        <d v="2026-09-02T15:00:00"/>
        <d v="2026-09-02T16:00:00"/>
        <d v="2026-09-02T17:00:00"/>
        <d v="2026-09-02T18:00:00"/>
        <d v="2026-09-02T19:00:00"/>
        <d v="2026-09-02T20:00:00"/>
        <d v="2026-09-02T21:00:00"/>
        <d v="2026-09-02T22:00:00"/>
        <d v="2026-09-02T23:00:00"/>
        <d v="2026-09-03T00:00:00"/>
        <d v="2026-09-03T01:00:00"/>
        <d v="2026-09-03T02:00:00"/>
        <d v="2026-09-03T03:00:00"/>
        <d v="2026-09-03T04:00:00"/>
        <d v="2026-09-03T05:00:00"/>
        <d v="2026-09-03T06:00:00"/>
        <d v="2026-09-03T07:00:00"/>
        <d v="2026-09-03T08:00:00"/>
        <d v="2026-09-03T09:00:00"/>
        <d v="2026-09-03T10:00:00"/>
        <d v="2026-09-03T11:00:00"/>
        <d v="2026-09-03T12:00:00"/>
        <d v="2026-09-03T13:00:00"/>
        <d v="2026-09-03T14:00:00"/>
        <d v="2026-09-03T15:00:00"/>
        <d v="2026-09-03T16:00:00"/>
        <d v="2026-09-03T17:00:00"/>
        <d v="2026-09-03T18:00:00"/>
        <d v="2026-09-03T19:00:00"/>
        <d v="2026-09-03T20:00:00"/>
        <d v="2026-09-03T21:00:00"/>
        <d v="2026-09-03T22:00:00"/>
        <d v="2026-09-03T23:00:00"/>
        <d v="2026-09-04T00:00:00"/>
        <d v="2026-09-04T01:00:00"/>
        <d v="2026-09-04T02:00:00"/>
        <d v="2026-09-04T03:00:00"/>
        <d v="2026-09-04T04:00:00"/>
        <d v="2026-09-04T05:00:00"/>
        <d v="2026-09-04T06:00:00"/>
        <d v="2026-09-04T07:00:00"/>
        <d v="2026-09-04T08:00:00"/>
        <d v="2026-09-04T09:00:00"/>
        <d v="2026-09-04T10:00:00"/>
        <d v="2026-09-04T11:00:00"/>
        <d v="2026-09-04T12:00:00"/>
        <d v="2026-09-04T13:00:00"/>
        <d v="2026-09-04T14:00:00"/>
        <d v="2026-09-04T15:00:00"/>
        <d v="2026-09-04T16:00:00"/>
        <d v="2026-09-04T17:00:00"/>
        <d v="2026-09-04T18:00:00"/>
        <d v="2026-09-04T19:00:00"/>
        <d v="2026-09-04T20:00:00"/>
        <d v="2026-09-04T21:00:00"/>
        <d v="2026-09-04T22:00:00"/>
        <d v="2026-09-04T23:00:00"/>
        <d v="2026-09-05T00:00:00"/>
        <d v="2026-09-05T01:00:00"/>
        <d v="2026-09-05T02:00:00"/>
        <d v="2026-09-05T03:00:00"/>
        <d v="2026-09-05T04:00:00"/>
        <d v="2026-09-05T05:00:00"/>
        <d v="2026-09-05T06:00:00"/>
        <d v="2026-09-05T07:00:00"/>
        <d v="2026-09-05T08:00:00"/>
        <d v="2026-09-05T09:00:00"/>
        <d v="2026-09-05T10:00:00"/>
        <d v="2026-09-05T11:00:00"/>
        <d v="2026-09-05T12:00:00"/>
        <d v="2026-09-05T13:00:00"/>
        <d v="2026-09-05T14:00:00"/>
        <d v="2026-09-05T15:00:00"/>
        <d v="2026-09-05T16:00:00"/>
        <d v="2026-09-05T17:00:00"/>
        <d v="2026-09-05T18:00:00"/>
        <d v="2026-09-05T19:00:00"/>
        <d v="2026-09-05T20:00:00"/>
        <d v="2026-09-05T21:00:00"/>
        <d v="2026-09-05T22:00:00"/>
        <d v="2026-09-05T23:00:00"/>
        <d v="2026-09-06T00:00:00"/>
        <d v="2026-09-06T01:00:00"/>
        <d v="2026-09-06T02:00:00"/>
        <d v="2026-09-06T03:00:00"/>
        <d v="2026-09-06T04:00:00"/>
        <d v="2026-09-06T05:00:00"/>
        <d v="2026-09-06T06:00:00"/>
        <d v="2026-09-06T07:00:00"/>
        <d v="2026-09-06T08:00:00"/>
        <d v="2026-09-06T09:00:00"/>
        <d v="2026-09-06T10:00:00"/>
        <d v="2026-09-06T11:00:00"/>
        <d v="2026-09-06T12:00:00"/>
        <d v="2026-09-06T13:00:00"/>
        <d v="2026-09-06T14:00:00"/>
        <d v="2026-09-06T15:00:00"/>
        <d v="2026-09-06T16:00:00"/>
        <d v="2026-09-06T17:00:00"/>
        <d v="2026-09-06T18:00:00"/>
        <d v="2026-09-06T19:00:00"/>
        <d v="2026-09-06T20:00:00"/>
        <d v="2026-09-06T21:00:00"/>
        <d v="2026-09-06T22:00:00"/>
        <d v="2026-09-06T23:00:00"/>
        <d v="2026-09-07T00:00:00"/>
        <d v="2026-09-07T01:00:00"/>
        <d v="2026-09-07T02:00:00"/>
        <d v="2026-09-07T03:00:00"/>
        <d v="2026-09-07T04:00:00"/>
        <d v="2026-09-07T05:00:00"/>
        <d v="2026-09-07T06:00:00"/>
        <d v="2026-09-07T07:00:00"/>
        <d v="2026-09-07T08:00:00"/>
        <d v="2026-09-07T09:00:00"/>
        <d v="2026-09-07T10:00:00"/>
        <d v="2026-09-07T11:00:00"/>
        <d v="2026-09-07T12:00:00"/>
        <d v="2026-09-07T13:00:00"/>
        <d v="2026-09-07T14:00:00"/>
        <d v="2026-09-07T15:00:00"/>
        <d v="2026-09-07T16:00:00"/>
        <d v="2026-09-07T17:00:00"/>
        <d v="2026-09-07T18:00:00"/>
        <d v="2026-09-07T19:00:00"/>
        <d v="2026-09-07T20:00:00"/>
        <d v="2026-09-07T21:00:00"/>
        <d v="2026-09-07T22:00:00"/>
        <d v="2026-09-07T23:00:00"/>
        <d v="2026-09-08T00:00:00"/>
        <d v="2026-09-08T01:00:00"/>
        <d v="2026-09-08T02:00:00"/>
        <d v="2026-09-08T03:00:00"/>
        <d v="2026-09-08T04:00:00"/>
        <d v="2026-09-08T05:00:00"/>
        <d v="2026-09-08T06:00:00"/>
        <d v="2026-09-08T07:00:00"/>
        <d v="2026-09-08T08:00:00"/>
        <d v="2026-09-08T09:00:00"/>
        <d v="2026-09-08T10:00:00"/>
        <d v="2026-09-08T11:00:00"/>
        <d v="2026-09-08T12:00:00"/>
        <d v="2026-09-08T13:00:00"/>
        <d v="2026-09-08T14:00:00"/>
        <d v="2026-09-08T15:00:00"/>
        <d v="2026-09-08T16:00:00"/>
        <d v="2026-09-08T17:00:00"/>
        <d v="2026-09-08T18:00:00"/>
        <d v="2026-09-08T19:00:00"/>
        <d v="2026-09-08T20:00:00"/>
        <d v="2026-09-08T21:00:00"/>
        <d v="2026-09-08T22:00:00"/>
        <d v="2026-09-08T23:00:00"/>
        <d v="2026-09-09T00:00:00"/>
        <d v="2026-09-09T01:00:00"/>
        <d v="2026-09-09T02:00:00"/>
        <d v="2026-09-09T03:00:00"/>
        <d v="2026-09-09T04:00:00"/>
        <d v="2026-09-09T05:00:00"/>
        <d v="2026-09-09T06:00:00"/>
        <d v="2026-09-09T07:00:00"/>
        <d v="2026-09-09T08:00:00"/>
        <d v="2026-09-09T09:00:00"/>
        <d v="2026-09-09T10:00:00"/>
        <d v="2026-09-09T11:00:00"/>
        <d v="2026-09-09T12:00:00"/>
        <d v="2026-09-09T13:00:00"/>
        <d v="2026-09-09T14:00:00"/>
        <d v="2026-09-09T15:00:00"/>
        <d v="2026-09-09T16:00:00"/>
        <d v="2026-09-09T17:00:00"/>
        <d v="2026-09-09T18:00:00"/>
        <d v="2026-09-09T19:00:00"/>
        <d v="2026-09-09T20:00:00"/>
        <d v="2026-09-09T21:00:00"/>
        <d v="2026-09-09T22:00:00"/>
        <d v="2026-09-09T23:00:00"/>
        <d v="2026-09-10T00:00:00"/>
        <d v="2026-09-10T01:00:00"/>
        <d v="2026-09-10T02:00:00"/>
        <d v="2026-09-10T03:00:00"/>
        <d v="2026-09-10T04:00:00"/>
        <d v="2026-09-10T05:00:00"/>
        <d v="2026-09-10T06:00:00"/>
        <d v="2026-09-10T07:00:00"/>
        <d v="2026-09-10T08:00:00"/>
        <d v="2026-09-10T09:00:00"/>
        <d v="2026-09-10T10:00:00"/>
        <d v="2026-09-10T11:00:00"/>
        <d v="2026-09-10T12:00:00"/>
        <d v="2026-09-10T13:00:00"/>
        <d v="2026-09-10T14:00:00"/>
        <d v="2026-09-10T15:00:00"/>
        <d v="2026-09-10T16:00:00"/>
        <d v="2026-09-10T17:00:00"/>
        <d v="2026-09-10T18:00:00"/>
        <d v="2026-09-10T19:00:00"/>
        <d v="2026-09-10T20:00:00"/>
        <d v="2026-09-10T21:00:00"/>
        <d v="2026-09-10T22:00:00"/>
        <d v="2026-09-10T23:00:00"/>
        <d v="2026-09-11T00:00:00"/>
        <d v="2026-09-11T01:00:00"/>
        <d v="2026-09-11T02:00:00"/>
        <d v="2026-09-11T03:00:00"/>
        <d v="2026-09-11T04:00:00"/>
        <d v="2026-09-11T05:00:00"/>
        <d v="2026-09-11T06:00:00"/>
        <d v="2026-09-11T07:00:00"/>
        <d v="2026-09-11T08:00:00"/>
        <d v="2026-09-11T09:00:00"/>
        <d v="2026-09-11T10:00:00"/>
        <d v="2026-09-11T11:00:00"/>
        <d v="2026-09-11T12:00:00"/>
        <d v="2026-09-11T13:00:00"/>
        <d v="2026-09-11T14:00:00"/>
        <d v="2026-09-11T15:00:00"/>
        <d v="2026-09-11T16:00:00"/>
        <d v="2026-09-11T17:00:00"/>
        <d v="2026-09-11T18:00:00"/>
        <d v="2026-09-11T19:00:00"/>
        <d v="2026-09-11T20:00:00"/>
        <d v="2026-09-11T21:00:00"/>
        <d v="2026-09-11T22:00:00"/>
        <d v="2026-09-11T23:00:00"/>
        <d v="2026-09-12T00:00:00"/>
        <d v="2026-09-12T01:00:00"/>
        <d v="2026-09-12T02:00:00"/>
        <d v="2026-09-12T03:00:00"/>
        <d v="2026-09-12T04:00:00"/>
        <d v="2026-09-12T05:00:00"/>
        <d v="2026-09-12T06:00:00"/>
        <d v="2026-09-12T07:00:00"/>
        <d v="2026-09-12T08:00:00"/>
        <d v="2026-09-12T09:00:00"/>
        <d v="2026-09-12T10:00:00"/>
        <d v="2026-09-12T11:00:00"/>
        <d v="2026-09-12T12:00:00"/>
        <d v="2026-09-12T13:00:00"/>
        <d v="2026-09-12T14:00:00"/>
        <d v="2026-09-12T15:00:00"/>
        <d v="2026-09-12T16:00:00"/>
        <d v="2026-09-12T17:00:00"/>
        <d v="2026-09-12T18:00:00"/>
        <d v="2026-09-12T19:00:00"/>
        <d v="2026-09-12T20:00:00"/>
        <d v="2026-09-12T21:00:00"/>
        <d v="2026-09-12T22:00:00"/>
        <d v="2026-09-12T23:00:00"/>
        <d v="2026-09-13T00:00:00"/>
        <d v="2026-09-13T01:00:00"/>
        <d v="2026-09-13T02:00:00"/>
        <d v="2026-09-13T03:00:00"/>
        <d v="2026-09-13T04:00:00"/>
        <d v="2026-09-13T05:00:00"/>
        <d v="2026-09-13T06:00:00"/>
        <d v="2026-09-13T07:00:00"/>
        <d v="2026-09-13T08:00:00"/>
        <d v="2026-09-13T09:00:00"/>
        <d v="2026-09-13T10:00:00"/>
        <d v="2026-09-13T11:00:00"/>
        <d v="2026-09-13T12:00:00"/>
        <d v="2026-09-13T13:00:00"/>
        <d v="2026-09-13T14:00:00"/>
        <d v="2026-09-13T15:00:00"/>
        <d v="2026-09-13T16:00:00"/>
        <d v="2026-09-13T17:00:00"/>
        <d v="2026-09-13T18:00:00"/>
        <d v="2026-09-13T19:00:00"/>
        <d v="2026-09-13T20:00:00"/>
        <d v="2026-09-13T21:00:00"/>
        <d v="2026-09-13T22:00:00"/>
        <d v="2026-09-13T23:00:00"/>
        <d v="2026-09-14T00:00:00"/>
        <d v="2026-09-14T01:00:00"/>
        <d v="2026-09-14T02:00:00"/>
        <d v="2026-09-14T03:00:00"/>
        <d v="2026-09-14T04:00:00"/>
        <d v="2026-09-14T05:00:00"/>
        <d v="2026-09-14T06:00:00"/>
        <d v="2026-09-14T07:00:00"/>
        <d v="2026-09-14T08:00:00"/>
        <d v="2026-09-14T09:00:00"/>
        <d v="2026-09-14T10:00:00"/>
        <d v="2026-09-14T11:00:00"/>
        <d v="2026-09-14T12:00:00"/>
        <d v="2026-09-14T13:00:00"/>
        <d v="2026-09-14T14:00:00"/>
        <d v="2026-09-14T15:00:00"/>
        <d v="2026-09-14T16:00:00"/>
        <d v="2026-09-14T17:00:00"/>
        <d v="2026-09-14T18:00:00"/>
        <d v="2026-09-14T19:00:00"/>
        <d v="2026-09-14T20:00:00"/>
        <d v="2026-09-14T21:00:00"/>
        <d v="2026-09-14T22:00:00"/>
        <d v="2026-09-14T23:00:00"/>
        <m/>
      </sharedItems>
    </cacheField>
    <cacheField name="region_id" numFmtId="0">
      <sharedItems containsBlank="1" count="4">
        <s v="REG_NORTH"/>
        <s v="REG_SOUTH"/>
        <s v="REG_EAST"/>
        <m/>
      </sharedItems>
    </cacheField>
    <cacheField name="temperature_c" numFmtId="0">
      <sharedItems containsString="0" containsBlank="1" containsNumber="1" minValue="12.8" maxValue="37"/>
    </cacheField>
    <cacheField name="cloud_cover_pct" numFmtId="0">
      <sharedItems containsString="0" containsBlank="1" containsNumber="1" minValue="0" maxValue="100"/>
    </cacheField>
    <cacheField name="wind_speed_ms" numFmtId="0">
      <sharedItems containsString="0" containsBlank="1" containsNumber="1" minValue="0" maxValue="28"/>
    </cacheField>
    <cacheField name="solar_mw" numFmtId="0">
      <sharedItems containsString="0" containsBlank="1" containsNumber="1" minValue="0" maxValue="3000"/>
    </cacheField>
    <cacheField name="wind_mw" numFmtId="0">
      <sharedItems containsString="0" containsBlank="1" containsNumber="1" minValue="0" maxValue="2437.8000000000002"/>
    </cacheField>
    <cacheField name="fossil_backup_mw" numFmtId="0">
      <sharedItems containsString="0" containsBlank="1" containsNumber="1" minValue="1889.8" maxValue="4000"/>
    </cacheField>
    <cacheField name="grid_demand_mw" numFmtId="0">
      <sharedItems containsString="0" containsBlank="1" containsNumber="1" minValue="3924.6" maxValue="8025.5"/>
    </cacheField>
    <cacheField name="grid_strain_incident" numFmtId="0">
      <sharedItems containsString="0" containsBlank="1" containsNumber="1" containsInteger="1" minValue="0" maxValue="1"/>
    </cacheField>
    <cacheField name="sum of renewable energy resource" numFmtId="0">
      <sharedItems containsString="0" containsBlank="1" containsNumber="1" minValue="0" maxValue="36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9.552060300928" createdVersion="8" refreshedVersion="8" minRefreshableVersion="3" recordCount="1009" xr:uid="{EC16C0D8-709C-4933-946B-733553B2A853}">
  <cacheSource type="worksheet">
    <worksheetSource ref="A1:M1048576" sheet="energy_grid_portfolio_dataset"/>
  </cacheSource>
  <cacheFields count="13">
    <cacheField name="timestamp" numFmtId="0">
      <sharedItems containsNonDate="0" containsDate="1" containsString="0" containsBlank="1" minDate="2026-09-01T00:00:00" maxDate="2026-09-15T00:00:00" count="337">
        <d v="2026-09-01T00:00:00"/>
        <d v="2026-09-01T01:00:00"/>
        <d v="2026-09-01T02:00:00"/>
        <d v="2026-09-01T03:00:00"/>
        <d v="2026-09-01T04:00:00"/>
        <d v="2026-09-01T05:00:00"/>
        <d v="2026-09-01T06:00:00"/>
        <d v="2026-09-01T07:00:00"/>
        <d v="2026-09-01T08:00:00"/>
        <d v="2026-09-01T09:00:00"/>
        <d v="2026-09-01T10:00:00"/>
        <d v="2026-09-01T11:00:00"/>
        <d v="2026-09-01T12:00:00"/>
        <d v="2026-09-01T13:00:00"/>
        <d v="2026-09-01T14:00:00"/>
        <d v="2026-09-01T15:00:00"/>
        <d v="2026-09-01T16:00:00"/>
        <d v="2026-09-01T17:00:00"/>
        <d v="2026-09-01T18:00:00"/>
        <d v="2026-09-01T19:00:00"/>
        <d v="2026-09-01T20:00:00"/>
        <d v="2026-09-01T21:00:00"/>
        <d v="2026-09-01T22:00:00"/>
        <d v="2026-09-01T23:00:00"/>
        <d v="2026-09-02T00:00:00"/>
        <d v="2026-09-02T01:00:00"/>
        <d v="2026-09-02T02:00:00"/>
        <d v="2026-09-02T03:00:00"/>
        <d v="2026-09-02T04:00:00"/>
        <d v="2026-09-02T05:00:00"/>
        <d v="2026-09-02T06:00:00"/>
        <d v="2026-09-02T07:00:00"/>
        <d v="2026-09-02T08:00:00"/>
        <d v="2026-09-02T09:00:00"/>
        <d v="2026-09-02T10:00:00"/>
        <d v="2026-09-02T11:00:00"/>
        <d v="2026-09-02T12:00:00"/>
        <d v="2026-09-02T13:00:00"/>
        <d v="2026-09-02T14:00:00"/>
        <d v="2026-09-02T15:00:00"/>
        <d v="2026-09-02T16:00:00"/>
        <d v="2026-09-02T17:00:00"/>
        <d v="2026-09-02T18:00:00"/>
        <d v="2026-09-02T19:00:00"/>
        <d v="2026-09-02T20:00:00"/>
        <d v="2026-09-02T21:00:00"/>
        <d v="2026-09-02T22:00:00"/>
        <d v="2026-09-02T23:00:00"/>
        <d v="2026-09-03T00:00:00"/>
        <d v="2026-09-03T01:00:00"/>
        <d v="2026-09-03T02:00:00"/>
        <d v="2026-09-03T03:00:00"/>
        <d v="2026-09-03T04:00:00"/>
        <d v="2026-09-03T05:00:00"/>
        <d v="2026-09-03T06:00:00"/>
        <d v="2026-09-03T07:00:00"/>
        <d v="2026-09-03T08:00:00"/>
        <d v="2026-09-03T09:00:00"/>
        <d v="2026-09-03T10:00:00"/>
        <d v="2026-09-03T11:00:00"/>
        <d v="2026-09-03T12:00:00"/>
        <d v="2026-09-03T13:00:00"/>
        <d v="2026-09-03T14:00:00"/>
        <d v="2026-09-03T15:00:00"/>
        <d v="2026-09-03T16:00:00"/>
        <d v="2026-09-03T17:00:00"/>
        <d v="2026-09-03T18:00:00"/>
        <d v="2026-09-03T19:00:00"/>
        <d v="2026-09-03T20:00:00"/>
        <d v="2026-09-03T21:00:00"/>
        <d v="2026-09-03T22:00:00"/>
        <d v="2026-09-03T23:00:00"/>
        <d v="2026-09-04T00:00:00"/>
        <d v="2026-09-04T01:00:00"/>
        <d v="2026-09-04T02:00:00"/>
        <d v="2026-09-04T03:00:00"/>
        <d v="2026-09-04T04:00:00"/>
        <d v="2026-09-04T05:00:00"/>
        <d v="2026-09-04T06:00:00"/>
        <d v="2026-09-04T07:00:00"/>
        <d v="2026-09-04T08:00:00"/>
        <d v="2026-09-04T09:00:00"/>
        <d v="2026-09-04T10:00:00"/>
        <d v="2026-09-04T11:00:00"/>
        <d v="2026-09-04T12:00:00"/>
        <d v="2026-09-04T13:00:00"/>
        <d v="2026-09-04T14:00:00"/>
        <d v="2026-09-04T15:00:00"/>
        <d v="2026-09-04T16:00:00"/>
        <d v="2026-09-04T17:00:00"/>
        <d v="2026-09-04T18:00:00"/>
        <d v="2026-09-04T19:00:00"/>
        <d v="2026-09-04T20:00:00"/>
        <d v="2026-09-04T21:00:00"/>
        <d v="2026-09-04T22:00:00"/>
        <d v="2026-09-04T23:00:00"/>
        <d v="2026-09-05T00:00:00"/>
        <d v="2026-09-05T01:00:00"/>
        <d v="2026-09-05T02:00:00"/>
        <d v="2026-09-05T03:00:00"/>
        <d v="2026-09-05T04:00:00"/>
        <d v="2026-09-05T05:00:00"/>
        <d v="2026-09-05T06:00:00"/>
        <d v="2026-09-05T07:00:00"/>
        <d v="2026-09-05T08:00:00"/>
        <d v="2026-09-05T09:00:00"/>
        <d v="2026-09-05T10:00:00"/>
        <d v="2026-09-05T11:00:00"/>
        <d v="2026-09-05T12:00:00"/>
        <d v="2026-09-05T13:00:00"/>
        <d v="2026-09-05T14:00:00"/>
        <d v="2026-09-05T15:00:00"/>
        <d v="2026-09-05T16:00:00"/>
        <d v="2026-09-05T17:00:00"/>
        <d v="2026-09-05T18:00:00"/>
        <d v="2026-09-05T19:00:00"/>
        <d v="2026-09-05T20:00:00"/>
        <d v="2026-09-05T21:00:00"/>
        <d v="2026-09-05T22:00:00"/>
        <d v="2026-09-05T23:00:00"/>
        <d v="2026-09-06T00:00:00"/>
        <d v="2026-09-06T01:00:00"/>
        <d v="2026-09-06T02:00:00"/>
        <d v="2026-09-06T03:00:00"/>
        <d v="2026-09-06T04:00:00"/>
        <d v="2026-09-06T05:00:00"/>
        <d v="2026-09-06T06:00:00"/>
        <d v="2026-09-06T07:00:00"/>
        <d v="2026-09-06T08:00:00"/>
        <d v="2026-09-06T09:00:00"/>
        <d v="2026-09-06T10:00:00"/>
        <d v="2026-09-06T11:00:00"/>
        <d v="2026-09-06T12:00:00"/>
        <d v="2026-09-06T13:00:00"/>
        <d v="2026-09-06T14:00:00"/>
        <d v="2026-09-06T15:00:00"/>
        <d v="2026-09-06T16:00:00"/>
        <d v="2026-09-06T17:00:00"/>
        <d v="2026-09-06T18:00:00"/>
        <d v="2026-09-06T19:00:00"/>
        <d v="2026-09-06T20:00:00"/>
        <d v="2026-09-06T21:00:00"/>
        <d v="2026-09-06T22:00:00"/>
        <d v="2026-09-06T23:00:00"/>
        <d v="2026-09-07T00:00:00"/>
        <d v="2026-09-07T01:00:00"/>
        <d v="2026-09-07T02:00:00"/>
        <d v="2026-09-07T03:00:00"/>
        <d v="2026-09-07T04:00:00"/>
        <d v="2026-09-07T05:00:00"/>
        <d v="2026-09-07T06:00:00"/>
        <d v="2026-09-07T07:00:00"/>
        <d v="2026-09-07T08:00:00"/>
        <d v="2026-09-07T09:00:00"/>
        <d v="2026-09-07T10:00:00"/>
        <d v="2026-09-07T11:00:00"/>
        <d v="2026-09-07T12:00:00"/>
        <d v="2026-09-07T13:00:00"/>
        <d v="2026-09-07T14:00:00"/>
        <d v="2026-09-07T15:00:00"/>
        <d v="2026-09-07T16:00:00"/>
        <d v="2026-09-07T17:00:00"/>
        <d v="2026-09-07T18:00:00"/>
        <d v="2026-09-07T19:00:00"/>
        <d v="2026-09-07T20:00:00"/>
        <d v="2026-09-07T21:00:00"/>
        <d v="2026-09-07T22:00:00"/>
        <d v="2026-09-07T23:00:00"/>
        <d v="2026-09-08T00:00:00"/>
        <d v="2026-09-08T01:00:00"/>
        <d v="2026-09-08T02:00:00"/>
        <d v="2026-09-08T03:00:00"/>
        <d v="2026-09-08T04:00:00"/>
        <d v="2026-09-08T05:00:00"/>
        <d v="2026-09-08T06:00:00"/>
        <d v="2026-09-08T07:00:00"/>
        <d v="2026-09-08T08:00:00"/>
        <d v="2026-09-08T09:00:00"/>
        <d v="2026-09-08T10:00:00"/>
        <d v="2026-09-08T11:00:00"/>
        <d v="2026-09-08T12:00:00"/>
        <d v="2026-09-08T13:00:00"/>
        <d v="2026-09-08T14:00:00"/>
        <d v="2026-09-08T15:00:00"/>
        <d v="2026-09-08T16:00:00"/>
        <d v="2026-09-08T17:00:00"/>
        <d v="2026-09-08T18:00:00"/>
        <d v="2026-09-08T19:00:00"/>
        <d v="2026-09-08T20:00:00"/>
        <d v="2026-09-08T21:00:00"/>
        <d v="2026-09-08T22:00:00"/>
        <d v="2026-09-08T23:00:00"/>
        <d v="2026-09-09T00:00:00"/>
        <d v="2026-09-09T01:00:00"/>
        <d v="2026-09-09T02:00:00"/>
        <d v="2026-09-09T03:00:00"/>
        <d v="2026-09-09T04:00:00"/>
        <d v="2026-09-09T05:00:00"/>
        <d v="2026-09-09T06:00:00"/>
        <d v="2026-09-09T07:00:00"/>
        <d v="2026-09-09T08:00:00"/>
        <d v="2026-09-09T09:00:00"/>
        <d v="2026-09-09T10:00:00"/>
        <d v="2026-09-09T11:00:00"/>
        <d v="2026-09-09T12:00:00"/>
        <d v="2026-09-09T13:00:00"/>
        <d v="2026-09-09T14:00:00"/>
        <d v="2026-09-09T15:00:00"/>
        <d v="2026-09-09T16:00:00"/>
        <d v="2026-09-09T17:00:00"/>
        <d v="2026-09-09T18:00:00"/>
        <d v="2026-09-09T19:00:00"/>
        <d v="2026-09-09T20:00:00"/>
        <d v="2026-09-09T21:00:00"/>
        <d v="2026-09-09T22:00:00"/>
        <d v="2026-09-09T23:00:00"/>
        <d v="2026-09-10T00:00:00"/>
        <d v="2026-09-10T01:00:00"/>
        <d v="2026-09-10T02:00:00"/>
        <d v="2026-09-10T03:00:00"/>
        <d v="2026-09-10T04:00:00"/>
        <d v="2026-09-10T05:00:00"/>
        <d v="2026-09-10T06:00:00"/>
        <d v="2026-09-10T07:00:00"/>
        <d v="2026-09-10T08:00:00"/>
        <d v="2026-09-10T09:00:00"/>
        <d v="2026-09-10T10:00:00"/>
        <d v="2026-09-10T11:00:00"/>
        <d v="2026-09-10T12:00:00"/>
        <d v="2026-09-10T13:00:00"/>
        <d v="2026-09-10T14:00:00"/>
        <d v="2026-09-10T15:00:00"/>
        <d v="2026-09-10T16:00:00"/>
        <d v="2026-09-10T17:00:00"/>
        <d v="2026-09-10T18:00:00"/>
        <d v="2026-09-10T19:00:00"/>
        <d v="2026-09-10T20:00:00"/>
        <d v="2026-09-10T21:00:00"/>
        <d v="2026-09-10T22:00:00"/>
        <d v="2026-09-10T23:00:00"/>
        <d v="2026-09-11T00:00:00"/>
        <d v="2026-09-11T01:00:00"/>
        <d v="2026-09-11T02:00:00"/>
        <d v="2026-09-11T03:00:00"/>
        <d v="2026-09-11T04:00:00"/>
        <d v="2026-09-11T05:00:00"/>
        <d v="2026-09-11T06:00:00"/>
        <d v="2026-09-11T07:00:00"/>
        <d v="2026-09-11T08:00:00"/>
        <d v="2026-09-11T09:00:00"/>
        <d v="2026-09-11T10:00:00"/>
        <d v="2026-09-11T11:00:00"/>
        <d v="2026-09-11T12:00:00"/>
        <d v="2026-09-11T13:00:00"/>
        <d v="2026-09-11T14:00:00"/>
        <d v="2026-09-11T15:00:00"/>
        <d v="2026-09-11T16:00:00"/>
        <d v="2026-09-11T17:00:00"/>
        <d v="2026-09-11T18:00:00"/>
        <d v="2026-09-11T19:00:00"/>
        <d v="2026-09-11T20:00:00"/>
        <d v="2026-09-11T21:00:00"/>
        <d v="2026-09-11T22:00:00"/>
        <d v="2026-09-11T23:00:00"/>
        <d v="2026-09-12T00:00:00"/>
        <d v="2026-09-12T01:00:00"/>
        <d v="2026-09-12T02:00:00"/>
        <d v="2026-09-12T03:00:00"/>
        <d v="2026-09-12T04:00:00"/>
        <d v="2026-09-12T05:00:00"/>
        <d v="2026-09-12T06:00:00"/>
        <d v="2026-09-12T07:00:00"/>
        <d v="2026-09-12T08:00:00"/>
        <d v="2026-09-12T09:00:00"/>
        <d v="2026-09-12T10:00:00"/>
        <d v="2026-09-12T11:00:00"/>
        <d v="2026-09-12T12:00:00"/>
        <d v="2026-09-12T13:00:00"/>
        <d v="2026-09-12T14:00:00"/>
        <d v="2026-09-12T15:00:00"/>
        <d v="2026-09-12T16:00:00"/>
        <d v="2026-09-12T17:00:00"/>
        <d v="2026-09-12T18:00:00"/>
        <d v="2026-09-12T19:00:00"/>
        <d v="2026-09-12T20:00:00"/>
        <d v="2026-09-12T21:00:00"/>
        <d v="2026-09-12T22:00:00"/>
        <d v="2026-09-12T23:00:00"/>
        <d v="2026-09-13T00:00:00"/>
        <d v="2026-09-13T01:00:00"/>
        <d v="2026-09-13T02:00:00"/>
        <d v="2026-09-13T03:00:00"/>
        <d v="2026-09-13T04:00:00"/>
        <d v="2026-09-13T05:00:00"/>
        <d v="2026-09-13T06:00:00"/>
        <d v="2026-09-13T07:00:00"/>
        <d v="2026-09-13T08:00:00"/>
        <d v="2026-09-13T09:00:00"/>
        <d v="2026-09-13T10:00:00"/>
        <d v="2026-09-13T11:00:00"/>
        <d v="2026-09-13T12:00:00"/>
        <d v="2026-09-13T13:00:00"/>
        <d v="2026-09-13T14:00:00"/>
        <d v="2026-09-13T15:00:00"/>
        <d v="2026-09-13T16:00:00"/>
        <d v="2026-09-13T17:00:00"/>
        <d v="2026-09-13T18:00:00"/>
        <d v="2026-09-13T19:00:00"/>
        <d v="2026-09-13T20:00:00"/>
        <d v="2026-09-13T21:00:00"/>
        <d v="2026-09-13T22:00:00"/>
        <d v="2026-09-13T23:00:00"/>
        <d v="2026-09-14T00:00:00"/>
        <d v="2026-09-14T01:00:00"/>
        <d v="2026-09-14T02:00:00"/>
        <d v="2026-09-14T03:00:00"/>
        <d v="2026-09-14T04:00:00"/>
        <d v="2026-09-14T05:00:00"/>
        <d v="2026-09-14T06:00:00"/>
        <d v="2026-09-14T07:00:00"/>
        <d v="2026-09-14T08:00:00"/>
        <d v="2026-09-14T09:00:00"/>
        <d v="2026-09-14T10:00:00"/>
        <d v="2026-09-14T11:00:00"/>
        <d v="2026-09-14T12:00:00"/>
        <d v="2026-09-14T13:00:00"/>
        <d v="2026-09-14T14:00:00"/>
        <d v="2026-09-14T15:00:00"/>
        <d v="2026-09-14T16:00:00"/>
        <d v="2026-09-14T17:00:00"/>
        <d v="2026-09-14T18:00:00"/>
        <d v="2026-09-14T19:00:00"/>
        <d v="2026-09-14T20:00:00"/>
        <d v="2026-09-14T21:00:00"/>
        <d v="2026-09-14T22:00:00"/>
        <d v="2026-09-14T23:00:00"/>
        <m/>
      </sharedItems>
    </cacheField>
    <cacheField name="region_id" numFmtId="0">
      <sharedItems containsBlank="1" count="4">
        <s v="REG_NORTH"/>
        <s v="REG_SOUTH"/>
        <s v="REG_EAST"/>
        <m/>
      </sharedItems>
    </cacheField>
    <cacheField name="temperature_c" numFmtId="0">
      <sharedItems containsString="0" containsBlank="1" containsNumber="1" minValue="12.8" maxValue="37"/>
    </cacheField>
    <cacheField name="cloud_cover_pct" numFmtId="0">
      <sharedItems containsString="0" containsBlank="1" containsNumber="1" minValue="0" maxValue="100"/>
    </cacheField>
    <cacheField name="wind_speed_ms" numFmtId="0">
      <sharedItems containsString="0" containsBlank="1" containsNumber="1" minValue="0" maxValue="28"/>
    </cacheField>
    <cacheField name="solar_mw" numFmtId="0">
      <sharedItems containsString="0" containsBlank="1" containsNumber="1" minValue="0" maxValue="3000"/>
    </cacheField>
    <cacheField name="wind_mw" numFmtId="0">
      <sharedItems containsString="0" containsBlank="1" containsNumber="1" minValue="0" maxValue="2437.8000000000002"/>
    </cacheField>
    <cacheField name="fossil_backup_mw" numFmtId="0">
      <sharedItems containsString="0" containsBlank="1" containsNumber="1" minValue="1889.8" maxValue="4000"/>
    </cacheField>
    <cacheField name="grid_demand_mw" numFmtId="0">
      <sharedItems containsString="0" containsBlank="1" containsNumber="1" minValue="3924.6" maxValue="8025.5"/>
    </cacheField>
    <cacheField name="grid_strain_incident" numFmtId="0">
      <sharedItems containsString="0" containsBlank="1" containsNumber="1" containsInteger="1" minValue="0" maxValue="1"/>
    </cacheField>
    <cacheField name="sum of renewable energy resource" numFmtId="0">
      <sharedItems containsString="0" containsBlank="1" containsNumber="1" minValue="0" maxValue="3657"/>
    </cacheField>
    <cacheField name="Total supply" numFmtId="0">
      <sharedItems containsString="0" containsBlank="1" containsNumber="1" minValue="3924.6" maxValue="7010.6"/>
    </cacheField>
    <cacheField name="Hour" numFmtId="0">
      <sharedItems containsString="0" containsBlank="1" containsNumber="1" containsInteger="1" minValue="0" maxValue="23" count="2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m/>
      </sharedItems>
    </cacheField>
  </cacheFields>
  <extLst>
    <ext xmlns:x14="http://schemas.microsoft.com/office/spreadsheetml/2009/9/main" uri="{725AE2AE-9491-48be-B2B4-4EB974FC3084}">
      <x14:pivotCacheDefinition pivotCacheId="1360172126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9.563669328702" createdVersion="8" refreshedVersion="8" minRefreshableVersion="3" recordCount="1008" xr:uid="{4D218E23-78A0-485C-8DA7-EE79E3CBD7F2}">
  <cacheSource type="worksheet">
    <worksheetSource ref="A1:M1009" sheet="energy_grid_portfolio_dataset"/>
  </cacheSource>
  <cacheFields count="13">
    <cacheField name="timestamp" numFmtId="22">
      <sharedItems containsSemiMixedTypes="0" containsNonDate="0" containsDate="1" containsString="0" minDate="2026-09-01T00:00:00" maxDate="2026-09-15T00:00:00"/>
    </cacheField>
    <cacheField name="region_id" numFmtId="0">
      <sharedItems count="3">
        <s v="REG_NORTH"/>
        <s v="REG_SOUTH"/>
        <s v="REG_EAST"/>
      </sharedItems>
    </cacheField>
    <cacheField name="temperature_c" numFmtId="0">
      <sharedItems containsSemiMixedTypes="0" containsString="0" containsNumber="1" minValue="12.8" maxValue="37"/>
    </cacheField>
    <cacheField name="cloud_cover_pct" numFmtId="0">
      <sharedItems containsSemiMixedTypes="0" containsString="0" containsNumber="1" minValue="0" maxValue="100"/>
    </cacheField>
    <cacheField name="wind_speed_ms" numFmtId="0">
      <sharedItems containsSemiMixedTypes="0" containsString="0" containsNumber="1" minValue="0" maxValue="28"/>
    </cacheField>
    <cacheField name="solar_mw" numFmtId="0">
      <sharedItems containsSemiMixedTypes="0" containsString="0" containsNumber="1" minValue="0" maxValue="3000"/>
    </cacheField>
    <cacheField name="wind_mw" numFmtId="0">
      <sharedItems containsSemiMixedTypes="0" containsString="0" containsNumber="1" minValue="0" maxValue="2437.8000000000002"/>
    </cacheField>
    <cacheField name="fossil_backup_mw" numFmtId="0">
      <sharedItems containsSemiMixedTypes="0" containsString="0" containsNumber="1" minValue="1889.8" maxValue="4000"/>
    </cacheField>
    <cacheField name="grid_demand_mw" numFmtId="0">
      <sharedItems containsSemiMixedTypes="0" containsString="0" containsNumber="1" minValue="3924.6" maxValue="8025.5"/>
    </cacheField>
    <cacheField name="grid_strain_incident" numFmtId="0">
      <sharedItems containsSemiMixedTypes="0" containsString="0" containsNumber="1" containsInteger="1" minValue="0" maxValue="1"/>
    </cacheField>
    <cacheField name="sum of renewable energy resource" numFmtId="0">
      <sharedItems containsSemiMixedTypes="0" containsString="0" containsNumber="1" minValue="0" maxValue="3657"/>
    </cacheField>
    <cacheField name="Total supply" numFmtId="0">
      <sharedItems containsSemiMixedTypes="0" containsString="0" containsNumber="1" minValue="3924.6" maxValue="7010.6"/>
    </cacheField>
    <cacheField name="Hour" numFmtId="0">
      <sharedItems containsSemiMixedTypes="0" containsString="0" containsNumber="1" containsInteger="1" minValue="0" maxValue="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9.565207060186" createdVersion="8" refreshedVersion="8" minRefreshableVersion="3" recordCount="1008" xr:uid="{A93AFDC7-4043-4590-9622-B17B60B48C7E}">
  <cacheSource type="worksheet">
    <worksheetSource ref="A1:M1009" sheet="energy_grid_portfolio_dataset"/>
  </cacheSource>
  <cacheFields count="13">
    <cacheField name="timestamp" numFmtId="22">
      <sharedItems containsSemiMixedTypes="0" containsNonDate="0" containsDate="1" containsString="0" minDate="2026-09-01T00:00:00" maxDate="2026-09-15T00:00:00"/>
    </cacheField>
    <cacheField name="region_id" numFmtId="0">
      <sharedItems count="3">
        <s v="REG_NORTH"/>
        <s v="REG_SOUTH"/>
        <s v="REG_EAST"/>
      </sharedItems>
    </cacheField>
    <cacheField name="temperature_c" numFmtId="0">
      <sharedItems containsSemiMixedTypes="0" containsString="0" containsNumber="1" minValue="12.8" maxValue="37"/>
    </cacheField>
    <cacheField name="cloud_cover_pct" numFmtId="0">
      <sharedItems containsSemiMixedTypes="0" containsString="0" containsNumber="1" minValue="0" maxValue="100"/>
    </cacheField>
    <cacheField name="wind_speed_ms" numFmtId="0">
      <sharedItems containsSemiMixedTypes="0" containsString="0" containsNumber="1" minValue="0" maxValue="28"/>
    </cacheField>
    <cacheField name="solar_mw" numFmtId="0">
      <sharedItems containsSemiMixedTypes="0" containsString="0" containsNumber="1" minValue="0" maxValue="3000"/>
    </cacheField>
    <cacheField name="wind_mw" numFmtId="0">
      <sharedItems containsSemiMixedTypes="0" containsString="0" containsNumber="1" minValue="0" maxValue="2437.8000000000002"/>
    </cacheField>
    <cacheField name="fossil_backup_mw" numFmtId="0">
      <sharedItems containsSemiMixedTypes="0" containsString="0" containsNumber="1" minValue="1889.8" maxValue="4000"/>
    </cacheField>
    <cacheField name="grid_demand_mw" numFmtId="0">
      <sharedItems containsSemiMixedTypes="0" containsString="0" containsNumber="1" minValue="3924.6" maxValue="8025.5"/>
    </cacheField>
    <cacheField name="grid_strain_incident" numFmtId="0">
      <sharedItems containsSemiMixedTypes="0" containsString="0" containsNumber="1" containsInteger="1" minValue="0" maxValue="1"/>
    </cacheField>
    <cacheField name="sum of renewable energy resource" numFmtId="0">
      <sharedItems containsSemiMixedTypes="0" containsString="0" containsNumber="1" minValue="0" maxValue="3657"/>
    </cacheField>
    <cacheField name="Total supply" numFmtId="0">
      <sharedItems containsSemiMixedTypes="0" containsString="0" containsNumber="1" minValue="3924.6" maxValue="7010.6"/>
    </cacheField>
    <cacheField name="Hour" numFmtId="0">
      <sharedItems containsSemiMixedTypes="0" containsString="0" containsNumber="1" containsInteger="1" minValue="0" maxValue="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9">
  <r>
    <x v="0"/>
    <x v="0"/>
    <n v="21.8"/>
    <n v="38"/>
    <n v="7"/>
    <n v="0"/>
    <n v="22.4"/>
    <n v="4000"/>
    <n v="5024.5"/>
    <n v="1"/>
    <n v="22.4"/>
  </r>
  <r>
    <x v="1"/>
    <x v="0"/>
    <n v="21.9"/>
    <n v="56.6"/>
    <n v="5.5"/>
    <n v="0"/>
    <n v="10.9"/>
    <n v="4000"/>
    <n v="4914.8999999999996"/>
    <n v="1"/>
    <n v="10.9"/>
  </r>
  <r>
    <x v="2"/>
    <x v="0"/>
    <n v="23.6"/>
    <n v="15.7"/>
    <n v="3.1"/>
    <n v="0"/>
    <n v="1.8"/>
    <n v="4000"/>
    <n v="4879.6000000000004"/>
    <n v="1"/>
    <n v="1.8"/>
  </r>
  <r>
    <x v="3"/>
    <x v="0"/>
    <n v="20.9"/>
    <n v="0"/>
    <n v="2.9"/>
    <n v="0"/>
    <n v="1.5"/>
    <n v="4000"/>
    <n v="4986.3"/>
    <n v="1"/>
    <n v="1.5"/>
  </r>
  <r>
    <x v="4"/>
    <x v="0"/>
    <n v="25.5"/>
    <n v="6.8"/>
    <n v="1.2"/>
    <n v="0"/>
    <n v="0.1"/>
    <n v="4000"/>
    <n v="4798.1000000000004"/>
    <n v="1"/>
    <n v="0.1"/>
  </r>
  <r>
    <x v="5"/>
    <x v="0"/>
    <n v="26.1"/>
    <n v="26.4"/>
    <n v="1.2"/>
    <n v="0"/>
    <n v="0.1"/>
    <n v="4000"/>
    <n v="5169.8"/>
    <n v="1"/>
    <n v="0.1"/>
  </r>
  <r>
    <x v="6"/>
    <x v="0"/>
    <n v="28.2"/>
    <n v="2"/>
    <n v="4.8"/>
    <n v="658.3"/>
    <n v="6.9"/>
    <n v="4000"/>
    <n v="4868.3"/>
    <n v="1"/>
    <n v="665.19999999999993"/>
  </r>
  <r>
    <x v="7"/>
    <x v="0"/>
    <n v="29.1"/>
    <n v="13"/>
    <n v="7.7"/>
    <n v="1183.5"/>
    <n v="29.3"/>
    <n v="3647.1"/>
    <n v="4859.8999999999996"/>
    <n v="0"/>
    <n v="1212.8"/>
  </r>
  <r>
    <x v="8"/>
    <x v="0"/>
    <n v="29.4"/>
    <n v="41.5"/>
    <n v="1.6"/>
    <n v="1327.7"/>
    <n v="0.2"/>
    <n v="3620.1"/>
    <n v="4948"/>
    <n v="0"/>
    <n v="1327.9"/>
  </r>
  <r>
    <x v="9"/>
    <x v="0"/>
    <n v="29.3"/>
    <n v="0"/>
    <n v="4.4000000000000004"/>
    <n v="2345.5"/>
    <n v="5.4"/>
    <n v="2630.4"/>
    <n v="4981.3"/>
    <n v="0"/>
    <n v="2350.9"/>
  </r>
  <r>
    <x v="10"/>
    <x v="0"/>
    <n v="33.5"/>
    <n v="22.7"/>
    <n v="3.4"/>
    <n v="2273.6999999999998"/>
    <n v="2.5"/>
    <n v="4000"/>
    <n v="7260.8"/>
    <n v="1"/>
    <n v="2276.1999999999998"/>
  </r>
  <r>
    <x v="11"/>
    <x v="0"/>
    <n v="32.700000000000003"/>
    <n v="15.8"/>
    <n v="6.1"/>
    <n v="2601.6"/>
    <n v="14.6"/>
    <n v="4000"/>
    <n v="6928.2"/>
    <n v="1"/>
    <n v="2616.1999999999998"/>
  </r>
  <r>
    <x v="12"/>
    <x v="0"/>
    <n v="31.4"/>
    <n v="31.5"/>
    <n v="3.2"/>
    <n v="2338.9"/>
    <n v="2.2000000000000002"/>
    <n v="4000"/>
    <n v="7201.5"/>
    <n v="1"/>
    <n v="2341.1"/>
  </r>
  <r>
    <x v="13"/>
    <x v="0"/>
    <n v="34.700000000000003"/>
    <n v="45.6"/>
    <n v="5.9"/>
    <n v="1990.8"/>
    <n v="12.9"/>
    <n v="4000"/>
    <n v="7048.5"/>
    <n v="1"/>
    <n v="2003.7"/>
  </r>
  <r>
    <x v="14"/>
    <x v="0"/>
    <n v="32.700000000000003"/>
    <n v="31.6"/>
    <n v="6"/>
    <n v="2104.5"/>
    <n v="13.5"/>
    <n v="4000"/>
    <n v="7024.1"/>
    <n v="1"/>
    <n v="2118"/>
  </r>
  <r>
    <x v="15"/>
    <x v="0"/>
    <n v="32"/>
    <n v="2.9"/>
    <n v="1.6"/>
    <n v="2298.3000000000002"/>
    <n v="0.3"/>
    <n v="2579.5"/>
    <n v="4878.1000000000004"/>
    <n v="0"/>
    <n v="2298.6000000000004"/>
  </r>
  <r>
    <x v="16"/>
    <x v="0"/>
    <n v="33"/>
    <n v="23.6"/>
    <n v="6"/>
    <n v="1562"/>
    <n v="13.9"/>
    <n v="3496"/>
    <n v="5071.8999999999996"/>
    <n v="0"/>
    <n v="1575.9"/>
  </r>
  <r>
    <x v="17"/>
    <x v="0"/>
    <n v="28.6"/>
    <n v="32.200000000000003"/>
    <n v="7.1"/>
    <n v="1008"/>
    <n v="22.7"/>
    <n v="3973.5"/>
    <n v="5004.2"/>
    <n v="0"/>
    <n v="1030.7"/>
  </r>
  <r>
    <x v="18"/>
    <x v="0"/>
    <n v="30.3"/>
    <n v="0"/>
    <n v="5.6"/>
    <n v="667.6"/>
    <n v="11.5"/>
    <n v="4000"/>
    <n v="7694.6"/>
    <n v="1"/>
    <n v="679.1"/>
  </r>
  <r>
    <x v="19"/>
    <x v="0"/>
    <n v="26"/>
    <n v="26.8"/>
    <n v="0"/>
    <n v="0"/>
    <n v="0"/>
    <n v="4000"/>
    <n v="7713.1"/>
    <n v="1"/>
    <n v="0"/>
  </r>
  <r>
    <x v="20"/>
    <x v="0"/>
    <n v="25.5"/>
    <n v="54.6"/>
    <n v="3"/>
    <n v="0"/>
    <n v="1.7"/>
    <n v="4000"/>
    <n v="7667"/>
    <n v="1"/>
    <n v="1.7"/>
  </r>
  <r>
    <x v="21"/>
    <x v="0"/>
    <n v="23"/>
    <n v="43.3"/>
    <n v="4.7"/>
    <n v="0"/>
    <n v="6.5"/>
    <n v="4000"/>
    <n v="7578.7"/>
    <n v="1"/>
    <n v="6.5"/>
  </r>
  <r>
    <x v="22"/>
    <x v="0"/>
    <n v="23.6"/>
    <n v="26.9"/>
    <n v="5.9"/>
    <n v="0"/>
    <n v="13.4"/>
    <n v="4000"/>
    <n v="4870.5"/>
    <n v="1"/>
    <n v="13.4"/>
  </r>
  <r>
    <x v="23"/>
    <x v="0"/>
    <n v="21.7"/>
    <n v="17.2"/>
    <n v="1.1000000000000001"/>
    <n v="0"/>
    <n v="0.1"/>
    <n v="4000"/>
    <n v="4844.7"/>
    <n v="1"/>
    <n v="0.1"/>
  </r>
  <r>
    <x v="24"/>
    <x v="0"/>
    <n v="22.4"/>
    <n v="25.1"/>
    <n v="3.5"/>
    <n v="0"/>
    <n v="2.8"/>
    <n v="4000"/>
    <n v="4994.3999999999996"/>
    <n v="1"/>
    <n v="2.8"/>
  </r>
  <r>
    <x v="25"/>
    <x v="0"/>
    <n v="21.6"/>
    <n v="18.100000000000001"/>
    <n v="2.4"/>
    <n v="0"/>
    <n v="0.9"/>
    <n v="4000"/>
    <n v="4737.7"/>
    <n v="1"/>
    <n v="0.9"/>
  </r>
  <r>
    <x v="26"/>
    <x v="0"/>
    <n v="23.4"/>
    <n v="62.7"/>
    <n v="4.3"/>
    <n v="0"/>
    <n v="5.3"/>
    <n v="4000"/>
    <n v="4925.8"/>
    <n v="1"/>
    <n v="5.3"/>
  </r>
  <r>
    <x v="27"/>
    <x v="0"/>
    <n v="23.6"/>
    <n v="0"/>
    <n v="3.9"/>
    <n v="0"/>
    <n v="3.9"/>
    <n v="4000"/>
    <n v="4988.6000000000004"/>
    <n v="1"/>
    <n v="3.9"/>
  </r>
  <r>
    <x v="28"/>
    <x v="0"/>
    <n v="28.7"/>
    <n v="21.2"/>
    <n v="4.5999999999999996"/>
    <n v="0"/>
    <n v="6.2"/>
    <n v="4000"/>
    <n v="4959"/>
    <n v="1"/>
    <n v="6.2"/>
  </r>
  <r>
    <x v="29"/>
    <x v="0"/>
    <n v="24.7"/>
    <n v="47.9"/>
    <n v="5.5"/>
    <n v="0"/>
    <n v="10.7"/>
    <n v="4000"/>
    <n v="4944.8"/>
    <n v="1"/>
    <n v="10.7"/>
  </r>
  <r>
    <x v="30"/>
    <x v="0"/>
    <n v="26.6"/>
    <n v="53.1"/>
    <n v="1.2"/>
    <n v="419.6"/>
    <n v="0.1"/>
    <n v="4000"/>
    <n v="5068.7"/>
    <n v="1"/>
    <n v="419.70000000000005"/>
  </r>
  <r>
    <x v="31"/>
    <x v="0"/>
    <n v="32.799999999999997"/>
    <n v="5.2"/>
    <n v="2.9"/>
    <n v="1254.4000000000001"/>
    <n v="1.5"/>
    <n v="3782.1"/>
    <n v="5038"/>
    <n v="0"/>
    <n v="1255.9000000000001"/>
  </r>
  <r>
    <x v="32"/>
    <x v="0"/>
    <n v="30.2"/>
    <n v="0"/>
    <n v="4.0999999999999996"/>
    <n v="1870.5"/>
    <n v="4.5"/>
    <n v="3089.9"/>
    <n v="4964.8999999999996"/>
    <n v="0"/>
    <n v="1875"/>
  </r>
  <r>
    <x v="33"/>
    <x v="0"/>
    <n v="33"/>
    <n v="6.6"/>
    <n v="7.1"/>
    <n v="2236.9"/>
    <n v="22.9"/>
    <n v="2530.9"/>
    <n v="4790.7"/>
    <n v="0"/>
    <n v="2259.8000000000002"/>
  </r>
  <r>
    <x v="34"/>
    <x v="0"/>
    <n v="32.700000000000003"/>
    <n v="41.3"/>
    <n v="1.5"/>
    <n v="1922.1"/>
    <n v="0.2"/>
    <n v="4000"/>
    <n v="7032.5"/>
    <n v="1"/>
    <n v="1922.3"/>
  </r>
  <r>
    <x v="35"/>
    <x v="0"/>
    <n v="35.799999999999997"/>
    <n v="0"/>
    <n v="4.4000000000000004"/>
    <n v="2924.8"/>
    <n v="5.3"/>
    <n v="4000"/>
    <n v="7184.1"/>
    <n v="1"/>
    <n v="2930.1000000000004"/>
  </r>
  <r>
    <x v="36"/>
    <x v="0"/>
    <n v="35.200000000000003"/>
    <n v="0.3"/>
    <n v="1.4"/>
    <n v="2994.5"/>
    <n v="0.2"/>
    <n v="4000"/>
    <n v="7189"/>
    <n v="1"/>
    <n v="2994.7"/>
  </r>
  <r>
    <x v="37"/>
    <x v="0"/>
    <n v="34.200000000000003"/>
    <n v="30"/>
    <n v="4.7"/>
    <n v="2310.4"/>
    <n v="6.6"/>
    <n v="4000"/>
    <n v="7228.3"/>
    <n v="1"/>
    <n v="2317"/>
  </r>
  <r>
    <x v="38"/>
    <x v="0"/>
    <n v="33.5"/>
    <n v="30.9"/>
    <n v="2.6"/>
    <n v="2119"/>
    <n v="1.1000000000000001"/>
    <n v="4000"/>
    <n v="7048"/>
    <n v="1"/>
    <n v="2120.1"/>
  </r>
  <r>
    <x v="39"/>
    <x v="0"/>
    <n v="33"/>
    <n v="1.2"/>
    <n v="5.3"/>
    <n v="2326.1999999999998"/>
    <n v="9.6"/>
    <n v="2894.1"/>
    <n v="5229.8999999999996"/>
    <n v="0"/>
    <n v="2335.7999999999997"/>
  </r>
  <r>
    <x v="40"/>
    <x v="0"/>
    <n v="32.200000000000003"/>
    <n v="48.2"/>
    <n v="2.4"/>
    <n v="1239.7"/>
    <n v="0.8"/>
    <n v="3563.3"/>
    <n v="4803.8"/>
    <n v="0"/>
    <n v="1240.5"/>
  </r>
  <r>
    <x v="41"/>
    <x v="0"/>
    <n v="30.2"/>
    <n v="41.4"/>
    <n v="7.8"/>
    <n v="924.1"/>
    <n v="30.3"/>
    <n v="4000"/>
    <n v="5094.5"/>
    <n v="1"/>
    <n v="954.4"/>
  </r>
  <r>
    <x v="42"/>
    <x v="0"/>
    <n v="26.9"/>
    <n v="7.2"/>
    <n v="2.4"/>
    <n v="633.9"/>
    <n v="0.9"/>
    <n v="4000"/>
    <n v="7663.2"/>
    <n v="1"/>
    <n v="634.79999999999995"/>
  </r>
  <r>
    <x v="43"/>
    <x v="0"/>
    <n v="27"/>
    <n v="30.5"/>
    <n v="5.7"/>
    <n v="0"/>
    <n v="11.6"/>
    <n v="4000"/>
    <n v="7688.4"/>
    <n v="1"/>
    <n v="11.6"/>
  </r>
  <r>
    <x v="44"/>
    <x v="0"/>
    <n v="27.2"/>
    <n v="19.7"/>
    <n v="9.4"/>
    <n v="0"/>
    <n v="53.8"/>
    <n v="4000"/>
    <n v="7702"/>
    <n v="1"/>
    <n v="53.8"/>
  </r>
  <r>
    <x v="45"/>
    <x v="0"/>
    <n v="22.5"/>
    <n v="3.6"/>
    <n v="5"/>
    <n v="0"/>
    <n v="7.8"/>
    <n v="4000"/>
    <n v="7793.9"/>
    <n v="1"/>
    <n v="7.8"/>
  </r>
  <r>
    <x v="46"/>
    <x v="0"/>
    <n v="23.9"/>
    <n v="34.5"/>
    <n v="3.9"/>
    <n v="0"/>
    <n v="3.7"/>
    <n v="4000"/>
    <n v="4916.5"/>
    <n v="1"/>
    <n v="3.7"/>
  </r>
  <r>
    <x v="47"/>
    <x v="0"/>
    <n v="19.899999999999999"/>
    <n v="16.100000000000001"/>
    <n v="5.7"/>
    <n v="0"/>
    <n v="11.9"/>
    <n v="4000"/>
    <n v="4823"/>
    <n v="1"/>
    <n v="11.9"/>
  </r>
  <r>
    <x v="48"/>
    <x v="0"/>
    <n v="20.100000000000001"/>
    <n v="28.5"/>
    <n v="4.8"/>
    <n v="0"/>
    <n v="6.9"/>
    <n v="4000"/>
    <n v="4982.1000000000004"/>
    <n v="1"/>
    <n v="6.9"/>
  </r>
  <r>
    <x v="49"/>
    <x v="0"/>
    <n v="22.4"/>
    <n v="26.2"/>
    <n v="1.7"/>
    <n v="0"/>
    <n v="0.3"/>
    <n v="4000"/>
    <n v="4817.3999999999996"/>
    <n v="1"/>
    <n v="0.3"/>
  </r>
  <r>
    <x v="50"/>
    <x v="0"/>
    <n v="23.6"/>
    <n v="46.7"/>
    <n v="6.1"/>
    <n v="0"/>
    <n v="14.6"/>
    <n v="4000"/>
    <n v="5003.7"/>
    <n v="1"/>
    <n v="14.6"/>
  </r>
  <r>
    <x v="51"/>
    <x v="0"/>
    <n v="22.4"/>
    <n v="35.299999999999997"/>
    <n v="5"/>
    <n v="0"/>
    <n v="8.1"/>
    <n v="4000"/>
    <n v="4743.3"/>
    <n v="1"/>
    <n v="8.1"/>
  </r>
  <r>
    <x v="52"/>
    <x v="0"/>
    <n v="30.8"/>
    <n v="36.4"/>
    <n v="6.3"/>
    <n v="0"/>
    <n v="15.8"/>
    <n v="4000"/>
    <n v="5027.3"/>
    <n v="1"/>
    <n v="15.8"/>
  </r>
  <r>
    <x v="53"/>
    <x v="0"/>
    <n v="27.4"/>
    <n v="18.7"/>
    <n v="5.5"/>
    <n v="0"/>
    <n v="10.8"/>
    <n v="4000"/>
    <n v="5093.1000000000004"/>
    <n v="1"/>
    <n v="10.8"/>
  </r>
  <r>
    <x v="54"/>
    <x v="0"/>
    <n v="27.6"/>
    <n v="15.3"/>
    <n v="4.2"/>
    <n v="596.1"/>
    <n v="4.5999999999999996"/>
    <n v="4000"/>
    <n v="4834.1000000000004"/>
    <n v="1"/>
    <n v="600.70000000000005"/>
  </r>
  <r>
    <x v="55"/>
    <x v="0"/>
    <n v="26.8"/>
    <n v="38.700000000000003"/>
    <n v="0.8"/>
    <n v="948.8"/>
    <n v="0"/>
    <n v="4000"/>
    <n v="5297.2"/>
    <n v="1"/>
    <n v="948.8"/>
  </r>
  <r>
    <x v="56"/>
    <x v="0"/>
    <n v="32.6"/>
    <n v="26.3"/>
    <n v="1.8"/>
    <n v="1526.3"/>
    <n v="0.4"/>
    <n v="3352.5"/>
    <n v="4879.2"/>
    <n v="0"/>
    <n v="1526.7"/>
  </r>
  <r>
    <x v="57"/>
    <x v="0"/>
    <n v="33.299999999999997"/>
    <n v="10.4"/>
    <n v="4.4000000000000004"/>
    <n v="2174.9"/>
    <n v="5.6"/>
    <n v="2662.2"/>
    <n v="4842.7"/>
    <n v="0"/>
    <n v="2180.5"/>
  </r>
  <r>
    <x v="58"/>
    <x v="0"/>
    <n v="32.200000000000003"/>
    <n v="67.900000000000006"/>
    <n v="5.3"/>
    <n v="1418.6"/>
    <n v="9.4"/>
    <n v="4000"/>
    <n v="7156.8"/>
    <n v="1"/>
    <n v="1428"/>
  </r>
  <r>
    <x v="59"/>
    <x v="0"/>
    <n v="34.1"/>
    <n v="11.8"/>
    <n v="5.7"/>
    <n v="2683.9"/>
    <n v="11.9"/>
    <n v="4000"/>
    <n v="6846.2"/>
    <n v="1"/>
    <n v="2695.8"/>
  </r>
  <r>
    <x v="60"/>
    <x v="0"/>
    <n v="33.799999999999997"/>
    <n v="35.1"/>
    <n v="5.7"/>
    <n v="2262.9"/>
    <n v="12.1"/>
    <n v="4000"/>
    <n v="7031.1"/>
    <n v="1"/>
    <n v="2275"/>
  </r>
  <r>
    <x v="61"/>
    <x v="0"/>
    <n v="33.299999999999997"/>
    <n v="15.5"/>
    <n v="2.7"/>
    <n v="2607.4"/>
    <n v="1.3"/>
    <n v="4000"/>
    <n v="6970"/>
    <n v="1"/>
    <n v="2608.7000000000003"/>
  </r>
  <r>
    <x v="62"/>
    <x v="0"/>
    <n v="33.799999999999997"/>
    <n v="0"/>
    <n v="5.8"/>
    <n v="2702.9"/>
    <n v="12.7"/>
    <n v="4000"/>
    <n v="7414.8"/>
    <n v="1"/>
    <n v="2715.6"/>
  </r>
  <r>
    <x v="63"/>
    <x v="0"/>
    <n v="33.799999999999997"/>
    <n v="0"/>
    <n v="3"/>
    <n v="2345.5"/>
    <n v="1.8"/>
    <n v="2921"/>
    <n v="5268.3"/>
    <n v="0"/>
    <n v="2347.3000000000002"/>
  </r>
  <r>
    <x v="64"/>
    <x v="0"/>
    <n v="29.9"/>
    <n v="33.9"/>
    <n v="5.5"/>
    <n v="1426.9"/>
    <n v="10.9"/>
    <n v="3702.2"/>
    <n v="5140"/>
    <n v="0"/>
    <n v="1437.8000000000002"/>
  </r>
  <r>
    <x v="65"/>
    <x v="0"/>
    <n v="29.5"/>
    <n v="0"/>
    <n v="2"/>
    <n v="1301.7"/>
    <n v="0.5"/>
    <n v="3508.8"/>
    <n v="4811"/>
    <n v="0"/>
    <n v="1302.2"/>
  </r>
  <r>
    <x v="66"/>
    <x v="0"/>
    <n v="26.1"/>
    <n v="57.6"/>
    <n v="1.1000000000000001"/>
    <n v="398.2"/>
    <n v="0.1"/>
    <n v="4000"/>
    <n v="7662.1"/>
    <n v="1"/>
    <n v="398.3"/>
  </r>
  <r>
    <x v="67"/>
    <x v="0"/>
    <n v="26.6"/>
    <n v="53.8"/>
    <n v="1.1000000000000001"/>
    <n v="0"/>
    <n v="0.1"/>
    <n v="4000"/>
    <n v="7634"/>
    <n v="1"/>
    <n v="0.1"/>
  </r>
  <r>
    <x v="68"/>
    <x v="0"/>
    <n v="25"/>
    <n v="5.4"/>
    <n v="4.9000000000000004"/>
    <n v="0"/>
    <n v="7.6"/>
    <n v="4000"/>
    <n v="7874.5"/>
    <n v="1"/>
    <n v="7.6"/>
  </r>
  <r>
    <x v="69"/>
    <x v="0"/>
    <n v="22.9"/>
    <n v="26.4"/>
    <n v="3.2"/>
    <n v="0"/>
    <n v="2.2000000000000002"/>
    <n v="4000"/>
    <n v="7729.9"/>
    <n v="1"/>
    <n v="2.2000000000000002"/>
  </r>
  <r>
    <x v="70"/>
    <x v="0"/>
    <n v="23.8"/>
    <n v="56.7"/>
    <n v="1.5"/>
    <n v="0"/>
    <n v="0.2"/>
    <n v="4000"/>
    <n v="4967"/>
    <n v="1"/>
    <n v="0.2"/>
  </r>
  <r>
    <x v="71"/>
    <x v="0"/>
    <n v="19.3"/>
    <n v="22"/>
    <n v="5.2"/>
    <n v="0"/>
    <n v="8.9"/>
    <n v="4000"/>
    <n v="5270"/>
    <n v="1"/>
    <n v="8.9"/>
  </r>
  <r>
    <x v="72"/>
    <x v="0"/>
    <n v="21.1"/>
    <n v="20.8"/>
    <n v="3"/>
    <n v="0"/>
    <n v="1.8"/>
    <n v="4000"/>
    <n v="4992.1000000000004"/>
    <n v="1"/>
    <n v="1.8"/>
  </r>
  <r>
    <x v="73"/>
    <x v="0"/>
    <n v="23.5"/>
    <n v="32.1"/>
    <n v="2.6"/>
    <n v="0"/>
    <n v="1.1000000000000001"/>
    <n v="4000"/>
    <n v="4861.6000000000004"/>
    <n v="1"/>
    <n v="1.1000000000000001"/>
  </r>
  <r>
    <x v="74"/>
    <x v="0"/>
    <n v="23.3"/>
    <n v="41.3"/>
    <n v="5.3"/>
    <n v="0"/>
    <n v="9.3000000000000007"/>
    <n v="4000"/>
    <n v="5084.8999999999996"/>
    <n v="1"/>
    <n v="9.3000000000000007"/>
  </r>
  <r>
    <x v="75"/>
    <x v="0"/>
    <n v="22.9"/>
    <n v="39.9"/>
    <n v="5.2"/>
    <n v="0"/>
    <n v="9.1"/>
    <n v="4000"/>
    <n v="4825.7"/>
    <n v="1"/>
    <n v="9.1"/>
  </r>
  <r>
    <x v="76"/>
    <x v="0"/>
    <n v="25.2"/>
    <n v="50.6"/>
    <n v="2.8"/>
    <n v="0"/>
    <n v="1.4"/>
    <n v="4000"/>
    <n v="4946.8999999999996"/>
    <n v="1"/>
    <n v="1.4"/>
  </r>
  <r>
    <x v="77"/>
    <x v="0"/>
    <n v="26.1"/>
    <n v="20.6"/>
    <n v="6.2"/>
    <n v="0"/>
    <n v="15.2"/>
    <n v="4000"/>
    <n v="5032.1000000000004"/>
    <n v="1"/>
    <n v="15.2"/>
  </r>
  <r>
    <x v="78"/>
    <x v="0"/>
    <n v="29.2"/>
    <n v="51.1"/>
    <n v="4"/>
    <n v="428.7"/>
    <n v="4.2"/>
    <n v="4000"/>
    <n v="5073.8"/>
    <n v="1"/>
    <n v="432.9"/>
  </r>
  <r>
    <x v="79"/>
    <x v="0"/>
    <n v="29.1"/>
    <n v="31.5"/>
    <n v="3.7"/>
    <n v="1014.8"/>
    <n v="3.3"/>
    <n v="4000"/>
    <n v="5052.3"/>
    <n v="1"/>
    <n v="1018.0999999999999"/>
  </r>
  <r>
    <x v="80"/>
    <x v="0"/>
    <n v="31.9"/>
    <n v="8.6"/>
    <n v="8.1999999999999993"/>
    <n v="1757.4"/>
    <n v="35.1"/>
    <n v="3172"/>
    <n v="4964.5"/>
    <n v="0"/>
    <n v="1792.5"/>
  </r>
  <r>
    <x v="81"/>
    <x v="0"/>
    <n v="30.4"/>
    <n v="48.2"/>
    <n v="5.6"/>
    <n v="1554.7"/>
    <n v="11.1"/>
    <n v="3233.3"/>
    <n v="4799.1000000000004"/>
    <n v="0"/>
    <n v="1565.8"/>
  </r>
  <r>
    <x v="82"/>
    <x v="0"/>
    <n v="34.1"/>
    <n v="24.8"/>
    <n v="2.2000000000000002"/>
    <n v="2234.5"/>
    <n v="0.7"/>
    <n v="4000"/>
    <n v="7243.6"/>
    <n v="1"/>
    <n v="2235.1999999999998"/>
  </r>
  <r>
    <x v="83"/>
    <x v="0"/>
    <n v="32.799999999999997"/>
    <n v="44.5"/>
    <n v="3.7"/>
    <n v="2013.7"/>
    <n v="3.3"/>
    <n v="4000"/>
    <n v="7161.4"/>
    <n v="1"/>
    <n v="2017"/>
  </r>
  <r>
    <x v="84"/>
    <x v="0"/>
    <n v="33.5"/>
    <n v="33.299999999999997"/>
    <n v="2.9"/>
    <n v="2301.6"/>
    <n v="1.5"/>
    <n v="4000"/>
    <n v="7026.2"/>
    <n v="1"/>
    <n v="2303.1"/>
  </r>
  <r>
    <x v="85"/>
    <x v="0"/>
    <n v="34.200000000000003"/>
    <n v="29.9"/>
    <n v="3"/>
    <n v="2312.6"/>
    <n v="1.7"/>
    <n v="4000"/>
    <n v="7026.7"/>
    <n v="1"/>
    <n v="2314.2999999999997"/>
  </r>
  <r>
    <x v="86"/>
    <x v="0"/>
    <n v="33.5"/>
    <n v="0"/>
    <n v="1.2"/>
    <n v="2702.9"/>
    <n v="0.1"/>
    <n v="4000"/>
    <n v="7079.3"/>
    <n v="1"/>
    <n v="2703"/>
  </r>
  <r>
    <x v="87"/>
    <x v="0"/>
    <n v="31.9"/>
    <n v="31.2"/>
    <n v="7"/>
    <n v="1832.9"/>
    <n v="21.5"/>
    <n v="2987.8"/>
    <n v="4842.2"/>
    <n v="0"/>
    <n v="1854.4"/>
  </r>
  <r>
    <x v="88"/>
    <x v="0"/>
    <n v="30.8"/>
    <n v="24.6"/>
    <n v="2"/>
    <n v="1548.1"/>
    <n v="0.5"/>
    <n v="3530"/>
    <n v="5078.6000000000004"/>
    <n v="0"/>
    <n v="1548.6"/>
  </r>
  <r>
    <x v="89"/>
    <x v="0"/>
    <n v="29.1"/>
    <n v="31.5"/>
    <n v="2.2999999999999998"/>
    <n v="1015.1"/>
    <n v="0.8"/>
    <n v="3931.3"/>
    <n v="4947.2"/>
    <n v="0"/>
    <n v="1015.9"/>
  </r>
  <r>
    <x v="90"/>
    <x v="0"/>
    <n v="30.3"/>
    <n v="22.8"/>
    <n v="4.8"/>
    <n v="560.9"/>
    <n v="7.1"/>
    <n v="4000"/>
    <n v="7777.9"/>
    <n v="1"/>
    <n v="568"/>
  </r>
  <r>
    <x v="91"/>
    <x v="0"/>
    <n v="25.8"/>
    <n v="29.5"/>
    <n v="4"/>
    <n v="0"/>
    <n v="4.2"/>
    <n v="4000"/>
    <n v="7803.5"/>
    <n v="1"/>
    <n v="4.2"/>
  </r>
  <r>
    <x v="92"/>
    <x v="0"/>
    <n v="23.8"/>
    <n v="25.5"/>
    <n v="5"/>
    <n v="0"/>
    <n v="8"/>
    <n v="4000"/>
    <n v="7714.7"/>
    <n v="1"/>
    <n v="8"/>
  </r>
  <r>
    <x v="93"/>
    <x v="0"/>
    <n v="25.2"/>
    <n v="68.099999999999994"/>
    <n v="2.5"/>
    <n v="0"/>
    <n v="1"/>
    <n v="4000"/>
    <n v="7917.7"/>
    <n v="1"/>
    <n v="1"/>
  </r>
  <r>
    <x v="94"/>
    <x v="0"/>
    <n v="23.1"/>
    <n v="68.8"/>
    <n v="2.4"/>
    <n v="0"/>
    <n v="0.9"/>
    <n v="4000"/>
    <n v="5080.8"/>
    <n v="1"/>
    <n v="0.9"/>
  </r>
  <r>
    <x v="95"/>
    <x v="0"/>
    <n v="21.3"/>
    <n v="0"/>
    <n v="2.9"/>
    <n v="0"/>
    <n v="1.6"/>
    <n v="4000"/>
    <n v="4824"/>
    <n v="1"/>
    <n v="1.6"/>
  </r>
  <r>
    <x v="96"/>
    <x v="0"/>
    <n v="22.2"/>
    <n v="31.8"/>
    <n v="7.8"/>
    <n v="0"/>
    <n v="29.8"/>
    <n v="4000"/>
    <n v="4206.1000000000004"/>
    <n v="1"/>
    <n v="29.8"/>
  </r>
  <r>
    <x v="97"/>
    <x v="0"/>
    <n v="21.3"/>
    <n v="7"/>
    <n v="5"/>
    <n v="0"/>
    <n v="7.9"/>
    <n v="4000"/>
    <n v="4462.6000000000004"/>
    <n v="1"/>
    <n v="7.9"/>
  </r>
  <r>
    <x v="98"/>
    <x v="0"/>
    <n v="25.6"/>
    <n v="48.6"/>
    <n v="3.1"/>
    <n v="0"/>
    <n v="1.8"/>
    <n v="4000"/>
    <n v="4122"/>
    <n v="1"/>
    <n v="1.8"/>
  </r>
  <r>
    <x v="99"/>
    <x v="0"/>
    <n v="25.8"/>
    <n v="22.7"/>
    <n v="6.5"/>
    <n v="0"/>
    <n v="17.399999999999999"/>
    <n v="4000"/>
    <n v="4063"/>
    <n v="1"/>
    <n v="17.399999999999999"/>
  </r>
  <r>
    <x v="100"/>
    <x v="0"/>
    <n v="24.1"/>
    <n v="25.1"/>
    <n v="4.0999999999999996"/>
    <n v="0"/>
    <n v="4.4000000000000004"/>
    <n v="4000"/>
    <n v="4080.8"/>
    <n v="1"/>
    <n v="4.4000000000000004"/>
  </r>
  <r>
    <x v="101"/>
    <x v="0"/>
    <n v="27.4"/>
    <n v="3.6"/>
    <n v="3.7"/>
    <n v="0"/>
    <n v="3.3"/>
    <n v="4000"/>
    <n v="4252.5"/>
    <n v="1"/>
    <n v="3.3"/>
  </r>
  <r>
    <x v="102"/>
    <x v="0"/>
    <n v="28.8"/>
    <n v="39.200000000000003"/>
    <n v="1.8"/>
    <n v="484.2"/>
    <n v="0.3"/>
    <n v="3853.5"/>
    <n v="4338"/>
    <n v="0"/>
    <n v="484.5"/>
  </r>
  <r>
    <x v="103"/>
    <x v="0"/>
    <n v="31.5"/>
    <n v="31.6"/>
    <n v="2.5"/>
    <n v="1013.3"/>
    <n v="1"/>
    <n v="3075.6"/>
    <n v="4089.9"/>
    <n v="0"/>
    <n v="1014.3"/>
  </r>
  <r>
    <x v="104"/>
    <x v="0"/>
    <n v="31.2"/>
    <n v="48.6"/>
    <n v="4.0999999999999996"/>
    <n v="1234.3"/>
    <n v="4.5"/>
    <n v="3313.9"/>
    <n v="4552.7"/>
    <n v="0"/>
    <n v="1238.8"/>
  </r>
  <r>
    <x v="105"/>
    <x v="0"/>
    <n v="34.9"/>
    <n v="20"/>
    <n v="5.9"/>
    <n v="2016.8"/>
    <n v="13.4"/>
    <n v="2598.9"/>
    <n v="4629.1000000000004"/>
    <n v="0"/>
    <n v="2030.2"/>
  </r>
  <r>
    <x v="106"/>
    <x v="0"/>
    <n v="35.200000000000003"/>
    <n v="5.7"/>
    <n v="5.4"/>
    <n v="2595"/>
    <n v="9.9"/>
    <n v="3731.9"/>
    <n v="6336.8"/>
    <n v="0"/>
    <n v="2604.9"/>
  </r>
  <r>
    <x v="107"/>
    <x v="0"/>
    <n v="31.2"/>
    <n v="1.3"/>
    <n v="0"/>
    <n v="2897.5"/>
    <n v="0"/>
    <n v="3501.3"/>
    <n v="6398.8"/>
    <n v="0"/>
    <n v="2897.5"/>
  </r>
  <r>
    <x v="108"/>
    <x v="0"/>
    <n v="35.1"/>
    <n v="55"/>
    <n v="4.0999999999999996"/>
    <n v="1844"/>
    <n v="4.5999999999999996"/>
    <n v="4000"/>
    <n v="6199.6"/>
    <n v="1"/>
    <n v="1848.6"/>
  </r>
  <r>
    <x v="109"/>
    <x v="0"/>
    <n v="31.7"/>
    <n v="0"/>
    <n v="3.9"/>
    <n v="2924.8"/>
    <n v="3.8"/>
    <n v="3555.7"/>
    <n v="6484.3"/>
    <n v="0"/>
    <n v="2928.6000000000004"/>
  </r>
  <r>
    <x v="110"/>
    <x v="0"/>
    <n v="33.1"/>
    <n v="0"/>
    <n v="3.8"/>
    <n v="2702.9"/>
    <n v="3.6"/>
    <n v="3591.1"/>
    <n v="6297.6"/>
    <n v="0"/>
    <n v="2706.5"/>
  </r>
  <r>
    <x v="111"/>
    <x v="0"/>
    <n v="33.200000000000003"/>
    <n v="32.299999999999997"/>
    <n v="2.1"/>
    <n v="1814.7"/>
    <n v="0.6"/>
    <n v="2309"/>
    <n v="4124.3"/>
    <n v="0"/>
    <n v="1815.3"/>
  </r>
  <r>
    <x v="112"/>
    <x v="0"/>
    <n v="29.4"/>
    <n v="23.7"/>
    <n v="5.9"/>
    <n v="1559.6"/>
    <n v="13.2"/>
    <n v="2670.1"/>
    <n v="4242.8999999999996"/>
    <n v="0"/>
    <n v="1572.8"/>
  </r>
  <r>
    <x v="113"/>
    <x v="0"/>
    <n v="30.3"/>
    <n v="14.4"/>
    <n v="2.4"/>
    <n v="1170.5"/>
    <n v="0.9"/>
    <n v="3000.7"/>
    <n v="4172.1000000000004"/>
    <n v="0"/>
    <n v="1171.4000000000001"/>
  </r>
  <r>
    <x v="114"/>
    <x v="0"/>
    <n v="26.4"/>
    <n v="13.9"/>
    <n v="1.6"/>
    <n v="602.5"/>
    <n v="0.3"/>
    <n v="4000"/>
    <n v="6703.9"/>
    <n v="1"/>
    <n v="602.79999999999995"/>
  </r>
  <r>
    <x v="115"/>
    <x v="0"/>
    <n v="26.5"/>
    <n v="11"/>
    <n v="4.4000000000000004"/>
    <n v="0"/>
    <n v="5.6"/>
    <n v="4000"/>
    <n v="7014.7"/>
    <n v="1"/>
    <n v="5.6"/>
  </r>
  <r>
    <x v="116"/>
    <x v="0"/>
    <n v="24.7"/>
    <n v="37.299999999999997"/>
    <n v="5.5"/>
    <n v="0"/>
    <n v="10.7"/>
    <n v="4000"/>
    <n v="6703.2"/>
    <n v="1"/>
    <n v="10.7"/>
  </r>
  <r>
    <x v="117"/>
    <x v="0"/>
    <n v="22.9"/>
    <n v="19.5"/>
    <n v="0"/>
    <n v="0"/>
    <n v="0"/>
    <n v="4000"/>
    <n v="6640.4"/>
    <n v="1"/>
    <n v="0"/>
  </r>
  <r>
    <x v="118"/>
    <x v="0"/>
    <n v="24.9"/>
    <n v="57.9"/>
    <n v="3.5"/>
    <n v="0"/>
    <n v="2.7"/>
    <n v="4000"/>
    <n v="4092.7"/>
    <n v="1"/>
    <n v="2.7"/>
  </r>
  <r>
    <x v="119"/>
    <x v="0"/>
    <n v="22.7"/>
    <n v="86.6"/>
    <n v="6.2"/>
    <n v="0"/>
    <n v="15.5"/>
    <n v="4000"/>
    <n v="4406.5"/>
    <n v="1"/>
    <n v="15.5"/>
  </r>
  <r>
    <x v="120"/>
    <x v="0"/>
    <n v="20.6"/>
    <n v="0"/>
    <n v="4.4000000000000004"/>
    <n v="0"/>
    <n v="5.5"/>
    <n v="4000"/>
    <n v="4300.8"/>
    <n v="1"/>
    <n v="5.5"/>
  </r>
  <r>
    <x v="121"/>
    <x v="0"/>
    <n v="20.100000000000001"/>
    <n v="12.1"/>
    <n v="1.8"/>
    <n v="0"/>
    <n v="0.4"/>
    <n v="4000"/>
    <n v="4206.5"/>
    <n v="1"/>
    <n v="0.4"/>
  </r>
  <r>
    <x v="122"/>
    <x v="0"/>
    <n v="24.1"/>
    <n v="24.8"/>
    <n v="7"/>
    <n v="0"/>
    <n v="21.6"/>
    <n v="4000"/>
    <n v="4573.1000000000004"/>
    <n v="1"/>
    <n v="21.6"/>
  </r>
  <r>
    <x v="123"/>
    <x v="0"/>
    <n v="22.5"/>
    <n v="55.5"/>
    <n v="5.0999999999999996"/>
    <n v="0"/>
    <n v="8.4"/>
    <n v="4000"/>
    <n v="4331.6000000000004"/>
    <n v="1"/>
    <n v="8.4"/>
  </r>
  <r>
    <x v="124"/>
    <x v="0"/>
    <n v="24.7"/>
    <n v="7.5"/>
    <n v="1.2"/>
    <n v="0"/>
    <n v="0.1"/>
    <n v="4000"/>
    <n v="4164.3999999999996"/>
    <n v="1"/>
    <n v="0.1"/>
  </r>
  <r>
    <x v="125"/>
    <x v="0"/>
    <n v="29.3"/>
    <n v="0"/>
    <n v="5.0999999999999996"/>
    <n v="0"/>
    <n v="8.6"/>
    <n v="4000"/>
    <n v="4458.8999999999996"/>
    <n v="1"/>
    <n v="8.6"/>
  </r>
  <r>
    <x v="126"/>
    <x v="0"/>
    <n v="27.3"/>
    <n v="13.2"/>
    <n v="2.2999999999999998"/>
    <n v="606.1"/>
    <n v="0.8"/>
    <n v="3615.5"/>
    <n v="4222.3999999999996"/>
    <n v="0"/>
    <n v="606.9"/>
  </r>
  <r>
    <x v="127"/>
    <x v="0"/>
    <n v="28.3"/>
    <n v="30.4"/>
    <n v="3.9"/>
    <n v="1024.5999999999999"/>
    <n v="3.8"/>
    <n v="3298.9"/>
    <n v="4327.3"/>
    <n v="0"/>
    <n v="1028.3999999999999"/>
  </r>
  <r>
    <x v="128"/>
    <x v="0"/>
    <n v="29.6"/>
    <n v="13.5"/>
    <n v="5.5"/>
    <n v="1694.2"/>
    <n v="10.7"/>
    <n v="2579.3000000000002"/>
    <n v="4284.2"/>
    <n v="0"/>
    <n v="1704.9"/>
  </r>
  <r>
    <x v="129"/>
    <x v="0"/>
    <n v="30.8"/>
    <n v="27"/>
    <n v="5.5"/>
    <n v="1902.4"/>
    <n v="10.7"/>
    <n v="2482"/>
    <n v="4395.1000000000004"/>
    <n v="0"/>
    <n v="1913.1000000000001"/>
  </r>
  <r>
    <x v="130"/>
    <x v="0"/>
    <n v="34"/>
    <n v="11.7"/>
    <n v="5.0999999999999996"/>
    <n v="2480.6"/>
    <n v="8.6999999999999993"/>
    <n v="3500.3"/>
    <n v="5989.6"/>
    <n v="0"/>
    <n v="2489.2999999999997"/>
  </r>
  <r>
    <x v="131"/>
    <x v="0"/>
    <n v="31.1"/>
    <n v="0"/>
    <n v="4.0999999999999996"/>
    <n v="2924.8"/>
    <n v="4.4000000000000004"/>
    <n v="3196.3"/>
    <n v="6125.5"/>
    <n v="0"/>
    <n v="2929.2000000000003"/>
  </r>
  <r>
    <x v="132"/>
    <x v="0"/>
    <n v="32.6"/>
    <n v="37.799999999999997"/>
    <n v="0.7"/>
    <n v="2206.8000000000002"/>
    <n v="0"/>
    <n v="4000"/>
    <n v="6279"/>
    <n v="1"/>
    <n v="2206.8000000000002"/>
  </r>
  <r>
    <x v="133"/>
    <x v="0"/>
    <n v="32"/>
    <n v="12"/>
    <n v="4.0999999999999996"/>
    <n v="2679.9"/>
    <n v="4.4000000000000004"/>
    <n v="3545.8"/>
    <n v="6230.1"/>
    <n v="0"/>
    <n v="2684.3"/>
  </r>
  <r>
    <x v="134"/>
    <x v="0"/>
    <n v="32.6"/>
    <n v="45.1"/>
    <n v="2.8"/>
    <n v="1849.1"/>
    <n v="1.5"/>
    <n v="4000"/>
    <n v="6110.9"/>
    <n v="1"/>
    <n v="1850.6"/>
  </r>
  <r>
    <x v="135"/>
    <x v="0"/>
    <n v="30.5"/>
    <n v="35.6"/>
    <n v="6.9"/>
    <n v="1761.1"/>
    <n v="20.9"/>
    <n v="2663.4"/>
    <n v="4445.3999999999996"/>
    <n v="0"/>
    <n v="1782"/>
  </r>
  <r>
    <x v="136"/>
    <x v="0"/>
    <n v="29.8"/>
    <n v="36.5"/>
    <n v="3.6"/>
    <n v="1392"/>
    <n v="3"/>
    <n v="2554.3000000000002"/>
    <n v="3949.3"/>
    <n v="0"/>
    <n v="1395"/>
  </r>
  <r>
    <x v="137"/>
    <x v="0"/>
    <n v="28.6"/>
    <n v="26.7"/>
    <n v="3.7"/>
    <n v="1058.0999999999999"/>
    <n v="3.2"/>
    <n v="3314.4"/>
    <n v="4375.7"/>
    <n v="0"/>
    <n v="1061.3"/>
  </r>
  <r>
    <x v="138"/>
    <x v="0"/>
    <n v="28.4"/>
    <n v="31.8"/>
    <n v="3.2"/>
    <n v="519.20000000000005"/>
    <n v="2.1"/>
    <n v="4000"/>
    <n v="6895.2"/>
    <n v="1"/>
    <n v="521.30000000000007"/>
  </r>
  <r>
    <x v="139"/>
    <x v="0"/>
    <n v="25.8"/>
    <n v="32.9"/>
    <n v="3.2"/>
    <n v="0"/>
    <n v="2"/>
    <n v="4000"/>
    <n v="6646.9"/>
    <n v="1"/>
    <n v="2"/>
  </r>
  <r>
    <x v="140"/>
    <x v="0"/>
    <n v="28.1"/>
    <n v="42.4"/>
    <n v="3.3"/>
    <n v="0"/>
    <n v="2.4"/>
    <n v="4000"/>
    <n v="6763.5"/>
    <n v="1"/>
    <n v="2.4"/>
  </r>
  <r>
    <x v="141"/>
    <x v="0"/>
    <n v="23.1"/>
    <n v="0"/>
    <n v="2"/>
    <n v="0"/>
    <n v="0.5"/>
    <n v="4000"/>
    <n v="6900.2"/>
    <n v="1"/>
    <n v="0.5"/>
  </r>
  <r>
    <x v="142"/>
    <x v="0"/>
    <n v="22.3"/>
    <n v="25.4"/>
    <n v="7.4"/>
    <n v="0"/>
    <n v="25.4"/>
    <n v="4000"/>
    <n v="4039.4"/>
    <n v="1"/>
    <n v="25.4"/>
  </r>
  <r>
    <x v="143"/>
    <x v="0"/>
    <n v="21.9"/>
    <n v="41.6"/>
    <n v="0"/>
    <n v="0"/>
    <n v="0"/>
    <n v="4000"/>
    <n v="4369"/>
    <n v="1"/>
    <n v="0"/>
  </r>
  <r>
    <x v="144"/>
    <x v="0"/>
    <n v="23.2"/>
    <n v="0"/>
    <n v="6.3"/>
    <n v="0"/>
    <n v="15.9"/>
    <n v="4000"/>
    <n v="4985.3"/>
    <n v="1"/>
    <n v="15.9"/>
  </r>
  <r>
    <x v="145"/>
    <x v="0"/>
    <n v="21.6"/>
    <n v="37.700000000000003"/>
    <n v="8.5"/>
    <n v="0"/>
    <n v="39.9"/>
    <n v="4000"/>
    <n v="5000.8"/>
    <n v="1"/>
    <n v="39.9"/>
  </r>
  <r>
    <x v="146"/>
    <x v="0"/>
    <n v="23.2"/>
    <n v="15.8"/>
    <n v="2.2999999999999998"/>
    <n v="0"/>
    <n v="0.8"/>
    <n v="4000"/>
    <n v="4977.3"/>
    <n v="1"/>
    <n v="0.8"/>
  </r>
  <r>
    <x v="147"/>
    <x v="0"/>
    <n v="22.5"/>
    <n v="26.4"/>
    <n v="3"/>
    <n v="0"/>
    <n v="1.8"/>
    <n v="4000"/>
    <n v="5074.6000000000004"/>
    <n v="1"/>
    <n v="1.8"/>
  </r>
  <r>
    <x v="148"/>
    <x v="0"/>
    <n v="25.5"/>
    <n v="45.8"/>
    <n v="3"/>
    <n v="0"/>
    <n v="1.7"/>
    <n v="4000"/>
    <n v="5021.8"/>
    <n v="1"/>
    <n v="1.7"/>
  </r>
  <r>
    <x v="149"/>
    <x v="0"/>
    <n v="25"/>
    <n v="16.100000000000001"/>
    <n v="4.8"/>
    <n v="0"/>
    <n v="6.9"/>
    <n v="4000"/>
    <n v="4909.5"/>
    <n v="1"/>
    <n v="6.9"/>
  </r>
  <r>
    <x v="150"/>
    <x v="0"/>
    <n v="26.6"/>
    <n v="42.4"/>
    <n v="6.7"/>
    <n v="469.5"/>
    <n v="19.3"/>
    <n v="4000"/>
    <n v="5063.5"/>
    <n v="1"/>
    <n v="488.8"/>
  </r>
  <r>
    <x v="151"/>
    <x v="0"/>
    <n v="32.4"/>
    <n v="9.5"/>
    <n v="1.5"/>
    <n v="1214.9000000000001"/>
    <n v="0.2"/>
    <n v="3796.9"/>
    <n v="5012"/>
    <n v="0"/>
    <n v="1215.1000000000001"/>
  </r>
  <r>
    <x v="152"/>
    <x v="0"/>
    <n v="33.200000000000003"/>
    <n v="38.1"/>
    <n v="3.9"/>
    <n v="1371.8"/>
    <n v="3.8"/>
    <n v="3307.6"/>
    <n v="4683.2"/>
    <n v="0"/>
    <n v="1375.6"/>
  </r>
  <r>
    <x v="153"/>
    <x v="0"/>
    <n v="30.6"/>
    <n v="73.900000000000006"/>
    <n v="4.3"/>
    <n v="1131.9000000000001"/>
    <n v="4.9000000000000004"/>
    <n v="3855.2"/>
    <n v="4992"/>
    <n v="0"/>
    <n v="1136.8000000000002"/>
  </r>
  <r>
    <x v="154"/>
    <x v="0"/>
    <n v="34.299999999999997"/>
    <n v="34.6"/>
    <n v="4.4000000000000004"/>
    <n v="2047.9"/>
    <n v="5.6"/>
    <n v="4000"/>
    <n v="7166.4"/>
    <n v="1"/>
    <n v="2053.5"/>
  </r>
  <r>
    <x v="155"/>
    <x v="0"/>
    <n v="34.5"/>
    <n v="62.6"/>
    <n v="6.7"/>
    <n v="1642.3"/>
    <n v="19.2"/>
    <n v="4000"/>
    <n v="7031.4"/>
    <n v="1"/>
    <n v="1661.5"/>
  </r>
  <r>
    <x v="156"/>
    <x v="0"/>
    <n v="33.200000000000003"/>
    <n v="5.2"/>
    <n v="3.7"/>
    <n v="2890.6"/>
    <n v="3.4"/>
    <n v="4000"/>
    <n v="7389"/>
    <n v="1"/>
    <n v="2894"/>
  </r>
  <r>
    <x v="157"/>
    <x v="0"/>
    <n v="35.4"/>
    <n v="0"/>
    <n v="7.1"/>
    <n v="2924.8"/>
    <n v="22.5"/>
    <n v="4000"/>
    <n v="7158.4"/>
    <n v="1"/>
    <n v="2947.3"/>
  </r>
  <r>
    <x v="158"/>
    <x v="0"/>
    <n v="32.6"/>
    <n v="4.8"/>
    <n v="0.7"/>
    <n v="2612.9"/>
    <n v="0"/>
    <n v="4000"/>
    <n v="7126.3"/>
    <n v="1"/>
    <n v="2612.9"/>
  </r>
  <r>
    <x v="159"/>
    <x v="0"/>
    <n v="32.4"/>
    <n v="0"/>
    <n v="1.4"/>
    <n v="2345.5"/>
    <n v="0.2"/>
    <n v="2727.8"/>
    <n v="5073.5"/>
    <n v="0"/>
    <n v="2345.6999999999998"/>
  </r>
  <r>
    <x v="160"/>
    <x v="0"/>
    <n v="33.5"/>
    <n v="19.8"/>
    <n v="1"/>
    <n v="1611.1"/>
    <n v="0.1"/>
    <n v="3288.4"/>
    <n v="4899.6000000000004"/>
    <n v="0"/>
    <n v="1611.1999999999998"/>
  </r>
  <r>
    <x v="161"/>
    <x v="0"/>
    <n v="29.1"/>
    <n v="0"/>
    <n v="3.9"/>
    <n v="1301.7"/>
    <n v="3.8"/>
    <n v="3607.6"/>
    <n v="4913.1000000000004"/>
    <n v="0"/>
    <n v="1305.5"/>
  </r>
  <r>
    <x v="162"/>
    <x v="0"/>
    <n v="29"/>
    <n v="62"/>
    <n v="6.3"/>
    <n v="377.9"/>
    <n v="15.6"/>
    <n v="4000"/>
    <n v="7665.4"/>
    <n v="1"/>
    <n v="393.5"/>
  </r>
  <r>
    <x v="163"/>
    <x v="0"/>
    <n v="24.8"/>
    <n v="76.5"/>
    <n v="4.0999999999999996"/>
    <n v="0"/>
    <n v="4.5"/>
    <n v="4000"/>
    <n v="7659.7"/>
    <n v="1"/>
    <n v="4.5"/>
  </r>
  <r>
    <x v="164"/>
    <x v="0"/>
    <n v="25"/>
    <n v="29"/>
    <n v="3.7"/>
    <n v="0"/>
    <n v="3.3"/>
    <n v="4000"/>
    <n v="7702.1"/>
    <n v="1"/>
    <n v="3.3"/>
  </r>
  <r>
    <x v="165"/>
    <x v="0"/>
    <n v="22.9"/>
    <n v="24.3"/>
    <n v="2.9"/>
    <n v="0"/>
    <n v="1.6"/>
    <n v="4000"/>
    <n v="7614"/>
    <n v="1"/>
    <n v="1.6"/>
  </r>
  <r>
    <x v="166"/>
    <x v="0"/>
    <n v="23"/>
    <n v="19.899999999999999"/>
    <n v="7"/>
    <n v="0"/>
    <n v="22"/>
    <n v="4000"/>
    <n v="4843.1000000000004"/>
    <n v="1"/>
    <n v="22"/>
  </r>
  <r>
    <x v="167"/>
    <x v="0"/>
    <n v="23.8"/>
    <n v="49.9"/>
    <n v="0"/>
    <n v="0"/>
    <n v="0"/>
    <n v="4000"/>
    <n v="4552.3999999999996"/>
    <n v="1"/>
    <n v="0"/>
  </r>
  <r>
    <x v="168"/>
    <x v="0"/>
    <n v="21.4"/>
    <n v="0"/>
    <n v="2.4"/>
    <n v="0"/>
    <n v="0.9"/>
    <n v="4000"/>
    <n v="4898.6000000000004"/>
    <n v="1"/>
    <n v="0.9"/>
  </r>
  <r>
    <x v="169"/>
    <x v="0"/>
    <n v="24.8"/>
    <n v="43.7"/>
    <n v="6.5"/>
    <n v="0"/>
    <n v="17.899999999999999"/>
    <n v="4000"/>
    <n v="4783.3999999999996"/>
    <n v="1"/>
    <n v="17.899999999999999"/>
  </r>
  <r>
    <x v="170"/>
    <x v="0"/>
    <n v="21.1"/>
    <n v="14.5"/>
    <n v="5"/>
    <n v="0"/>
    <n v="7.9"/>
    <n v="4000"/>
    <n v="5058.3"/>
    <n v="1"/>
    <n v="7.9"/>
  </r>
  <r>
    <x v="171"/>
    <x v="0"/>
    <n v="24.8"/>
    <n v="20.2"/>
    <n v="3.3"/>
    <n v="0"/>
    <n v="2.2000000000000002"/>
    <n v="4000"/>
    <n v="4766.7"/>
    <n v="1"/>
    <n v="2.2000000000000002"/>
  </r>
  <r>
    <x v="172"/>
    <x v="0"/>
    <n v="25.7"/>
    <n v="17.8"/>
    <n v="6.3"/>
    <n v="0"/>
    <n v="16.100000000000001"/>
    <n v="4000"/>
    <n v="5056.6000000000004"/>
    <n v="1"/>
    <n v="16.100000000000001"/>
  </r>
  <r>
    <x v="173"/>
    <x v="0"/>
    <n v="27.4"/>
    <n v="36.9"/>
    <n v="3.4"/>
    <n v="0"/>
    <n v="2.5"/>
    <n v="4000"/>
    <n v="4787.8"/>
    <n v="1"/>
    <n v="2.5"/>
  </r>
  <r>
    <x v="174"/>
    <x v="0"/>
    <n v="26.1"/>
    <n v="43.5"/>
    <n v="3.6"/>
    <n v="464.4"/>
    <n v="3.1"/>
    <n v="4000"/>
    <n v="4998.8999999999996"/>
    <n v="1"/>
    <n v="467.5"/>
  </r>
  <r>
    <x v="175"/>
    <x v="0"/>
    <n v="31.1"/>
    <n v="10.9"/>
    <n v="1.2"/>
    <n v="1202.2"/>
    <n v="0.1"/>
    <n v="3669.3"/>
    <n v="4871.6000000000004"/>
    <n v="0"/>
    <n v="1202.3"/>
  </r>
  <r>
    <x v="176"/>
    <x v="0"/>
    <n v="31.9"/>
    <n v="0"/>
    <n v="7.5"/>
    <n v="1870.5"/>
    <n v="27.1"/>
    <n v="2818.9"/>
    <n v="4716.5"/>
    <n v="0"/>
    <n v="1897.6"/>
  </r>
  <r>
    <x v="177"/>
    <x v="0"/>
    <n v="34.799999999999997"/>
    <n v="29.2"/>
    <n v="3.8"/>
    <n v="1865.7"/>
    <n v="3.5"/>
    <n v="2768.5"/>
    <n v="4637.7"/>
    <n v="0"/>
    <n v="1869.2"/>
  </r>
  <r>
    <x v="178"/>
    <x v="0"/>
    <n v="33.799999999999997"/>
    <n v="24.2"/>
    <n v="6.2"/>
    <n v="2244.1"/>
    <n v="15.3"/>
    <n v="4000"/>
    <n v="7068.3"/>
    <n v="1"/>
    <n v="2259.4"/>
  </r>
  <r>
    <x v="179"/>
    <x v="0"/>
    <n v="34"/>
    <n v="17.7"/>
    <n v="3.9"/>
    <n v="2561.8000000000002"/>
    <n v="3.8"/>
    <n v="4000"/>
    <n v="7167.1"/>
    <n v="1"/>
    <n v="2565.6000000000004"/>
  </r>
  <r>
    <x v="180"/>
    <x v="0"/>
    <n v="31.4"/>
    <n v="0"/>
    <n v="5.5"/>
    <n v="3000"/>
    <n v="10.6"/>
    <n v="4000"/>
    <n v="7196.2"/>
    <n v="1"/>
    <n v="3010.6"/>
  </r>
  <r>
    <x v="181"/>
    <x v="0"/>
    <n v="33.5"/>
    <n v="25.4"/>
    <n v="4.7"/>
    <n v="2405.4"/>
    <n v="6.6"/>
    <n v="4000"/>
    <n v="7175.6"/>
    <n v="1"/>
    <n v="2412"/>
  </r>
  <r>
    <x v="182"/>
    <x v="0"/>
    <n v="32"/>
    <n v="28.9"/>
    <n v="2"/>
    <n v="2155.8000000000002"/>
    <n v="0.5"/>
    <n v="4000"/>
    <n v="7069"/>
    <n v="1"/>
    <n v="2156.3000000000002"/>
  </r>
  <r>
    <x v="183"/>
    <x v="0"/>
    <n v="29.7"/>
    <n v="45.6"/>
    <n v="4.9000000000000004"/>
    <n v="1597.1"/>
    <n v="7.7"/>
    <n v="3406.4"/>
    <n v="5011.2"/>
    <n v="0"/>
    <n v="1604.8"/>
  </r>
  <r>
    <x v="184"/>
    <x v="0"/>
    <n v="32.5"/>
    <n v="58.3"/>
    <n v="6"/>
    <n v="1107"/>
    <n v="14"/>
    <n v="3867.4"/>
    <n v="4988.3999999999996"/>
    <n v="0"/>
    <n v="1121"/>
  </r>
  <r>
    <x v="185"/>
    <x v="0"/>
    <n v="27.6"/>
    <n v="12.5"/>
    <n v="4.0999999999999996"/>
    <n v="1187.7"/>
    <n v="4.3"/>
    <n v="3481.9"/>
    <n v="4673.8999999999996"/>
    <n v="0"/>
    <n v="1192"/>
  </r>
  <r>
    <x v="186"/>
    <x v="0"/>
    <n v="26.9"/>
    <n v="28.7"/>
    <n v="2.5"/>
    <n v="533.29999999999995"/>
    <n v="1"/>
    <n v="4000"/>
    <n v="7777.6"/>
    <n v="1"/>
    <n v="534.29999999999995"/>
  </r>
  <r>
    <x v="187"/>
    <x v="0"/>
    <n v="24.3"/>
    <n v="6.5"/>
    <n v="1.3"/>
    <n v="0"/>
    <n v="0.1"/>
    <n v="4000"/>
    <n v="7608.3"/>
    <n v="1"/>
    <n v="0.1"/>
  </r>
  <r>
    <x v="188"/>
    <x v="0"/>
    <n v="26.6"/>
    <n v="6"/>
    <n v="9.3000000000000007"/>
    <n v="0"/>
    <n v="50.9"/>
    <n v="4000"/>
    <n v="7553.6"/>
    <n v="1"/>
    <n v="50.9"/>
  </r>
  <r>
    <x v="189"/>
    <x v="0"/>
    <n v="24"/>
    <n v="7.8"/>
    <n v="5.4"/>
    <n v="0"/>
    <n v="10.1"/>
    <n v="4000"/>
    <n v="7774"/>
    <n v="1"/>
    <n v="10.1"/>
  </r>
  <r>
    <x v="190"/>
    <x v="0"/>
    <n v="23"/>
    <n v="76.2"/>
    <n v="3.8"/>
    <n v="0"/>
    <n v="3.5"/>
    <n v="4000"/>
    <n v="4863.7"/>
    <n v="1"/>
    <n v="3.5"/>
  </r>
  <r>
    <x v="191"/>
    <x v="0"/>
    <n v="21.1"/>
    <n v="24.3"/>
    <n v="7.5"/>
    <n v="0"/>
    <n v="27.5"/>
    <n v="4000"/>
    <n v="5122.3999999999996"/>
    <n v="1"/>
    <n v="27.5"/>
  </r>
  <r>
    <x v="192"/>
    <x v="0"/>
    <n v="24.7"/>
    <n v="39.200000000000003"/>
    <n v="2.9"/>
    <n v="0"/>
    <n v="1.5"/>
    <n v="4000"/>
    <n v="4856"/>
    <n v="1"/>
    <n v="1.5"/>
  </r>
  <r>
    <x v="193"/>
    <x v="0"/>
    <n v="23.7"/>
    <n v="37.4"/>
    <n v="0.9"/>
    <n v="0"/>
    <n v="0"/>
    <n v="4000"/>
    <n v="5044.8999999999996"/>
    <n v="1"/>
    <n v="0"/>
  </r>
  <r>
    <x v="194"/>
    <x v="0"/>
    <n v="22.4"/>
    <n v="23.5"/>
    <n v="5.2"/>
    <n v="0"/>
    <n v="9.1999999999999993"/>
    <n v="4000"/>
    <n v="4840.8999999999996"/>
    <n v="1"/>
    <n v="9.1999999999999993"/>
  </r>
  <r>
    <x v="195"/>
    <x v="0"/>
    <n v="21.8"/>
    <n v="32.6"/>
    <n v="5.2"/>
    <n v="0"/>
    <n v="9.1"/>
    <n v="4000"/>
    <n v="4976.7"/>
    <n v="1"/>
    <n v="9.1"/>
  </r>
  <r>
    <x v="196"/>
    <x v="0"/>
    <n v="26.6"/>
    <n v="41.7"/>
    <n v="4.9000000000000004"/>
    <n v="0"/>
    <n v="7.6"/>
    <n v="4000"/>
    <n v="5034"/>
    <n v="1"/>
    <n v="7.6"/>
  </r>
  <r>
    <x v="197"/>
    <x v="0"/>
    <n v="24"/>
    <n v="33.6"/>
    <n v="4.4000000000000004"/>
    <n v="0"/>
    <n v="5.5"/>
    <n v="4000"/>
    <n v="4939.5"/>
    <n v="1"/>
    <n v="5.5"/>
  </r>
  <r>
    <x v="198"/>
    <x v="0"/>
    <n v="26.1"/>
    <n v="3.4"/>
    <n v="6.1"/>
    <n v="651.79999999999995"/>
    <n v="14.6"/>
    <n v="4000"/>
    <n v="4990.7"/>
    <n v="1"/>
    <n v="666.4"/>
  </r>
  <r>
    <x v="199"/>
    <x v="0"/>
    <n v="30.6"/>
    <n v="25.6"/>
    <n v="4.0999999999999996"/>
    <n v="1068.7"/>
    <n v="4.3"/>
    <n v="3871.1"/>
    <n v="4944.1000000000004"/>
    <n v="0"/>
    <n v="1073"/>
  </r>
  <r>
    <x v="200"/>
    <x v="0"/>
    <n v="30.2"/>
    <n v="26.9"/>
    <n v="3.1"/>
    <n v="1518"/>
    <n v="1.9"/>
    <n v="3570.8"/>
    <n v="5090.7"/>
    <n v="0"/>
    <n v="1519.9"/>
  </r>
  <r>
    <x v="201"/>
    <x v="0"/>
    <n v="31.8"/>
    <n v="29.4"/>
    <n v="3"/>
    <n v="1862.1"/>
    <n v="1.8"/>
    <n v="3020.9"/>
    <n v="4884.8"/>
    <n v="0"/>
    <n v="1863.8999999999999"/>
  </r>
  <r>
    <x v="202"/>
    <x v="0"/>
    <n v="31.9"/>
    <n v="21.3"/>
    <n v="3.1"/>
    <n v="2300.6"/>
    <n v="1.9"/>
    <n v="4000"/>
    <n v="7338.4"/>
    <n v="1"/>
    <n v="2302.5"/>
  </r>
  <r>
    <x v="203"/>
    <x v="0"/>
    <n v="34.1"/>
    <n v="45.6"/>
    <n v="1"/>
    <n v="1990.4"/>
    <n v="0.1"/>
    <n v="4000"/>
    <n v="7367"/>
    <n v="1"/>
    <n v="1990.5"/>
  </r>
  <r>
    <x v="204"/>
    <x v="0"/>
    <n v="35.299999999999997"/>
    <n v="26.6"/>
    <n v="6.1"/>
    <n v="2440.4"/>
    <n v="14.7"/>
    <n v="4000"/>
    <n v="7190.1"/>
    <n v="1"/>
    <n v="2455.1"/>
  </r>
  <r>
    <x v="205"/>
    <x v="0"/>
    <n v="35.9"/>
    <n v="71"/>
    <n v="3.3"/>
    <n v="1471.6"/>
    <n v="2.2000000000000002"/>
    <n v="4000"/>
    <n v="7072.4"/>
    <n v="1"/>
    <n v="1473.8"/>
  </r>
  <r>
    <x v="206"/>
    <x v="0"/>
    <n v="35.4"/>
    <n v="56.6"/>
    <n v="3"/>
    <n v="1632.2"/>
    <n v="1.7"/>
    <n v="4000"/>
    <n v="7083.2"/>
    <n v="1"/>
    <n v="1633.9"/>
  </r>
  <r>
    <x v="207"/>
    <x v="0"/>
    <n v="31.8"/>
    <n v="0"/>
    <n v="2.2000000000000002"/>
    <n v="2345.5"/>
    <n v="0.6"/>
    <n v="2540.9"/>
    <n v="4887"/>
    <n v="0"/>
    <n v="2346.1"/>
  </r>
  <r>
    <x v="208"/>
    <x v="0"/>
    <n v="29.8"/>
    <n v="24.3"/>
    <n v="4.5"/>
    <n v="1552.2"/>
    <n v="5.7"/>
    <n v="3241.5"/>
    <n v="4799.3999999999996"/>
    <n v="0"/>
    <n v="1557.9"/>
  </r>
  <r>
    <x v="209"/>
    <x v="0"/>
    <n v="28.1"/>
    <n v="44.7"/>
    <n v="3.6"/>
    <n v="894.5"/>
    <n v="2.9"/>
    <n v="4000"/>
    <n v="5182.6000000000004"/>
    <n v="1"/>
    <n v="897.4"/>
  </r>
  <r>
    <x v="210"/>
    <x v="0"/>
    <n v="29"/>
    <n v="2.5"/>
    <n v="4.8"/>
    <n v="655.7"/>
    <n v="6.9"/>
    <n v="4000"/>
    <n v="7692.6"/>
    <n v="1"/>
    <n v="662.6"/>
  </r>
  <r>
    <x v="211"/>
    <x v="0"/>
    <n v="27.2"/>
    <n v="30.8"/>
    <n v="8.9"/>
    <n v="0"/>
    <n v="45.3"/>
    <n v="4000"/>
    <n v="7725"/>
    <n v="1"/>
    <n v="45.3"/>
  </r>
  <r>
    <x v="212"/>
    <x v="0"/>
    <n v="24.2"/>
    <n v="12.5"/>
    <n v="2.9"/>
    <n v="0"/>
    <n v="1.5"/>
    <n v="4000"/>
    <n v="7604.3"/>
    <n v="1"/>
    <n v="1.5"/>
  </r>
  <r>
    <x v="213"/>
    <x v="0"/>
    <n v="25.5"/>
    <n v="53.4"/>
    <n v="2.9"/>
    <n v="0"/>
    <n v="1.5"/>
    <n v="4000"/>
    <n v="7604.4"/>
    <n v="1"/>
    <n v="1.5"/>
  </r>
  <r>
    <x v="214"/>
    <x v="0"/>
    <n v="23.5"/>
    <n v="14"/>
    <n v="5.3"/>
    <n v="0"/>
    <n v="9.3000000000000007"/>
    <n v="4000"/>
    <n v="4825.1000000000004"/>
    <n v="1"/>
    <n v="9.3000000000000007"/>
  </r>
  <r>
    <x v="215"/>
    <x v="0"/>
    <n v="19.899999999999999"/>
    <n v="56"/>
    <n v="7.6"/>
    <n v="0"/>
    <n v="28"/>
    <n v="4000"/>
    <n v="4980.3999999999996"/>
    <n v="1"/>
    <n v="28"/>
  </r>
  <r>
    <x v="216"/>
    <x v="0"/>
    <n v="21.4"/>
    <n v="30.7"/>
    <n v="4.7"/>
    <n v="0"/>
    <n v="6.5"/>
    <n v="4000"/>
    <n v="4858.1000000000004"/>
    <n v="1"/>
    <n v="6.5"/>
  </r>
  <r>
    <x v="217"/>
    <x v="0"/>
    <n v="25.2"/>
    <n v="21.5"/>
    <n v="2.4"/>
    <n v="0"/>
    <n v="0.9"/>
    <n v="4000"/>
    <n v="5048.8"/>
    <n v="1"/>
    <n v="0.9"/>
  </r>
  <r>
    <x v="218"/>
    <x v="0"/>
    <n v="21.7"/>
    <n v="24.3"/>
    <n v="7.6"/>
    <n v="0"/>
    <n v="28"/>
    <n v="4000"/>
    <n v="4743.1000000000004"/>
    <n v="1"/>
    <n v="28"/>
  </r>
  <r>
    <x v="219"/>
    <x v="0"/>
    <n v="24.1"/>
    <n v="24.7"/>
    <n v="6.4"/>
    <n v="0"/>
    <n v="16.600000000000001"/>
    <n v="4000"/>
    <n v="4872.3999999999996"/>
    <n v="1"/>
    <n v="16.600000000000001"/>
  </r>
  <r>
    <x v="220"/>
    <x v="0"/>
    <n v="24.2"/>
    <n v="15.2"/>
    <n v="6.1"/>
    <n v="0"/>
    <n v="14.4"/>
    <n v="4000"/>
    <n v="5329"/>
    <n v="1"/>
    <n v="14.4"/>
  </r>
  <r>
    <x v="221"/>
    <x v="0"/>
    <n v="29.2"/>
    <n v="36.700000000000003"/>
    <n v="3.3"/>
    <n v="0"/>
    <n v="2.2999999999999998"/>
    <n v="4000"/>
    <n v="5052.3"/>
    <n v="1"/>
    <n v="2.2999999999999998"/>
  </r>
  <r>
    <x v="222"/>
    <x v="0"/>
    <n v="29.7"/>
    <n v="41.4"/>
    <n v="5"/>
    <n v="474.1"/>
    <n v="8.1"/>
    <n v="4000"/>
    <n v="5038.6000000000004"/>
    <n v="1"/>
    <n v="482.20000000000005"/>
  </r>
  <r>
    <x v="223"/>
    <x v="0"/>
    <n v="31.3"/>
    <n v="52.6"/>
    <n v="5.3"/>
    <n v="822"/>
    <n v="9.5"/>
    <n v="4000"/>
    <n v="5110"/>
    <n v="1"/>
    <n v="831.5"/>
  </r>
  <r>
    <x v="224"/>
    <x v="0"/>
    <n v="31.2"/>
    <n v="49.1"/>
    <n v="2.4"/>
    <n v="1227.2"/>
    <n v="0.8"/>
    <n v="3696.9"/>
    <n v="4924.8999999999996"/>
    <n v="0"/>
    <n v="1228"/>
  </r>
  <r>
    <x v="225"/>
    <x v="0"/>
    <n v="31.7"/>
    <n v="25.6"/>
    <n v="6.6"/>
    <n v="1925.6"/>
    <n v="18"/>
    <n v="3061.7"/>
    <n v="5005.3"/>
    <n v="0"/>
    <n v="1943.6"/>
  </r>
  <r>
    <x v="226"/>
    <x v="0"/>
    <n v="33.299999999999997"/>
    <n v="0"/>
    <n v="5.5"/>
    <n v="2702.9"/>
    <n v="10.6"/>
    <n v="4000"/>
    <n v="7178.7"/>
    <n v="1"/>
    <n v="2713.5"/>
  </r>
  <r>
    <x v="227"/>
    <x v="0"/>
    <n v="37"/>
    <n v="18.8"/>
    <n v="4.4000000000000004"/>
    <n v="2539"/>
    <n v="5.6"/>
    <n v="4000"/>
    <n v="7246.8"/>
    <n v="1"/>
    <n v="2544.6"/>
  </r>
  <r>
    <x v="228"/>
    <x v="0"/>
    <n v="36.4"/>
    <n v="23.1"/>
    <n v="4.5999999999999996"/>
    <n v="2515"/>
    <n v="6.1"/>
    <n v="4000"/>
    <n v="7187.4"/>
    <n v="1"/>
    <n v="2521.1"/>
  </r>
  <r>
    <x v="229"/>
    <x v="0"/>
    <n v="34.1"/>
    <n v="16.100000000000001"/>
    <n v="4.4000000000000004"/>
    <n v="2595.6999999999998"/>
    <n v="5.4"/>
    <n v="4000"/>
    <n v="7241.2"/>
    <n v="1"/>
    <n v="2601.1"/>
  </r>
  <r>
    <x v="230"/>
    <x v="0"/>
    <n v="31.7"/>
    <n v="27.7"/>
    <n v="2.6"/>
    <n v="2179.6"/>
    <n v="1.1000000000000001"/>
    <n v="4000"/>
    <n v="7311"/>
    <n v="1"/>
    <n v="2180.6999999999998"/>
  </r>
  <r>
    <x v="231"/>
    <x v="0"/>
    <n v="30"/>
    <n v="13.8"/>
    <n v="4.8"/>
    <n v="2118.6"/>
    <n v="6.9"/>
    <n v="3003.8"/>
    <n v="5129.3"/>
    <n v="0"/>
    <n v="2125.5"/>
  </r>
  <r>
    <x v="232"/>
    <x v="0"/>
    <n v="30.9"/>
    <n v="13.9"/>
    <n v="7.8"/>
    <n v="1688.5"/>
    <n v="29.9"/>
    <n v="3466.4"/>
    <n v="5184.8"/>
    <n v="0"/>
    <n v="1718.4"/>
  </r>
  <r>
    <x v="233"/>
    <x v="0"/>
    <n v="26.3"/>
    <n v="33.799999999999997"/>
    <n v="3"/>
    <n v="993.7"/>
    <n v="1.7"/>
    <n v="3737.4"/>
    <n v="4732.8"/>
    <n v="0"/>
    <n v="995.40000000000009"/>
  </r>
  <r>
    <x v="234"/>
    <x v="0"/>
    <n v="29.1"/>
    <n v="29.9"/>
    <n v="2.9"/>
    <n v="528"/>
    <n v="1.5"/>
    <n v="4000"/>
    <n v="7546.8"/>
    <n v="1"/>
    <n v="529.5"/>
  </r>
  <r>
    <x v="235"/>
    <x v="0"/>
    <n v="27.8"/>
    <n v="38"/>
    <n v="3.8"/>
    <n v="0"/>
    <n v="3.5"/>
    <n v="4000"/>
    <n v="7508"/>
    <n v="1"/>
    <n v="3.5"/>
  </r>
  <r>
    <x v="236"/>
    <x v="0"/>
    <n v="23.4"/>
    <n v="0"/>
    <n v="2.6"/>
    <n v="0"/>
    <n v="1.1000000000000001"/>
    <n v="4000"/>
    <n v="7977"/>
    <n v="1"/>
    <n v="1.1000000000000001"/>
  </r>
  <r>
    <x v="237"/>
    <x v="0"/>
    <n v="24.1"/>
    <n v="20.2"/>
    <n v="4.7"/>
    <n v="0"/>
    <n v="6.7"/>
    <n v="4000"/>
    <n v="7693.2"/>
    <n v="1"/>
    <n v="6.7"/>
  </r>
  <r>
    <x v="238"/>
    <x v="0"/>
    <n v="25"/>
    <n v="23.4"/>
    <n v="6.2"/>
    <n v="0"/>
    <n v="15.5"/>
    <n v="4000"/>
    <n v="4762.3"/>
    <n v="1"/>
    <n v="15.5"/>
  </r>
  <r>
    <x v="239"/>
    <x v="0"/>
    <n v="22.9"/>
    <n v="36.4"/>
    <n v="4.9000000000000004"/>
    <n v="0"/>
    <n v="7.5"/>
    <n v="4000"/>
    <n v="5001.3999999999996"/>
    <n v="1"/>
    <n v="7.5"/>
  </r>
  <r>
    <x v="240"/>
    <x v="0"/>
    <n v="24"/>
    <n v="28.9"/>
    <n v="5.4"/>
    <n v="0"/>
    <n v="10.199999999999999"/>
    <n v="4000"/>
    <n v="5046.3999999999996"/>
    <n v="1"/>
    <n v="10.199999999999999"/>
  </r>
  <r>
    <x v="241"/>
    <x v="0"/>
    <n v="24.4"/>
    <n v="11.5"/>
    <n v="7.6"/>
    <n v="0"/>
    <n v="28.1"/>
    <n v="4000"/>
    <n v="4936.5"/>
    <n v="1"/>
    <n v="28.1"/>
  </r>
  <r>
    <x v="242"/>
    <x v="0"/>
    <n v="20.7"/>
    <n v="27.6"/>
    <n v="2.6"/>
    <n v="0"/>
    <n v="1.2"/>
    <n v="4000"/>
    <n v="4944"/>
    <n v="1"/>
    <n v="1.2"/>
  </r>
  <r>
    <x v="243"/>
    <x v="0"/>
    <n v="22.8"/>
    <n v="16.100000000000001"/>
    <n v="0.2"/>
    <n v="0"/>
    <n v="0"/>
    <n v="4000"/>
    <n v="5076.1000000000004"/>
    <n v="1"/>
    <n v="0"/>
  </r>
  <r>
    <x v="244"/>
    <x v="0"/>
    <n v="21.4"/>
    <n v="0"/>
    <n v="5.5"/>
    <n v="0"/>
    <n v="10.8"/>
    <n v="4000"/>
    <n v="4882.2"/>
    <n v="1"/>
    <n v="10.8"/>
  </r>
  <r>
    <x v="245"/>
    <x v="0"/>
    <n v="27.1"/>
    <n v="5.7"/>
    <n v="3.9"/>
    <n v="0"/>
    <n v="3.8"/>
    <n v="4000"/>
    <n v="5067.8999999999996"/>
    <n v="1"/>
    <n v="3.8"/>
  </r>
  <r>
    <x v="246"/>
    <x v="0"/>
    <n v="26.3"/>
    <n v="55.1"/>
    <n v="5.8"/>
    <n v="410.2"/>
    <n v="12.2"/>
    <n v="4000"/>
    <n v="4949.5"/>
    <n v="1"/>
    <n v="422.4"/>
  </r>
  <r>
    <x v="247"/>
    <x v="0"/>
    <n v="29.6"/>
    <n v="29.2"/>
    <n v="0"/>
    <n v="1035.9000000000001"/>
    <n v="0"/>
    <n v="3881"/>
    <n v="4916.8999999999996"/>
    <n v="0"/>
    <n v="1035.9000000000001"/>
  </r>
  <r>
    <x v="248"/>
    <x v="0"/>
    <n v="30"/>
    <n v="5"/>
    <n v="3.4"/>
    <n v="1805.4"/>
    <n v="2.6"/>
    <n v="3104.9"/>
    <n v="4912.8999999999996"/>
    <n v="0"/>
    <n v="1808"/>
  </r>
  <r>
    <x v="249"/>
    <x v="0"/>
    <n v="33.200000000000003"/>
    <n v="13.6"/>
    <n v="5.0999999999999996"/>
    <n v="2122.6"/>
    <n v="8.6999999999999993"/>
    <n v="3088.4"/>
    <n v="5219.7"/>
    <n v="0"/>
    <n v="2131.2999999999997"/>
  </r>
  <r>
    <x v="250"/>
    <x v="0"/>
    <n v="34.6"/>
    <n v="26.2"/>
    <n v="2.7"/>
    <n v="2207.3000000000002"/>
    <n v="1.3"/>
    <n v="4000"/>
    <n v="7359.9"/>
    <n v="1"/>
    <n v="2208.6000000000004"/>
  </r>
  <r>
    <x v="251"/>
    <x v="0"/>
    <n v="34.4"/>
    <n v="42.9"/>
    <n v="5.3"/>
    <n v="2046.4"/>
    <n v="9.4"/>
    <n v="4000"/>
    <n v="7254.7"/>
    <n v="1"/>
    <n v="2055.8000000000002"/>
  </r>
  <r>
    <x v="252"/>
    <x v="0"/>
    <n v="33.200000000000003"/>
    <n v="51.3"/>
    <n v="4.4000000000000004"/>
    <n v="1921.7"/>
    <n v="5.4"/>
    <n v="4000"/>
    <n v="7307.4"/>
    <n v="1"/>
    <n v="1927.1000000000001"/>
  </r>
  <r>
    <x v="253"/>
    <x v="0"/>
    <n v="32.799999999999997"/>
    <n v="59.7"/>
    <n v="4.4000000000000004"/>
    <n v="1702.1"/>
    <n v="5.4"/>
    <n v="4000"/>
    <n v="7461.3"/>
    <n v="1"/>
    <n v="1707.5"/>
  </r>
  <r>
    <x v="254"/>
    <x v="0"/>
    <n v="32.5"/>
    <n v="18.600000000000001"/>
    <n v="4.8"/>
    <n v="2351.1"/>
    <n v="7.3"/>
    <n v="4000"/>
    <n v="7052.3"/>
    <n v="1"/>
    <n v="2358.4"/>
  </r>
  <r>
    <x v="255"/>
    <x v="0"/>
    <n v="31.4"/>
    <n v="24.5"/>
    <n v="8.3000000000000007"/>
    <n v="1943"/>
    <n v="36.4"/>
    <n v="3049"/>
    <n v="5028.3999999999996"/>
    <n v="0"/>
    <n v="1979.4"/>
  </r>
  <r>
    <x v="256"/>
    <x v="0"/>
    <n v="31.7"/>
    <n v="25.8"/>
    <n v="4.2"/>
    <n v="1533.2"/>
    <n v="4.9000000000000004"/>
    <n v="3671"/>
    <n v="5209.1000000000004"/>
    <n v="0"/>
    <n v="1538.1000000000001"/>
  </r>
  <r>
    <x v="257"/>
    <x v="0"/>
    <n v="28"/>
    <n v="19.899999999999999"/>
    <n v="0.7"/>
    <n v="1120.8"/>
    <n v="0"/>
    <n v="3921.2"/>
    <n v="5042"/>
    <n v="0"/>
    <n v="1120.8"/>
  </r>
  <r>
    <x v="258"/>
    <x v="0"/>
    <n v="29"/>
    <n v="15.3"/>
    <n v="7.1"/>
    <n v="595.9"/>
    <n v="23.4"/>
    <n v="4000"/>
    <n v="7759.9"/>
    <n v="1"/>
    <n v="619.29999999999995"/>
  </r>
  <r>
    <x v="259"/>
    <x v="0"/>
    <n v="24.3"/>
    <n v="29.5"/>
    <n v="6.1"/>
    <n v="0"/>
    <n v="14.5"/>
    <n v="4000"/>
    <n v="7516.1"/>
    <n v="1"/>
    <n v="14.5"/>
  </r>
  <r>
    <x v="260"/>
    <x v="0"/>
    <n v="24.3"/>
    <n v="46.6"/>
    <n v="3.9"/>
    <n v="0"/>
    <n v="3.9"/>
    <n v="4000"/>
    <n v="7952.6"/>
    <n v="1"/>
    <n v="3.9"/>
  </r>
  <r>
    <x v="261"/>
    <x v="0"/>
    <n v="25.1"/>
    <n v="38"/>
    <n v="0.8"/>
    <n v="0"/>
    <n v="0"/>
    <n v="4000"/>
    <n v="7674.1"/>
    <n v="1"/>
    <n v="0"/>
  </r>
  <r>
    <x v="262"/>
    <x v="0"/>
    <n v="24.9"/>
    <n v="12.5"/>
    <n v="4.8"/>
    <n v="0"/>
    <n v="7"/>
    <n v="4000"/>
    <n v="5171.5"/>
    <n v="1"/>
    <n v="7"/>
  </r>
  <r>
    <x v="263"/>
    <x v="0"/>
    <n v="22.6"/>
    <n v="14"/>
    <n v="2.7"/>
    <n v="0"/>
    <n v="1.2"/>
    <n v="4000"/>
    <n v="5024.1000000000004"/>
    <n v="1"/>
    <n v="1.2"/>
  </r>
  <r>
    <x v="264"/>
    <x v="0"/>
    <n v="23.8"/>
    <n v="35.9"/>
    <n v="3.3"/>
    <n v="0"/>
    <n v="2.2000000000000002"/>
    <n v="4000"/>
    <n v="4316.2"/>
    <n v="1"/>
    <n v="2.2000000000000002"/>
  </r>
  <r>
    <x v="265"/>
    <x v="0"/>
    <n v="17.899999999999999"/>
    <n v="48"/>
    <n v="0.5"/>
    <n v="0"/>
    <n v="0"/>
    <n v="4000"/>
    <n v="4435.8"/>
    <n v="1"/>
    <n v="0"/>
  </r>
  <r>
    <x v="266"/>
    <x v="0"/>
    <n v="21.1"/>
    <n v="0"/>
    <n v="6.3"/>
    <n v="0"/>
    <n v="16.2"/>
    <n v="4000"/>
    <n v="4265.6000000000004"/>
    <n v="1"/>
    <n v="16.2"/>
  </r>
  <r>
    <x v="267"/>
    <x v="0"/>
    <n v="24.3"/>
    <n v="24.1"/>
    <n v="5"/>
    <n v="0"/>
    <n v="7.8"/>
    <n v="4000"/>
    <n v="4249.8"/>
    <n v="1"/>
    <n v="7.8"/>
  </r>
  <r>
    <x v="268"/>
    <x v="0"/>
    <n v="23.1"/>
    <n v="44.9"/>
    <n v="3"/>
    <n v="0"/>
    <n v="1.7"/>
    <n v="4000"/>
    <n v="4331.5"/>
    <n v="1"/>
    <n v="1.7"/>
  </r>
  <r>
    <x v="269"/>
    <x v="0"/>
    <n v="25.8"/>
    <n v="55"/>
    <n v="5.7"/>
    <n v="0"/>
    <n v="11.9"/>
    <n v="4000"/>
    <n v="4086.5"/>
    <n v="1"/>
    <n v="11.9"/>
  </r>
  <r>
    <x v="270"/>
    <x v="0"/>
    <n v="27.5"/>
    <n v="18.600000000000001"/>
    <n v="8.1999999999999993"/>
    <n v="580.79999999999995"/>
    <n v="34.700000000000003"/>
    <n v="3652.2"/>
    <n v="4267.7"/>
    <n v="0"/>
    <n v="615.5"/>
  </r>
  <r>
    <x v="271"/>
    <x v="0"/>
    <n v="30.2"/>
    <n v="45.6"/>
    <n v="4.5"/>
    <n v="886.1"/>
    <n v="5.7"/>
    <n v="3485.5"/>
    <n v="4377.3"/>
    <n v="0"/>
    <n v="891.80000000000007"/>
  </r>
  <r>
    <x v="272"/>
    <x v="0"/>
    <n v="30.7"/>
    <n v="23.6"/>
    <n v="3.9"/>
    <n v="1561.9"/>
    <n v="3.9"/>
    <n v="2715.3"/>
    <n v="4281.1000000000004"/>
    <n v="0"/>
    <n v="1565.8000000000002"/>
  </r>
  <r>
    <x v="273"/>
    <x v="0"/>
    <n v="32.299999999999997"/>
    <n v="39.700000000000003"/>
    <n v="3.8"/>
    <n v="1694.5"/>
    <n v="3.6"/>
    <n v="2731"/>
    <n v="4429.1000000000004"/>
    <n v="0"/>
    <n v="1698.1"/>
  </r>
  <r>
    <x v="274"/>
    <x v="0"/>
    <n v="30.2"/>
    <n v="43.3"/>
    <n v="4.7"/>
    <n v="1883.2"/>
    <n v="6.6"/>
    <n v="4000"/>
    <n v="6251.8"/>
    <n v="1"/>
    <n v="1889.8"/>
  </r>
  <r>
    <x v="275"/>
    <x v="0"/>
    <n v="29.5"/>
    <n v="66.8"/>
    <n v="3.7"/>
    <n v="1557.8"/>
    <n v="3.3"/>
    <n v="4000"/>
    <n v="6389.7"/>
    <n v="1"/>
    <n v="1561.1"/>
  </r>
  <r>
    <x v="276"/>
    <x v="0"/>
    <n v="32.4"/>
    <n v="37.299999999999997"/>
    <n v="1.9"/>
    <n v="2217.6"/>
    <n v="0.4"/>
    <n v="4000"/>
    <n v="6406.2"/>
    <n v="1"/>
    <n v="2218"/>
  </r>
  <r>
    <x v="277"/>
    <x v="0"/>
    <n v="36.700000000000003"/>
    <n v="21.2"/>
    <n v="4.4000000000000004"/>
    <n v="2491"/>
    <n v="5.6"/>
    <n v="3649.8"/>
    <n v="6146.4"/>
    <n v="0"/>
    <n v="2496.6"/>
  </r>
  <r>
    <x v="278"/>
    <x v="0"/>
    <n v="33.9"/>
    <n v="28"/>
    <n v="4.7"/>
    <n v="2173"/>
    <n v="6.8"/>
    <n v="4000"/>
    <n v="6370.5"/>
    <n v="1"/>
    <n v="2179.8000000000002"/>
  </r>
  <r>
    <x v="279"/>
    <x v="0"/>
    <n v="32.200000000000003"/>
    <n v="29"/>
    <n v="6.1"/>
    <n v="1869"/>
    <n v="14.5"/>
    <n v="2797"/>
    <n v="4680.5"/>
    <n v="0"/>
    <n v="1883.5"/>
  </r>
  <r>
    <x v="280"/>
    <x v="0"/>
    <n v="32.799999999999997"/>
    <n v="37.799999999999997"/>
    <n v="1.7"/>
    <n v="1375.9"/>
    <n v="0.3"/>
    <n v="3109.6"/>
    <n v="4485.8"/>
    <n v="0"/>
    <n v="1376.2"/>
  </r>
  <r>
    <x v="281"/>
    <x v="0"/>
    <n v="27.8"/>
    <n v="31.1"/>
    <n v="2.5"/>
    <n v="1018.7"/>
    <n v="1"/>
    <n v="3545.3"/>
    <n v="4565"/>
    <n v="0"/>
    <n v="1019.7"/>
  </r>
  <r>
    <x v="282"/>
    <x v="0"/>
    <n v="28.5"/>
    <n v="31.4"/>
    <n v="4.8"/>
    <n v="520.70000000000005"/>
    <n v="7.3"/>
    <n v="4000"/>
    <n v="6710.4"/>
    <n v="1"/>
    <n v="528"/>
  </r>
  <r>
    <x v="283"/>
    <x v="0"/>
    <n v="27.1"/>
    <n v="20.100000000000001"/>
    <n v="5.9"/>
    <n v="0"/>
    <n v="13.3"/>
    <n v="4000"/>
    <n v="6962.1"/>
    <n v="1"/>
    <n v="13.3"/>
  </r>
  <r>
    <x v="284"/>
    <x v="0"/>
    <n v="23.2"/>
    <n v="36.9"/>
    <n v="5.4"/>
    <n v="0"/>
    <n v="10.1"/>
    <n v="4000"/>
    <n v="6898.4"/>
    <n v="1"/>
    <n v="10.1"/>
  </r>
  <r>
    <x v="285"/>
    <x v="0"/>
    <n v="25.8"/>
    <n v="22"/>
    <n v="4.3"/>
    <n v="0"/>
    <n v="4.9000000000000004"/>
    <n v="4000"/>
    <n v="6675.4"/>
    <n v="1"/>
    <n v="4.9000000000000004"/>
  </r>
  <r>
    <x v="286"/>
    <x v="0"/>
    <n v="22.8"/>
    <n v="3.1"/>
    <n v="1.1000000000000001"/>
    <n v="0"/>
    <n v="0.1"/>
    <n v="4000"/>
    <n v="4294"/>
    <n v="1"/>
    <n v="0.1"/>
  </r>
  <r>
    <x v="287"/>
    <x v="0"/>
    <n v="20.9"/>
    <n v="5.2"/>
    <n v="0"/>
    <n v="0"/>
    <n v="0"/>
    <n v="4000"/>
    <n v="4559.2"/>
    <n v="1"/>
    <n v="0"/>
  </r>
  <r>
    <x v="288"/>
    <x v="0"/>
    <n v="20"/>
    <n v="57.8"/>
    <n v="6"/>
    <n v="0"/>
    <n v="14"/>
    <n v="4000"/>
    <n v="4224.2"/>
    <n v="1"/>
    <n v="14"/>
  </r>
  <r>
    <x v="289"/>
    <x v="0"/>
    <n v="25.6"/>
    <n v="44.6"/>
    <n v="3.4"/>
    <n v="0"/>
    <n v="2.4"/>
    <n v="4000"/>
    <n v="4216.8"/>
    <n v="1"/>
    <n v="2.4"/>
  </r>
  <r>
    <x v="290"/>
    <x v="0"/>
    <n v="26.2"/>
    <n v="0"/>
    <n v="0.7"/>
    <n v="0"/>
    <n v="0"/>
    <n v="3945.1"/>
    <n v="3945.1"/>
    <n v="0"/>
    <n v="0"/>
  </r>
  <r>
    <x v="291"/>
    <x v="0"/>
    <n v="27.4"/>
    <n v="52.7"/>
    <n v="5.0999999999999996"/>
    <n v="0"/>
    <n v="8.6"/>
    <n v="4000"/>
    <n v="4473.3999999999996"/>
    <n v="1"/>
    <n v="8.6"/>
  </r>
  <r>
    <x v="292"/>
    <x v="0"/>
    <n v="26.3"/>
    <n v="40.200000000000003"/>
    <n v="4.5999999999999996"/>
    <n v="0"/>
    <n v="6.1"/>
    <n v="4000"/>
    <n v="4409.2"/>
    <n v="1"/>
    <n v="6.1"/>
  </r>
  <r>
    <x v="293"/>
    <x v="0"/>
    <n v="26.4"/>
    <n v="9.9"/>
    <n v="3.4"/>
    <n v="0"/>
    <n v="2.6"/>
    <n v="4000"/>
    <n v="4335.6000000000004"/>
    <n v="1"/>
    <n v="2.6"/>
  </r>
  <r>
    <x v="294"/>
    <x v="0"/>
    <n v="27.9"/>
    <n v="5.2"/>
    <n v="1.8"/>
    <n v="643.1"/>
    <n v="0.4"/>
    <n v="3422.6"/>
    <n v="4066.1"/>
    <n v="0"/>
    <n v="643.5"/>
  </r>
  <r>
    <x v="295"/>
    <x v="0"/>
    <n v="31.6"/>
    <n v="43.4"/>
    <n v="0.9"/>
    <n v="906.5"/>
    <n v="0"/>
    <n v="3440.5"/>
    <n v="4347"/>
    <n v="0"/>
    <n v="906.5"/>
  </r>
  <r>
    <x v="296"/>
    <x v="0"/>
    <n v="32.4"/>
    <n v="5.4"/>
    <n v="3.6"/>
    <n v="1800.4"/>
    <n v="2.9"/>
    <n v="2368.3000000000002"/>
    <n v="4171.6000000000004"/>
    <n v="0"/>
    <n v="1803.3000000000002"/>
  </r>
  <r>
    <x v="297"/>
    <x v="0"/>
    <n v="30.8"/>
    <n v="27.1"/>
    <n v="1.3"/>
    <n v="1900.4"/>
    <n v="0.2"/>
    <n v="2501.9"/>
    <n v="4402.5"/>
    <n v="0"/>
    <n v="1900.6000000000001"/>
  </r>
  <r>
    <x v="298"/>
    <x v="0"/>
    <n v="33.700000000000003"/>
    <n v="0"/>
    <n v="4.9000000000000004"/>
    <n v="2702.9"/>
    <n v="7.4"/>
    <n v="3439.5"/>
    <n v="6149.8"/>
    <n v="0"/>
    <n v="2710.3"/>
  </r>
  <r>
    <x v="299"/>
    <x v="0"/>
    <n v="34.6"/>
    <n v="29.5"/>
    <n v="6.7"/>
    <n v="2321.3000000000002"/>
    <n v="19.5"/>
    <n v="3896.3"/>
    <n v="6237.1"/>
    <n v="0"/>
    <n v="2340.8000000000002"/>
  </r>
  <r>
    <x v="300"/>
    <x v="0"/>
    <n v="33.4"/>
    <n v="27.4"/>
    <n v="5.0999999999999996"/>
    <n v="2423.6"/>
    <n v="8.4"/>
    <n v="3826.8"/>
    <n v="6258.8"/>
    <n v="0"/>
    <n v="2432"/>
  </r>
  <r>
    <x v="301"/>
    <x v="0"/>
    <n v="33.9"/>
    <n v="11"/>
    <n v="2.7"/>
    <n v="2700.4"/>
    <n v="1.2"/>
    <n v="3545.7"/>
    <n v="6247.3"/>
    <n v="0"/>
    <n v="2701.6"/>
  </r>
  <r>
    <x v="302"/>
    <x v="0"/>
    <n v="35.799999999999997"/>
    <n v="0.1"/>
    <n v="2.6"/>
    <n v="2700.6"/>
    <n v="1.1000000000000001"/>
    <n v="3327.9"/>
    <n v="6029.6"/>
    <n v="0"/>
    <n v="2701.7"/>
  </r>
  <r>
    <x v="303"/>
    <x v="0"/>
    <n v="33.6"/>
    <n v="19.100000000000001"/>
    <n v="6.5"/>
    <n v="2031.9"/>
    <n v="17.5"/>
    <n v="2162.8000000000002"/>
    <n v="4212.2"/>
    <n v="0"/>
    <n v="2049.4"/>
  </r>
  <r>
    <x v="304"/>
    <x v="0"/>
    <n v="31.4"/>
    <n v="8.3000000000000007"/>
    <n v="8.3000000000000007"/>
    <n v="1761.9"/>
    <n v="36.5"/>
    <n v="2420.6"/>
    <n v="4219"/>
    <n v="0"/>
    <n v="1798.4"/>
  </r>
  <r>
    <x v="305"/>
    <x v="0"/>
    <n v="30"/>
    <n v="37.700000000000003"/>
    <n v="4.8"/>
    <n v="958.4"/>
    <n v="7.2"/>
    <n v="3176.3"/>
    <n v="4141.8999999999996"/>
    <n v="0"/>
    <n v="965.6"/>
  </r>
  <r>
    <x v="306"/>
    <x v="0"/>
    <n v="27.8"/>
    <n v="25.9"/>
    <n v="3.7"/>
    <n v="546.6"/>
    <n v="3.3"/>
    <n v="4000"/>
    <n v="6692.2"/>
    <n v="1"/>
    <n v="549.9"/>
  </r>
  <r>
    <x v="307"/>
    <x v="0"/>
    <n v="29.8"/>
    <n v="13.9"/>
    <n v="1.3"/>
    <n v="0"/>
    <n v="0.1"/>
    <n v="4000"/>
    <n v="6864.6"/>
    <n v="1"/>
    <n v="0.1"/>
  </r>
  <r>
    <x v="308"/>
    <x v="0"/>
    <n v="28.9"/>
    <n v="8.9"/>
    <n v="7.3"/>
    <n v="0"/>
    <n v="24.7"/>
    <n v="4000"/>
    <n v="6706.8"/>
    <n v="1"/>
    <n v="24.7"/>
  </r>
  <r>
    <x v="309"/>
    <x v="0"/>
    <n v="22.9"/>
    <n v="36.4"/>
    <n v="7.3"/>
    <n v="0"/>
    <n v="24.5"/>
    <n v="4000"/>
    <n v="6971.7"/>
    <n v="1"/>
    <n v="24.5"/>
  </r>
  <r>
    <x v="310"/>
    <x v="0"/>
    <n v="22.5"/>
    <n v="13.4"/>
    <n v="2"/>
    <n v="0"/>
    <n v="0.5"/>
    <n v="4000"/>
    <n v="4263.1000000000004"/>
    <n v="1"/>
    <n v="0.5"/>
  </r>
  <r>
    <x v="311"/>
    <x v="0"/>
    <n v="20.399999999999999"/>
    <n v="25.7"/>
    <n v="2.5"/>
    <n v="0"/>
    <n v="1"/>
    <n v="4000"/>
    <n v="4222.6000000000004"/>
    <n v="1"/>
    <n v="1"/>
  </r>
  <r>
    <x v="312"/>
    <x v="0"/>
    <n v="19.7"/>
    <n v="31.6"/>
    <n v="5.7"/>
    <n v="0"/>
    <n v="11.6"/>
    <n v="4000"/>
    <n v="4985.1000000000004"/>
    <n v="1"/>
    <n v="11.6"/>
  </r>
  <r>
    <x v="313"/>
    <x v="0"/>
    <n v="22.8"/>
    <n v="49.6"/>
    <n v="1.6"/>
    <n v="0"/>
    <n v="0.3"/>
    <n v="4000"/>
    <n v="4650.8999999999996"/>
    <n v="1"/>
    <n v="0.3"/>
  </r>
  <r>
    <x v="314"/>
    <x v="0"/>
    <n v="23.4"/>
    <n v="10.9"/>
    <n v="3.9"/>
    <n v="0"/>
    <n v="3.8"/>
    <n v="4000"/>
    <n v="5200.8999999999996"/>
    <n v="1"/>
    <n v="3.8"/>
  </r>
  <r>
    <x v="315"/>
    <x v="0"/>
    <n v="23.9"/>
    <n v="35.799999999999997"/>
    <n v="2.2000000000000002"/>
    <n v="0"/>
    <n v="0.6"/>
    <n v="4000"/>
    <n v="5033.7"/>
    <n v="1"/>
    <n v="0.6"/>
  </r>
  <r>
    <x v="316"/>
    <x v="0"/>
    <n v="22.9"/>
    <n v="22.8"/>
    <n v="2.2000000000000002"/>
    <n v="0"/>
    <n v="0.7"/>
    <n v="4000"/>
    <n v="4975.3999999999996"/>
    <n v="1"/>
    <n v="0.7"/>
  </r>
  <r>
    <x v="317"/>
    <x v="0"/>
    <n v="28.3"/>
    <n v="46.8"/>
    <n v="5.2"/>
    <n v="0"/>
    <n v="9.1"/>
    <n v="4000"/>
    <n v="4839.7"/>
    <n v="1"/>
    <n v="9.1"/>
  </r>
  <r>
    <x v="318"/>
    <x v="0"/>
    <n v="27.5"/>
    <n v="49.3"/>
    <n v="4.3"/>
    <n v="437.4"/>
    <n v="5"/>
    <n v="4000"/>
    <n v="4786.2"/>
    <n v="1"/>
    <n v="442.4"/>
  </r>
  <r>
    <x v="319"/>
    <x v="0"/>
    <n v="30.1"/>
    <n v="28.8"/>
    <n v="3.4"/>
    <n v="1038.9000000000001"/>
    <n v="2.5"/>
    <n v="4000"/>
    <n v="5297.9"/>
    <n v="1"/>
    <n v="1041.4000000000001"/>
  </r>
  <r>
    <x v="320"/>
    <x v="0"/>
    <n v="30.8"/>
    <n v="39.200000000000003"/>
    <n v="5.9"/>
    <n v="1357.7"/>
    <n v="13.2"/>
    <n v="3599.1"/>
    <n v="4970"/>
    <n v="0"/>
    <n v="1370.9"/>
  </r>
  <r>
    <x v="321"/>
    <x v="0"/>
    <n v="30.2"/>
    <n v="0"/>
    <n v="5"/>
    <n v="2345.5"/>
    <n v="8.1"/>
    <n v="2478.5"/>
    <n v="4832.1000000000004"/>
    <n v="0"/>
    <n v="2353.6"/>
  </r>
  <r>
    <x v="322"/>
    <x v="0"/>
    <n v="30"/>
    <n v="32.799999999999997"/>
    <n v="9"/>
    <n v="2082.9"/>
    <n v="46.4"/>
    <n v="4000"/>
    <n v="6984.5"/>
    <n v="1"/>
    <n v="2129.3000000000002"/>
  </r>
  <r>
    <x v="323"/>
    <x v="0"/>
    <n v="35.1"/>
    <n v="26.6"/>
    <n v="3.8"/>
    <n v="2379.4"/>
    <n v="3.5"/>
    <n v="4000"/>
    <n v="7149.1"/>
    <n v="1"/>
    <n v="2382.9"/>
  </r>
  <r>
    <x v="324"/>
    <x v="0"/>
    <n v="33.6"/>
    <n v="30.3"/>
    <n v="4.5999999999999996"/>
    <n v="2362.6999999999998"/>
    <n v="6.4"/>
    <n v="4000"/>
    <n v="7287.9"/>
    <n v="1"/>
    <n v="2369.1"/>
  </r>
  <r>
    <x v="325"/>
    <x v="0"/>
    <n v="35.299999999999997"/>
    <n v="21.5"/>
    <n v="2.5"/>
    <n v="2484.6"/>
    <n v="1"/>
    <n v="4000"/>
    <n v="7049.8"/>
    <n v="1"/>
    <n v="2485.6"/>
  </r>
  <r>
    <x v="326"/>
    <x v="0"/>
    <n v="31.8"/>
    <n v="25.6"/>
    <n v="4"/>
    <n v="2219.1999999999998"/>
    <n v="4"/>
    <n v="4000"/>
    <n v="7230.5"/>
    <n v="1"/>
    <n v="2223.1999999999998"/>
  </r>
  <r>
    <x v="327"/>
    <x v="0"/>
    <n v="33"/>
    <n v="24.5"/>
    <n v="5.6"/>
    <n v="1943.3"/>
    <n v="11.5"/>
    <n v="3158.1"/>
    <n v="5112.8999999999996"/>
    <n v="0"/>
    <n v="1954.8"/>
  </r>
  <r>
    <x v="328"/>
    <x v="0"/>
    <n v="31.8"/>
    <n v="25.2"/>
    <n v="1.4"/>
    <n v="1540.4"/>
    <n v="0.2"/>
    <n v="3617.9"/>
    <n v="5158.5"/>
    <n v="0"/>
    <n v="1540.6000000000001"/>
  </r>
  <r>
    <x v="329"/>
    <x v="0"/>
    <n v="29.1"/>
    <n v="12.8"/>
    <n v="3.6"/>
    <n v="1184.9000000000001"/>
    <n v="3.1"/>
    <n v="3602.2"/>
    <n v="4790.2"/>
    <n v="0"/>
    <n v="1188"/>
  </r>
  <r>
    <x v="330"/>
    <x v="0"/>
    <n v="28.8"/>
    <n v="23.6"/>
    <n v="5"/>
    <n v="557.29999999999995"/>
    <n v="7.9"/>
    <n v="4000"/>
    <n v="7708.5"/>
    <n v="1"/>
    <n v="565.19999999999993"/>
  </r>
  <r>
    <x v="331"/>
    <x v="0"/>
    <n v="23.5"/>
    <n v="6.2"/>
    <n v="3.7"/>
    <n v="0"/>
    <n v="3.3"/>
    <n v="4000"/>
    <n v="7709.7"/>
    <n v="1"/>
    <n v="3.3"/>
  </r>
  <r>
    <x v="332"/>
    <x v="0"/>
    <n v="25.9"/>
    <n v="55.6"/>
    <n v="6.4"/>
    <n v="0"/>
    <n v="17.100000000000001"/>
    <n v="4000"/>
    <n v="7518.5"/>
    <n v="1"/>
    <n v="17.100000000000001"/>
  </r>
  <r>
    <x v="333"/>
    <x v="0"/>
    <n v="26"/>
    <n v="28"/>
    <n v="3.3"/>
    <n v="0"/>
    <n v="2.4"/>
    <n v="4000"/>
    <n v="7668"/>
    <n v="1"/>
    <n v="2.4"/>
  </r>
  <r>
    <x v="334"/>
    <x v="0"/>
    <n v="22.4"/>
    <n v="17.2"/>
    <n v="4.3"/>
    <n v="0"/>
    <n v="5.2"/>
    <n v="4000"/>
    <n v="4858"/>
    <n v="1"/>
    <n v="5.2"/>
  </r>
  <r>
    <x v="335"/>
    <x v="0"/>
    <n v="22.2"/>
    <n v="33.700000000000003"/>
    <n v="6.4"/>
    <n v="0"/>
    <n v="16.600000000000001"/>
    <n v="4000"/>
    <n v="4974.1000000000004"/>
    <n v="1"/>
    <n v="16.600000000000001"/>
  </r>
  <r>
    <x v="0"/>
    <x v="1"/>
    <n v="18.5"/>
    <n v="0"/>
    <n v="16.7"/>
    <n v="0"/>
    <n v="741.4"/>
    <n v="4000"/>
    <n v="5092.3999999999996"/>
    <n v="1"/>
    <n v="741.4"/>
  </r>
  <r>
    <x v="1"/>
    <x v="1"/>
    <n v="19.899999999999999"/>
    <n v="15.7"/>
    <n v="3"/>
    <n v="0"/>
    <n v="4.3"/>
    <n v="4000"/>
    <n v="4745"/>
    <n v="1"/>
    <n v="4.3"/>
  </r>
  <r>
    <x v="2"/>
    <x v="1"/>
    <n v="21.3"/>
    <n v="30.6"/>
    <n v="0"/>
    <n v="0"/>
    <n v="0"/>
    <n v="4000"/>
    <n v="5031.2"/>
    <n v="1"/>
    <n v="0"/>
  </r>
  <r>
    <x v="3"/>
    <x v="1"/>
    <n v="21.6"/>
    <n v="8"/>
    <n v="12.9"/>
    <n v="0"/>
    <n v="344.8"/>
    <n v="4000"/>
    <n v="4868.1000000000004"/>
    <n v="1"/>
    <n v="344.8"/>
  </r>
  <r>
    <x v="4"/>
    <x v="1"/>
    <n v="22.6"/>
    <n v="48"/>
    <n v="7.1"/>
    <n v="0"/>
    <n v="58.1"/>
    <n v="4000"/>
    <n v="4947.7"/>
    <n v="1"/>
    <n v="58.1"/>
  </r>
  <r>
    <x v="5"/>
    <x v="1"/>
    <n v="22.8"/>
    <n v="44.3"/>
    <n v="7.3"/>
    <n v="0"/>
    <n v="63.1"/>
    <n v="4000"/>
    <n v="5129.5"/>
    <n v="1"/>
    <n v="63.1"/>
  </r>
  <r>
    <x v="6"/>
    <x v="1"/>
    <n v="23.1"/>
    <n v="40.700000000000003"/>
    <n v="20.6"/>
    <n v="252.3"/>
    <n v="1390.3"/>
    <n v="3240.9"/>
    <n v="4883.5"/>
    <n v="0"/>
    <n v="1642.6"/>
  </r>
  <r>
    <x v="7"/>
    <x v="1"/>
    <n v="23.4"/>
    <n v="81.8"/>
    <n v="11"/>
    <n v="331.5"/>
    <n v="210.3"/>
    <n v="4000"/>
    <n v="4744.2"/>
    <n v="1"/>
    <n v="541.79999999999995"/>
  </r>
  <r>
    <x v="8"/>
    <x v="1"/>
    <n v="27"/>
    <n v="29.9"/>
    <n v="21.1"/>
    <n v="767.7"/>
    <n v="1509.5"/>
    <n v="2572.4"/>
    <n v="4849.6000000000004"/>
    <n v="0"/>
    <n v="2277.1999999999998"/>
  </r>
  <r>
    <x v="9"/>
    <x v="1"/>
    <n v="26.3"/>
    <n v="98.9"/>
    <n v="9"/>
    <n v="476.6"/>
    <n v="115.5"/>
    <n v="4000"/>
    <n v="5051.7"/>
    <n v="1"/>
    <n v="592.1"/>
  </r>
  <r>
    <x v="10"/>
    <x v="1"/>
    <n v="27.8"/>
    <n v="77.5"/>
    <n v="19.8"/>
    <n v="722.7"/>
    <n v="1243.4000000000001"/>
    <n v="4000"/>
    <n v="7261.3"/>
    <n v="1"/>
    <n v="1966.1000000000001"/>
  </r>
  <r>
    <x v="11"/>
    <x v="1"/>
    <n v="27.1"/>
    <n v="56.5"/>
    <n v="8.6"/>
    <n v="966.6"/>
    <n v="102.2"/>
    <n v="4000"/>
    <n v="7154.8"/>
    <n v="1"/>
    <n v="1068.8"/>
  </r>
  <r>
    <x v="12"/>
    <x v="1"/>
    <n v="28.1"/>
    <n v="35.9"/>
    <n v="12.9"/>
    <n v="1177.2"/>
    <n v="345.3"/>
    <n v="4000"/>
    <n v="7452"/>
    <n v="1"/>
    <n v="1522.5"/>
  </r>
  <r>
    <x v="13"/>
    <x v="1"/>
    <n v="26.9"/>
    <n v="75"/>
    <n v="8.6999999999999993"/>
    <n v="804.2"/>
    <n v="105.9"/>
    <n v="4000"/>
    <n v="6947.9"/>
    <n v="1"/>
    <n v="910.1"/>
  </r>
  <r>
    <x v="14"/>
    <x v="1"/>
    <n v="28"/>
    <n v="74.599999999999994"/>
    <n v="15.6"/>
    <n v="746.2"/>
    <n v="606.79999999999995"/>
    <n v="4000"/>
    <n v="6993"/>
    <n v="1"/>
    <n v="1353"/>
  </r>
  <r>
    <x v="15"/>
    <x v="1"/>
    <n v="26.1"/>
    <n v="9.5"/>
    <n v="19.5"/>
    <n v="1106.2"/>
    <n v="1187.5999999999999"/>
    <n v="2805.6"/>
    <n v="5099.3999999999996"/>
    <n v="0"/>
    <n v="2293.8000000000002"/>
  </r>
  <r>
    <x v="16"/>
    <x v="1"/>
    <n v="25.7"/>
    <n v="78.2"/>
    <n v="14.8"/>
    <n v="496.4"/>
    <n v="516.70000000000005"/>
    <n v="3888.5"/>
    <n v="4901.6000000000004"/>
    <n v="0"/>
    <n v="1013.1"/>
  </r>
  <r>
    <x v="17"/>
    <x v="1"/>
    <n v="27.2"/>
    <n v="28.9"/>
    <n v="16.600000000000001"/>
    <n v="537.9"/>
    <n v="737.1"/>
    <n v="3743.4"/>
    <n v="5018.3999999999996"/>
    <n v="0"/>
    <n v="1275"/>
  </r>
  <r>
    <x v="18"/>
    <x v="1"/>
    <n v="24.3"/>
    <n v="83.2"/>
    <n v="14.5"/>
    <n v="167.1"/>
    <n v="491.7"/>
    <n v="4000"/>
    <n v="7708.6"/>
    <n v="1"/>
    <n v="658.8"/>
  </r>
  <r>
    <x v="19"/>
    <x v="1"/>
    <n v="24"/>
    <n v="35.9"/>
    <n v="7.8"/>
    <n v="0"/>
    <n v="76"/>
    <n v="4000"/>
    <n v="7780.7"/>
    <n v="1"/>
    <n v="76"/>
  </r>
  <r>
    <x v="20"/>
    <x v="1"/>
    <n v="20"/>
    <n v="96.4"/>
    <n v="6.5"/>
    <n v="0"/>
    <n v="43.6"/>
    <n v="4000"/>
    <n v="7543.3"/>
    <n v="1"/>
    <n v="43.6"/>
  </r>
  <r>
    <x v="21"/>
    <x v="1"/>
    <n v="20.9"/>
    <n v="52.7"/>
    <n v="16.100000000000001"/>
    <n v="0"/>
    <n v="665.1"/>
    <n v="4000"/>
    <n v="7666.8"/>
    <n v="1"/>
    <n v="665.1"/>
  </r>
  <r>
    <x v="22"/>
    <x v="1"/>
    <n v="20"/>
    <n v="40.799999999999997"/>
    <n v="13.4"/>
    <n v="0"/>
    <n v="386.1"/>
    <n v="4000"/>
    <n v="5079.1000000000004"/>
    <n v="1"/>
    <n v="386.1"/>
  </r>
  <r>
    <x v="23"/>
    <x v="1"/>
    <n v="21.7"/>
    <n v="57.3"/>
    <n v="15.7"/>
    <n v="0"/>
    <n v="616.20000000000005"/>
    <n v="4000"/>
    <n v="4912.7"/>
    <n v="1"/>
    <n v="616.20000000000005"/>
  </r>
  <r>
    <x v="24"/>
    <x v="1"/>
    <n v="21.2"/>
    <n v="49.5"/>
    <n v="5.5"/>
    <n v="0"/>
    <n v="26.9"/>
    <n v="4000"/>
    <n v="5049.3999999999996"/>
    <n v="1"/>
    <n v="26.9"/>
  </r>
  <r>
    <x v="25"/>
    <x v="1"/>
    <n v="19.5"/>
    <n v="31.8"/>
    <n v="14.9"/>
    <n v="0"/>
    <n v="532.70000000000005"/>
    <n v="4000"/>
    <n v="5010"/>
    <n v="1"/>
    <n v="532.70000000000005"/>
  </r>
  <r>
    <x v="26"/>
    <x v="1"/>
    <n v="20.6"/>
    <n v="52.7"/>
    <n v="20.5"/>
    <n v="0"/>
    <n v="1380.7"/>
    <n v="3755"/>
    <n v="5135.7"/>
    <n v="0"/>
    <n v="1380.7"/>
  </r>
  <r>
    <x v="27"/>
    <x v="1"/>
    <n v="23.8"/>
    <n v="59.1"/>
    <n v="3.2"/>
    <n v="0"/>
    <n v="5.2"/>
    <n v="4000"/>
    <n v="4986.1000000000004"/>
    <n v="1"/>
    <n v="5.2"/>
  </r>
  <r>
    <x v="28"/>
    <x v="1"/>
    <n v="22.4"/>
    <n v="77.2"/>
    <n v="15.4"/>
    <n v="0"/>
    <n v="580.5"/>
    <n v="4000"/>
    <n v="5063"/>
    <n v="1"/>
    <n v="580.5"/>
  </r>
  <r>
    <x v="29"/>
    <x v="1"/>
    <n v="21.7"/>
    <n v="39.799999999999997"/>
    <n v="7.7"/>
    <n v="0"/>
    <n v="74.400000000000006"/>
    <n v="4000"/>
    <n v="4929.2"/>
    <n v="1"/>
    <n v="74.400000000000006"/>
  </r>
  <r>
    <x v="30"/>
    <x v="1"/>
    <n v="24.6"/>
    <n v="86.7"/>
    <n v="14"/>
    <n v="160.1"/>
    <n v="436.5"/>
    <n v="4000"/>
    <n v="4862.8999999999996"/>
    <n v="1"/>
    <n v="596.6"/>
  </r>
  <r>
    <x v="31"/>
    <x v="1"/>
    <n v="25.5"/>
    <n v="74.900000000000006"/>
    <n v="9"/>
    <n v="358.3"/>
    <n v="114.7"/>
    <n v="4000"/>
    <n v="4770.6000000000004"/>
    <n v="1"/>
    <n v="473"/>
  </r>
  <r>
    <x v="32"/>
    <x v="1"/>
    <n v="26"/>
    <n v="25.4"/>
    <n v="15.2"/>
    <n v="792.8"/>
    <n v="566.5"/>
    <n v="3570.6"/>
    <n v="4929.8999999999996"/>
    <n v="0"/>
    <n v="1359.3"/>
  </r>
  <r>
    <x v="33"/>
    <x v="1"/>
    <n v="27.2"/>
    <n v="22.8"/>
    <n v="9.8000000000000007"/>
    <n v="1012.2"/>
    <n v="151.19999999999999"/>
    <n v="3768.5"/>
    <n v="4931.8999999999996"/>
    <n v="0"/>
    <n v="1163.4000000000001"/>
  </r>
  <r>
    <x v="34"/>
    <x v="1"/>
    <n v="27.1"/>
    <n v="88.2"/>
    <n v="10"/>
    <n v="636.5"/>
    <n v="160.1"/>
    <n v="4000"/>
    <n v="7258.4"/>
    <n v="1"/>
    <n v="796.6"/>
  </r>
  <r>
    <x v="35"/>
    <x v="1"/>
    <n v="28.8"/>
    <n v="9.5"/>
    <n v="3.2"/>
    <n v="1378.7"/>
    <n v="5.2"/>
    <n v="4000"/>
    <n v="7183.7"/>
    <n v="1"/>
    <n v="1383.9"/>
  </r>
  <r>
    <x v="36"/>
    <x v="1"/>
    <n v="29.3"/>
    <n v="31.2"/>
    <n v="24.8"/>
    <n v="1219.2"/>
    <n v="2437.8000000000002"/>
    <n v="3264.2"/>
    <n v="6921.2"/>
    <n v="0"/>
    <n v="3657"/>
  </r>
  <r>
    <x v="37"/>
    <x v="1"/>
    <n v="28"/>
    <n v="83.6"/>
    <n v="22"/>
    <n v="729.3"/>
    <n v="1710.8"/>
    <n v="4000"/>
    <n v="7065.4"/>
    <n v="1"/>
    <n v="2440.1"/>
  </r>
  <r>
    <x v="38"/>
    <x v="1"/>
    <n v="28.7"/>
    <n v="70.599999999999994"/>
    <n v="15"/>
    <n v="779"/>
    <n v="536"/>
    <n v="4000"/>
    <n v="7459.2"/>
    <n v="1"/>
    <n v="1315"/>
  </r>
  <r>
    <x v="39"/>
    <x v="1"/>
    <n v="26.3"/>
    <n v="24.5"/>
    <n v="12"/>
    <n v="1000"/>
    <n v="275.3"/>
    <n v="3791.5"/>
    <n v="5066.8"/>
    <n v="0"/>
    <n v="1275.3"/>
  </r>
  <r>
    <x v="40"/>
    <x v="1"/>
    <n v="25.5"/>
    <n v="62.4"/>
    <n v="16.8"/>
    <n v="585"/>
    <n v="755.5"/>
    <n v="3584"/>
    <n v="4924.5"/>
    <n v="0"/>
    <n v="1340.5"/>
  </r>
  <r>
    <x v="41"/>
    <x v="1"/>
    <n v="26.5"/>
    <n v="16.5"/>
    <n v="11"/>
    <n v="586.6"/>
    <n v="214.8"/>
    <n v="4000"/>
    <n v="4963.3"/>
    <n v="1"/>
    <n v="801.40000000000009"/>
  </r>
  <r>
    <x v="42"/>
    <x v="1"/>
    <n v="22.1"/>
    <n v="42.9"/>
    <n v="11.4"/>
    <n v="247.8"/>
    <n v="236.5"/>
    <n v="4000"/>
    <n v="7592.5"/>
    <n v="1"/>
    <n v="484.3"/>
  </r>
  <r>
    <x v="43"/>
    <x v="1"/>
    <n v="23.6"/>
    <n v="19.399999999999999"/>
    <n v="21.3"/>
    <n v="0"/>
    <n v="1539.8"/>
    <n v="4000"/>
    <n v="7927"/>
    <n v="1"/>
    <n v="1539.8"/>
  </r>
  <r>
    <x v="44"/>
    <x v="1"/>
    <n v="22.6"/>
    <n v="39.299999999999997"/>
    <n v="7.2"/>
    <n v="0"/>
    <n v="59.8"/>
    <n v="4000"/>
    <n v="7883.2"/>
    <n v="1"/>
    <n v="59.8"/>
  </r>
  <r>
    <x v="45"/>
    <x v="1"/>
    <n v="22.3"/>
    <n v="92.1"/>
    <n v="19.7"/>
    <n v="0"/>
    <n v="1226.3"/>
    <n v="4000"/>
    <n v="7644.2"/>
    <n v="1"/>
    <n v="1226.3"/>
  </r>
  <r>
    <x v="46"/>
    <x v="1"/>
    <n v="19.399999999999999"/>
    <n v="48.5"/>
    <n v="3.2"/>
    <n v="0"/>
    <n v="5"/>
    <n v="4000"/>
    <n v="4876.7"/>
    <n v="1"/>
    <n v="5"/>
  </r>
  <r>
    <x v="47"/>
    <x v="1"/>
    <n v="20"/>
    <n v="33.299999999999997"/>
    <n v="4"/>
    <n v="0"/>
    <n v="10.4"/>
    <n v="4000"/>
    <n v="4998.5"/>
    <n v="1"/>
    <n v="10.4"/>
  </r>
  <r>
    <x v="48"/>
    <x v="1"/>
    <n v="19.5"/>
    <n v="15.8"/>
    <n v="0"/>
    <n v="0"/>
    <n v="0"/>
    <n v="4000"/>
    <n v="5027"/>
    <n v="1"/>
    <n v="0"/>
  </r>
  <r>
    <x v="49"/>
    <x v="1"/>
    <n v="21.9"/>
    <n v="86.5"/>
    <n v="9.6999999999999993"/>
    <n v="0"/>
    <n v="146.69999999999999"/>
    <n v="4000"/>
    <n v="4945.8999999999996"/>
    <n v="1"/>
    <n v="146.69999999999999"/>
  </r>
  <r>
    <x v="50"/>
    <x v="1"/>
    <n v="21"/>
    <n v="20"/>
    <n v="13.5"/>
    <n v="0"/>
    <n v="394.4"/>
    <n v="4000"/>
    <n v="4859.7"/>
    <n v="1"/>
    <n v="394.4"/>
  </r>
  <r>
    <x v="51"/>
    <x v="1"/>
    <n v="22.4"/>
    <n v="42.5"/>
    <n v="11"/>
    <n v="0"/>
    <n v="211.9"/>
    <n v="4000"/>
    <n v="5064.8999999999996"/>
    <n v="1"/>
    <n v="211.9"/>
  </r>
  <r>
    <x v="52"/>
    <x v="1"/>
    <n v="21.2"/>
    <n v="39.299999999999997"/>
    <n v="13.8"/>
    <n v="0"/>
    <n v="423.9"/>
    <n v="4000"/>
    <n v="4818.3"/>
    <n v="1"/>
    <n v="423.9"/>
  </r>
  <r>
    <x v="53"/>
    <x v="1"/>
    <n v="22.2"/>
    <n v="82.3"/>
    <n v="10.6"/>
    <n v="0"/>
    <n v="193"/>
    <n v="4000"/>
    <n v="5087"/>
    <n v="1"/>
    <n v="193"/>
  </r>
  <r>
    <x v="54"/>
    <x v="1"/>
    <n v="23.3"/>
    <n v="0"/>
    <n v="16.399999999999999"/>
    <n v="333.8"/>
    <n v="708.4"/>
    <n v="3904.6"/>
    <n v="4946.8"/>
    <n v="0"/>
    <n v="1042.2"/>
  </r>
  <r>
    <x v="55"/>
    <x v="1"/>
    <n v="24.8"/>
    <n v="46.7"/>
    <n v="14.6"/>
    <n v="468.6"/>
    <n v="495.9"/>
    <n v="4000"/>
    <n v="5060.5"/>
    <n v="1"/>
    <n v="964.5"/>
  </r>
  <r>
    <x v="56"/>
    <x v="1"/>
    <n v="25.5"/>
    <n v="64.900000000000006"/>
    <n v="5.7"/>
    <n v="571.29999999999995"/>
    <n v="30.1"/>
    <n v="4000"/>
    <n v="4715.6000000000004"/>
    <n v="1"/>
    <n v="601.4"/>
  </r>
  <r>
    <x v="57"/>
    <x v="1"/>
    <n v="25.5"/>
    <n v="56.7"/>
    <n v="11.8"/>
    <n v="774.1"/>
    <n v="264.3"/>
    <n v="3955.6"/>
    <n v="4994"/>
    <n v="0"/>
    <n v="1038.4000000000001"/>
  </r>
  <r>
    <x v="58"/>
    <x v="1"/>
    <n v="28.6"/>
    <n v="26.6"/>
    <n v="7.9"/>
    <n v="1135.5"/>
    <n v="80.400000000000006"/>
    <n v="4000"/>
    <n v="6907.7"/>
    <n v="1"/>
    <n v="1215.9000000000001"/>
  </r>
  <r>
    <x v="59"/>
    <x v="1"/>
    <n v="29"/>
    <n v="19.600000000000001"/>
    <n v="12.3"/>
    <n v="1290.4000000000001"/>
    <n v="298.3"/>
    <n v="4000"/>
    <n v="7180.1"/>
    <n v="1"/>
    <n v="1588.7"/>
  </r>
  <r>
    <x v="60"/>
    <x v="1"/>
    <n v="28.7"/>
    <n v="49.4"/>
    <n v="10.199999999999999"/>
    <n v="1055.3"/>
    <n v="168"/>
    <n v="4000"/>
    <n v="7214.3"/>
    <n v="1"/>
    <n v="1223.3"/>
  </r>
  <r>
    <x v="61"/>
    <x v="1"/>
    <n v="27.9"/>
    <n v="18.2"/>
    <n v="0"/>
    <n v="1302.7"/>
    <n v="0"/>
    <n v="4000"/>
    <n v="7025.9"/>
    <n v="1"/>
    <n v="1302.7"/>
  </r>
  <r>
    <x v="62"/>
    <x v="1"/>
    <n v="28.4"/>
    <n v="0"/>
    <n v="7"/>
    <n v="1351.5"/>
    <n v="53.7"/>
    <n v="4000"/>
    <n v="7215.5"/>
    <n v="1"/>
    <n v="1405.2"/>
  </r>
  <r>
    <x v="63"/>
    <x v="1"/>
    <n v="28.9"/>
    <n v="45.5"/>
    <n v="8.4"/>
    <n v="852.4"/>
    <n v="93.5"/>
    <n v="4000"/>
    <n v="5042.8999999999996"/>
    <n v="1"/>
    <n v="945.9"/>
  </r>
  <r>
    <x v="64"/>
    <x v="1"/>
    <n v="27.4"/>
    <n v="28.9"/>
    <n v="8"/>
    <n v="773.3"/>
    <n v="82"/>
    <n v="4000"/>
    <n v="4922.6000000000004"/>
    <n v="1"/>
    <n v="855.3"/>
  </r>
  <r>
    <x v="65"/>
    <x v="1"/>
    <n v="24.1"/>
    <n v="48.1"/>
    <n v="20.100000000000001"/>
    <n v="463.1"/>
    <n v="1303.8"/>
    <n v="3110.7"/>
    <n v="4877.6000000000004"/>
    <n v="0"/>
    <n v="1766.9"/>
  </r>
  <r>
    <x v="66"/>
    <x v="1"/>
    <n v="23.7"/>
    <n v="37.700000000000003"/>
    <n v="4.2"/>
    <n v="258.3"/>
    <n v="11.7"/>
    <n v="4000"/>
    <n v="7748.5"/>
    <n v="1"/>
    <n v="270"/>
  </r>
  <r>
    <x v="67"/>
    <x v="1"/>
    <n v="22.9"/>
    <n v="40.5"/>
    <n v="28"/>
    <n v="0"/>
    <n v="0"/>
    <n v="4000"/>
    <n v="7832.5"/>
    <n v="1"/>
    <n v="0"/>
  </r>
  <r>
    <x v="68"/>
    <x v="1"/>
    <n v="21.2"/>
    <n v="34.299999999999997"/>
    <n v="17.7"/>
    <n v="0"/>
    <n v="893.6"/>
    <n v="4000"/>
    <n v="7744.8"/>
    <n v="1"/>
    <n v="893.6"/>
  </r>
  <r>
    <x v="69"/>
    <x v="1"/>
    <n v="19.7"/>
    <n v="68"/>
    <n v="8.6999999999999993"/>
    <n v="0"/>
    <n v="103.9"/>
    <n v="4000"/>
    <n v="7717"/>
    <n v="1"/>
    <n v="103.9"/>
  </r>
  <r>
    <x v="70"/>
    <x v="1"/>
    <n v="21.6"/>
    <n v="33.799999999999997"/>
    <n v="18.399999999999999"/>
    <n v="0"/>
    <n v="997.5"/>
    <n v="4000"/>
    <n v="5231"/>
    <n v="1"/>
    <n v="997.5"/>
  </r>
  <r>
    <x v="71"/>
    <x v="1"/>
    <n v="21"/>
    <n v="57.1"/>
    <n v="7.8"/>
    <n v="0"/>
    <n v="75"/>
    <n v="4000"/>
    <n v="4960.2"/>
    <n v="1"/>
    <n v="75"/>
  </r>
  <r>
    <x v="72"/>
    <x v="1"/>
    <n v="21"/>
    <n v="36.6"/>
    <n v="10"/>
    <n v="0"/>
    <n v="159.1"/>
    <n v="4000"/>
    <n v="4853.5"/>
    <n v="1"/>
    <n v="159.1"/>
  </r>
  <r>
    <x v="73"/>
    <x v="1"/>
    <n v="20.6"/>
    <n v="96.6"/>
    <n v="6.7"/>
    <n v="0"/>
    <n v="47.3"/>
    <n v="4000"/>
    <n v="4806.7"/>
    <n v="1"/>
    <n v="47.3"/>
  </r>
  <r>
    <x v="74"/>
    <x v="1"/>
    <n v="21.9"/>
    <n v="43"/>
    <n v="14.3"/>
    <n v="0"/>
    <n v="464.1"/>
    <n v="4000"/>
    <n v="4953.6000000000004"/>
    <n v="1"/>
    <n v="464.1"/>
  </r>
  <r>
    <x v="75"/>
    <x v="1"/>
    <n v="21.6"/>
    <n v="40.299999999999997"/>
    <n v="16.899999999999999"/>
    <n v="0"/>
    <n v="776.2"/>
    <n v="4000"/>
    <n v="4790.6000000000004"/>
    <n v="1"/>
    <n v="776.2"/>
  </r>
  <r>
    <x v="76"/>
    <x v="1"/>
    <n v="24.6"/>
    <n v="59.5"/>
    <n v="13.6"/>
    <n v="0"/>
    <n v="405.1"/>
    <n v="4000"/>
    <n v="5128.1000000000004"/>
    <n v="1"/>
    <n v="405.1"/>
  </r>
  <r>
    <x v="77"/>
    <x v="1"/>
    <n v="22.6"/>
    <n v="53.5"/>
    <n v="10.5"/>
    <n v="0"/>
    <n v="186.4"/>
    <n v="4000"/>
    <n v="4979.2"/>
    <n v="1"/>
    <n v="186.4"/>
  </r>
  <r>
    <x v="78"/>
    <x v="1"/>
    <n v="25.3"/>
    <n v="19.8"/>
    <n v="17.7"/>
    <n v="294.10000000000002"/>
    <n v="887.1"/>
    <n v="3794.1"/>
    <n v="4975.3"/>
    <n v="0"/>
    <n v="1181.2"/>
  </r>
  <r>
    <x v="79"/>
    <x v="1"/>
    <n v="24.9"/>
    <n v="0"/>
    <n v="9"/>
    <n v="650.79999999999995"/>
    <n v="115.1"/>
    <n v="4000"/>
    <n v="5147.6000000000004"/>
    <n v="1"/>
    <n v="765.9"/>
  </r>
  <r>
    <x v="80"/>
    <x v="1"/>
    <n v="26"/>
    <n v="20"/>
    <n v="9.5"/>
    <n v="822.9"/>
    <n v="136.1"/>
    <n v="4000"/>
    <n v="5144.5"/>
    <n v="1"/>
    <n v="959"/>
  </r>
  <r>
    <x v="81"/>
    <x v="1"/>
    <n v="27.4"/>
    <n v="39"/>
    <n v="10.199999999999999"/>
    <n v="898.1"/>
    <n v="168.1"/>
    <n v="4000"/>
    <n v="5076.1000000000004"/>
    <n v="1"/>
    <n v="1066.2"/>
  </r>
  <r>
    <x v="82"/>
    <x v="1"/>
    <n v="26.5"/>
    <n v="85.4"/>
    <n v="10.4"/>
    <n v="659.1"/>
    <n v="179.4"/>
    <n v="4000"/>
    <n v="7091.2"/>
    <n v="1"/>
    <n v="838.5"/>
  </r>
  <r>
    <x v="83"/>
    <x v="1"/>
    <n v="29.4"/>
    <n v="70"/>
    <n v="9.8000000000000007"/>
    <n v="848.6"/>
    <n v="152.5"/>
    <n v="4000"/>
    <n v="7332.6"/>
    <n v="1"/>
    <n v="1001.1"/>
  </r>
  <r>
    <x v="84"/>
    <x v="1"/>
    <n v="28"/>
    <n v="22.4"/>
    <n v="13.6"/>
    <n v="1298.3"/>
    <n v="404.4"/>
    <n v="4000"/>
    <n v="7210.6"/>
    <n v="1"/>
    <n v="1702.6999999999998"/>
  </r>
  <r>
    <x v="85"/>
    <x v="1"/>
    <n v="29.1"/>
    <n v="33.4"/>
    <n v="13"/>
    <n v="1169.5"/>
    <n v="352"/>
    <n v="4000"/>
    <n v="6973.1"/>
    <n v="1"/>
    <n v="1521.5"/>
  </r>
  <r>
    <x v="86"/>
    <x v="1"/>
    <n v="27.2"/>
    <n v="59.7"/>
    <n v="9.6"/>
    <n v="867.6"/>
    <n v="142.69999999999999"/>
    <n v="4000"/>
    <n v="7192.5"/>
    <n v="1"/>
    <n v="1010.3"/>
  </r>
  <r>
    <x v="87"/>
    <x v="1"/>
    <n v="25.5"/>
    <n v="48.2"/>
    <n v="21.7"/>
    <n v="833.9"/>
    <n v="1633.7"/>
    <n v="2613.1"/>
    <n v="5080.7"/>
    <n v="0"/>
    <n v="2467.6"/>
  </r>
  <r>
    <x v="88"/>
    <x v="1"/>
    <n v="25.3"/>
    <n v="57.8"/>
    <n v="12.9"/>
    <n v="610.6"/>
    <n v="343.3"/>
    <n v="3846.1"/>
    <n v="4800"/>
    <n v="0"/>
    <n v="953.90000000000009"/>
  </r>
  <r>
    <x v="89"/>
    <x v="1"/>
    <n v="25.5"/>
    <n v="60.9"/>
    <n v="17.5"/>
    <n v="413.1"/>
    <n v="864.6"/>
    <n v="3724.9"/>
    <n v="5002.6000000000004"/>
    <n v="0"/>
    <n v="1277.7"/>
  </r>
  <r>
    <x v="90"/>
    <x v="1"/>
    <n v="23.8"/>
    <n v="61.8"/>
    <n v="21.5"/>
    <n v="210"/>
    <n v="1590"/>
    <n v="4000"/>
    <n v="7761.5"/>
    <n v="1"/>
    <n v="1800"/>
  </r>
  <r>
    <x v="91"/>
    <x v="1"/>
    <n v="22"/>
    <n v="72.7"/>
    <n v="11.4"/>
    <n v="0"/>
    <n v="236.9"/>
    <n v="4000"/>
    <n v="7680.1"/>
    <n v="1"/>
    <n v="236.9"/>
  </r>
  <r>
    <x v="92"/>
    <x v="1"/>
    <n v="22.8"/>
    <n v="31.6"/>
    <n v="11.5"/>
    <n v="0"/>
    <n v="246.4"/>
    <n v="4000"/>
    <n v="7374.1"/>
    <n v="1"/>
    <n v="246.4"/>
  </r>
  <r>
    <x v="93"/>
    <x v="1"/>
    <n v="21.4"/>
    <n v="62.7"/>
    <n v="9.8000000000000007"/>
    <n v="0"/>
    <n v="151.6"/>
    <n v="4000"/>
    <n v="7749.8"/>
    <n v="1"/>
    <n v="151.6"/>
  </r>
  <r>
    <x v="94"/>
    <x v="1"/>
    <n v="20.3"/>
    <n v="63.5"/>
    <n v="15.1"/>
    <n v="0"/>
    <n v="548.29999999999995"/>
    <n v="4000"/>
    <n v="5027"/>
    <n v="1"/>
    <n v="548.29999999999995"/>
  </r>
  <r>
    <x v="95"/>
    <x v="1"/>
    <n v="21.2"/>
    <n v="31.6"/>
    <n v="16"/>
    <n v="0"/>
    <n v="660.3"/>
    <n v="4000"/>
    <n v="4809.7"/>
    <n v="1"/>
    <n v="660.3"/>
  </r>
  <r>
    <x v="96"/>
    <x v="1"/>
    <n v="21.8"/>
    <n v="39.4"/>
    <n v="10.3"/>
    <n v="0"/>
    <n v="172.5"/>
    <n v="4000"/>
    <n v="4375.1000000000004"/>
    <n v="1"/>
    <n v="172.5"/>
  </r>
  <r>
    <x v="97"/>
    <x v="1"/>
    <n v="19.8"/>
    <n v="65"/>
    <n v="3.9"/>
    <n v="0"/>
    <n v="9.6"/>
    <n v="4000"/>
    <n v="4317.1000000000004"/>
    <n v="1"/>
    <n v="9.6"/>
  </r>
  <r>
    <x v="98"/>
    <x v="1"/>
    <n v="19.5"/>
    <n v="68.8"/>
    <n v="20.6"/>
    <n v="0"/>
    <n v="1389.2"/>
    <n v="2772.7"/>
    <n v="4161.8999999999996"/>
    <n v="0"/>
    <n v="1389.2"/>
  </r>
  <r>
    <x v="99"/>
    <x v="1"/>
    <n v="21"/>
    <n v="46.8"/>
    <n v="17.8"/>
    <n v="0"/>
    <n v="903.8"/>
    <n v="3400.5"/>
    <n v="4304.3"/>
    <n v="0"/>
    <n v="903.8"/>
  </r>
  <r>
    <x v="100"/>
    <x v="1"/>
    <n v="22.2"/>
    <n v="69.400000000000006"/>
    <n v="14.5"/>
    <n v="0"/>
    <n v="488.3"/>
    <n v="3692.6"/>
    <n v="4180.8999999999996"/>
    <n v="0"/>
    <n v="488.3"/>
  </r>
  <r>
    <x v="101"/>
    <x v="1"/>
    <n v="24"/>
    <n v="0"/>
    <n v="15.4"/>
    <n v="0"/>
    <n v="583.20000000000005"/>
    <n v="3765.2"/>
    <n v="4348.3999999999996"/>
    <n v="0"/>
    <n v="583.20000000000005"/>
  </r>
  <r>
    <x v="102"/>
    <x v="1"/>
    <n v="22.2"/>
    <n v="57.8"/>
    <n v="18.899999999999999"/>
    <n v="218.1"/>
    <n v="1074.8"/>
    <n v="2929"/>
    <n v="4221.8999999999996"/>
    <n v="0"/>
    <n v="1292.8999999999999"/>
  </r>
  <r>
    <x v="103"/>
    <x v="1"/>
    <n v="26"/>
    <n v="85.3"/>
    <n v="18.600000000000001"/>
    <n v="317.7"/>
    <n v="1025.4000000000001"/>
    <n v="2956.3"/>
    <n v="4299.3999999999996"/>
    <n v="0"/>
    <n v="1343.1000000000001"/>
  </r>
  <r>
    <x v="104"/>
    <x v="1"/>
    <n v="26.7"/>
    <n v="46.9"/>
    <n v="4"/>
    <n v="672.1"/>
    <n v="10.199999999999999"/>
    <n v="3883.7"/>
    <n v="4566"/>
    <n v="0"/>
    <n v="682.30000000000007"/>
  </r>
  <r>
    <x v="105"/>
    <x v="1"/>
    <n v="26"/>
    <n v="99.3"/>
    <n v="11.1"/>
    <n v="474.2"/>
    <n v="220"/>
    <n v="3588.9"/>
    <n v="4283.1000000000004"/>
    <n v="0"/>
    <n v="694.2"/>
  </r>
  <r>
    <x v="106"/>
    <x v="1"/>
    <n v="28"/>
    <n v="46.1"/>
    <n v="20.5"/>
    <n v="977.7"/>
    <n v="1373.4"/>
    <n v="3907.4"/>
    <n v="6258.5"/>
    <n v="0"/>
    <n v="2351.1000000000004"/>
  </r>
  <r>
    <x v="107"/>
    <x v="1"/>
    <n v="28.1"/>
    <n v="26.4"/>
    <n v="5.4"/>
    <n v="1230.4000000000001"/>
    <n v="25.2"/>
    <n v="4000"/>
    <n v="6146.6"/>
    <n v="1"/>
    <n v="1255.6000000000001"/>
  </r>
  <r>
    <x v="108"/>
    <x v="1"/>
    <n v="28"/>
    <n v="34.299999999999997"/>
    <n v="8.5"/>
    <n v="1191.5999999999999"/>
    <n v="99.6"/>
    <n v="4000"/>
    <n v="6148.2"/>
    <n v="1"/>
    <n v="1291.1999999999998"/>
  </r>
  <r>
    <x v="109"/>
    <x v="1"/>
    <n v="27.8"/>
    <n v="7.4"/>
    <n v="15.8"/>
    <n v="1397.6"/>
    <n v="631.1"/>
    <n v="4000"/>
    <n v="6029.1"/>
    <n v="1"/>
    <n v="2028.6999999999998"/>
  </r>
  <r>
    <x v="110"/>
    <x v="1"/>
    <n v="26"/>
    <n v="37.299999999999997"/>
    <n v="8.1999999999999993"/>
    <n v="1049.2"/>
    <n v="89.5"/>
    <n v="4000"/>
    <n v="6252.4"/>
    <n v="1"/>
    <n v="1138.7"/>
  </r>
  <r>
    <x v="111"/>
    <x v="1"/>
    <n v="28.2"/>
    <n v="0"/>
    <n v="12.6"/>
    <n v="1172.7"/>
    <n v="318.2"/>
    <n v="2877"/>
    <n v="4367.8999999999996"/>
    <n v="0"/>
    <n v="1490.9"/>
  </r>
  <r>
    <x v="112"/>
    <x v="1"/>
    <n v="26.7"/>
    <n v="50.3"/>
    <n v="8.1999999999999993"/>
    <n v="652.79999999999995"/>
    <n v="89.5"/>
    <n v="3553.7"/>
    <n v="4296"/>
    <n v="0"/>
    <n v="742.3"/>
  </r>
  <r>
    <x v="113"/>
    <x v="1"/>
    <n v="24.2"/>
    <n v="71.900000000000006"/>
    <n v="12.1"/>
    <n v="370.1"/>
    <n v="283.89999999999998"/>
    <n v="3618.1"/>
    <n v="4272.1000000000004"/>
    <n v="0"/>
    <n v="654"/>
  </r>
  <r>
    <x v="114"/>
    <x v="1"/>
    <n v="23.9"/>
    <n v="27.3"/>
    <n v="4.4000000000000004"/>
    <n v="279.10000000000002"/>
    <n v="13.9"/>
    <n v="4000"/>
    <n v="7005.2"/>
    <n v="1"/>
    <n v="293"/>
  </r>
  <r>
    <x v="115"/>
    <x v="1"/>
    <n v="21.4"/>
    <n v="51.7"/>
    <n v="14.5"/>
    <n v="0"/>
    <n v="492.2"/>
    <n v="4000"/>
    <n v="6449.5"/>
    <n v="1"/>
    <n v="492.2"/>
  </r>
  <r>
    <x v="116"/>
    <x v="1"/>
    <n v="22.9"/>
    <n v="32.9"/>
    <n v="12.7"/>
    <n v="0"/>
    <n v="330.4"/>
    <n v="4000"/>
    <n v="6482.8"/>
    <n v="1"/>
    <n v="330.4"/>
  </r>
  <r>
    <x v="117"/>
    <x v="1"/>
    <n v="22.1"/>
    <n v="38.299999999999997"/>
    <n v="7.5"/>
    <n v="0"/>
    <n v="68.7"/>
    <n v="4000"/>
    <n v="6961.8"/>
    <n v="1"/>
    <n v="68.7"/>
  </r>
  <r>
    <x v="118"/>
    <x v="1"/>
    <n v="19.8"/>
    <n v="39.700000000000003"/>
    <n v="7.1"/>
    <n v="0"/>
    <n v="56.4"/>
    <n v="3940.8"/>
    <n v="3997.2"/>
    <n v="0"/>
    <n v="56.4"/>
  </r>
  <r>
    <x v="119"/>
    <x v="1"/>
    <n v="20.2"/>
    <n v="39.4"/>
    <n v="8.6999999999999993"/>
    <n v="0"/>
    <n v="107.2"/>
    <n v="4000"/>
    <n v="4300.3"/>
    <n v="1"/>
    <n v="107.2"/>
  </r>
  <r>
    <x v="120"/>
    <x v="1"/>
    <n v="20.399999999999999"/>
    <n v="17.7"/>
    <n v="19.100000000000001"/>
    <n v="0"/>
    <n v="1106.9000000000001"/>
    <n v="3238.4"/>
    <n v="4345.3"/>
    <n v="0"/>
    <n v="1106.9000000000001"/>
  </r>
  <r>
    <x v="121"/>
    <x v="1"/>
    <n v="20.2"/>
    <n v="62.7"/>
    <n v="13.2"/>
    <n v="0"/>
    <n v="365.2"/>
    <n v="3940"/>
    <n v="4305.2"/>
    <n v="0"/>
    <n v="365.2"/>
  </r>
  <r>
    <x v="122"/>
    <x v="1"/>
    <n v="20.8"/>
    <n v="29.7"/>
    <n v="13.8"/>
    <n v="0"/>
    <n v="421.2"/>
    <n v="4000"/>
    <n v="4463"/>
    <n v="1"/>
    <n v="421.2"/>
  </r>
  <r>
    <x v="123"/>
    <x v="1"/>
    <n v="21.3"/>
    <n v="44.2"/>
    <n v="11"/>
    <n v="0"/>
    <n v="210.6"/>
    <n v="3937.8"/>
    <n v="4148.3999999999996"/>
    <n v="0"/>
    <n v="210.6"/>
  </r>
  <r>
    <x v="124"/>
    <x v="1"/>
    <n v="20.100000000000001"/>
    <n v="31.3"/>
    <n v="12.5"/>
    <n v="0"/>
    <n v="309.8"/>
    <n v="3990.9"/>
    <n v="4300.7"/>
    <n v="0"/>
    <n v="309.8"/>
  </r>
  <r>
    <x v="125"/>
    <x v="1"/>
    <n v="21.9"/>
    <n v="76.599999999999994"/>
    <n v="7.7"/>
    <n v="0"/>
    <n v="72.2"/>
    <n v="4000"/>
    <n v="4344"/>
    <n v="1"/>
    <n v="72.2"/>
  </r>
  <r>
    <x v="126"/>
    <x v="1"/>
    <n v="24.4"/>
    <n v="28.8"/>
    <n v="20.9"/>
    <n v="276"/>
    <n v="1455.8"/>
    <n v="2733.6"/>
    <n v="4465.3999999999996"/>
    <n v="0"/>
    <n v="1731.8"/>
  </r>
  <r>
    <x v="127"/>
    <x v="1"/>
    <n v="26"/>
    <n v="70"/>
    <n v="8.6"/>
    <n v="377.4"/>
    <n v="103.4"/>
    <n v="3660.2"/>
    <n v="4141"/>
    <n v="0"/>
    <n v="480.79999999999995"/>
  </r>
  <r>
    <x v="128"/>
    <x v="1"/>
    <n v="25.7"/>
    <n v="52.2"/>
    <n v="13.3"/>
    <n v="642.20000000000005"/>
    <n v="376.6"/>
    <n v="3510.1"/>
    <n v="4528.8999999999996"/>
    <n v="0"/>
    <n v="1018.8000000000001"/>
  </r>
  <r>
    <x v="129"/>
    <x v="1"/>
    <n v="27.6"/>
    <n v="64.8"/>
    <n v="3.3"/>
    <n v="716.5"/>
    <n v="5.5"/>
    <n v="3577.9"/>
    <n v="4299.8999999999996"/>
    <n v="0"/>
    <n v="722"/>
  </r>
  <r>
    <x v="130"/>
    <x v="1"/>
    <n v="25.8"/>
    <n v="70.8"/>
    <n v="17.600000000000001"/>
    <n v="777.2"/>
    <n v="877.3"/>
    <n v="4000"/>
    <n v="6435.7"/>
    <n v="1"/>
    <n v="1654.5"/>
  </r>
  <r>
    <x v="131"/>
    <x v="1"/>
    <n v="27.5"/>
    <n v="17.399999999999999"/>
    <n v="10.9"/>
    <n v="1310.0999999999999"/>
    <n v="208.7"/>
    <n v="4000"/>
    <n v="6076.4"/>
    <n v="1"/>
    <n v="1518.8"/>
  </r>
  <r>
    <x v="132"/>
    <x v="1"/>
    <n v="28.8"/>
    <n v="77.8"/>
    <n v="19"/>
    <n v="800.2"/>
    <n v="1093.7"/>
    <n v="4000"/>
    <n v="6193.8"/>
    <n v="1"/>
    <n v="1893.9"/>
  </r>
  <r>
    <x v="133"/>
    <x v="1"/>
    <n v="27.7"/>
    <n v="2.9"/>
    <n v="8"/>
    <n v="1436.8"/>
    <n v="81"/>
    <n v="4000"/>
    <n v="6155.7"/>
    <n v="1"/>
    <n v="1517.8"/>
  </r>
  <r>
    <x v="134"/>
    <x v="1"/>
    <n v="29.1"/>
    <n v="14.1"/>
    <n v="9"/>
    <n v="1236.8"/>
    <n v="118.1"/>
    <n v="4000"/>
    <n v="6384.7"/>
    <n v="1"/>
    <n v="1354.8999999999999"/>
  </r>
  <r>
    <x v="135"/>
    <x v="1"/>
    <n v="27.1"/>
    <n v="24.8"/>
    <n v="14.1"/>
    <n v="998.5"/>
    <n v="450.5"/>
    <n v="2867"/>
    <n v="4316"/>
    <n v="0"/>
    <n v="1449"/>
  </r>
  <r>
    <x v="136"/>
    <x v="1"/>
    <n v="26"/>
    <n v="58.7"/>
    <n v="12"/>
    <n v="606.1"/>
    <n v="278.7"/>
    <n v="3364.1"/>
    <n v="4248.8999999999996"/>
    <n v="0"/>
    <n v="884.8"/>
  </r>
  <r>
    <x v="137"/>
    <x v="1"/>
    <n v="24.9"/>
    <n v="42.8"/>
    <n v="10.1"/>
    <n v="483.7"/>
    <n v="167.3"/>
    <n v="3603.5"/>
    <n v="4254.5"/>
    <n v="0"/>
    <n v="651"/>
  </r>
  <r>
    <x v="138"/>
    <x v="1"/>
    <n v="25.6"/>
    <n v="59"/>
    <n v="10.5"/>
    <n v="215.6"/>
    <n v="186.4"/>
    <n v="4000"/>
    <n v="6681.2"/>
    <n v="1"/>
    <n v="402"/>
  </r>
  <r>
    <x v="139"/>
    <x v="1"/>
    <n v="22.6"/>
    <n v="74.3"/>
    <n v="13.8"/>
    <n v="0"/>
    <n v="424.9"/>
    <n v="4000"/>
    <n v="6824.5"/>
    <n v="1"/>
    <n v="424.9"/>
  </r>
  <r>
    <x v="140"/>
    <x v="1"/>
    <n v="22.4"/>
    <n v="5.7"/>
    <n v="6.4"/>
    <n v="0"/>
    <n v="41.3"/>
    <n v="4000"/>
    <n v="6703.9"/>
    <n v="1"/>
    <n v="41.3"/>
  </r>
  <r>
    <x v="141"/>
    <x v="1"/>
    <n v="21.3"/>
    <n v="88.3"/>
    <n v="23.2"/>
    <n v="0"/>
    <n v="1986.7"/>
    <n v="4000"/>
    <n v="6540.9"/>
    <n v="1"/>
    <n v="1986.7"/>
  </r>
  <r>
    <x v="142"/>
    <x v="1"/>
    <n v="21"/>
    <n v="0"/>
    <n v="9.3000000000000007"/>
    <n v="0"/>
    <n v="128.1"/>
    <n v="4000"/>
    <n v="4415.7"/>
    <n v="1"/>
    <n v="128.1"/>
  </r>
  <r>
    <x v="143"/>
    <x v="1"/>
    <n v="19.5"/>
    <n v="40.799999999999997"/>
    <n v="9.6"/>
    <n v="0"/>
    <n v="143.30000000000001"/>
    <n v="4000"/>
    <n v="4201.8"/>
    <n v="1"/>
    <n v="143.30000000000001"/>
  </r>
  <r>
    <x v="144"/>
    <x v="1"/>
    <n v="20.7"/>
    <n v="18.2"/>
    <n v="13.2"/>
    <n v="0"/>
    <n v="367.7"/>
    <n v="4000"/>
    <n v="4653.1000000000004"/>
    <n v="1"/>
    <n v="367.7"/>
  </r>
  <r>
    <x v="145"/>
    <x v="1"/>
    <n v="19.2"/>
    <n v="0"/>
    <n v="10.6"/>
    <n v="0"/>
    <n v="188.9"/>
    <n v="4000"/>
    <n v="5261.1"/>
    <n v="1"/>
    <n v="188.9"/>
  </r>
  <r>
    <x v="146"/>
    <x v="1"/>
    <n v="22.5"/>
    <n v="14.3"/>
    <n v="14.5"/>
    <n v="0"/>
    <n v="486.1"/>
    <n v="4000"/>
    <n v="5115.1000000000004"/>
    <n v="1"/>
    <n v="486.1"/>
  </r>
  <r>
    <x v="147"/>
    <x v="1"/>
    <n v="21.1"/>
    <n v="100"/>
    <n v="4.5"/>
    <n v="0"/>
    <n v="14.4"/>
    <n v="4000"/>
    <n v="4880.2"/>
    <n v="1"/>
    <n v="14.4"/>
  </r>
  <r>
    <x v="148"/>
    <x v="1"/>
    <n v="22.5"/>
    <n v="72.099999999999994"/>
    <n v="12.5"/>
    <n v="0"/>
    <n v="311.7"/>
    <n v="4000"/>
    <n v="4988.1000000000004"/>
    <n v="1"/>
    <n v="311.7"/>
  </r>
  <r>
    <x v="149"/>
    <x v="1"/>
    <n v="22.6"/>
    <n v="51.7"/>
    <n v="10.3"/>
    <n v="0"/>
    <n v="174"/>
    <n v="4000"/>
    <n v="4996.2"/>
    <n v="1"/>
    <n v="174"/>
  </r>
  <r>
    <x v="150"/>
    <x v="1"/>
    <n v="23.6"/>
    <n v="54.4"/>
    <n v="11.9"/>
    <n v="224.8"/>
    <n v="266.5"/>
    <n v="4000"/>
    <n v="5043.2"/>
    <n v="1"/>
    <n v="491.3"/>
  </r>
  <r>
    <x v="151"/>
    <x v="1"/>
    <n v="25"/>
    <n v="0.7"/>
    <n v="18.3"/>
    <n v="648.20000000000005"/>
    <n v="982.1"/>
    <n v="3488.6"/>
    <n v="5118.8999999999996"/>
    <n v="0"/>
    <n v="1630.3000000000002"/>
  </r>
  <r>
    <x v="152"/>
    <x v="1"/>
    <n v="25.3"/>
    <n v="30.1"/>
    <n v="18.899999999999999"/>
    <n v="766.3"/>
    <n v="1075.4000000000001"/>
    <n v="2972.4"/>
    <n v="4814.1000000000004"/>
    <n v="0"/>
    <n v="1841.7"/>
  </r>
  <r>
    <x v="153"/>
    <x v="1"/>
    <n v="30"/>
    <n v="71.400000000000006"/>
    <n v="13.1"/>
    <n v="670.3"/>
    <n v="361"/>
    <n v="3598.3"/>
    <n v="4629.6000000000004"/>
    <n v="0"/>
    <n v="1031.3"/>
  </r>
  <r>
    <x v="154"/>
    <x v="1"/>
    <n v="27.7"/>
    <n v="58"/>
    <n v="15.2"/>
    <n v="880.9"/>
    <n v="564.79999999999995"/>
    <n v="4000"/>
    <n v="7141.8"/>
    <n v="1"/>
    <n v="1445.6999999999998"/>
  </r>
  <r>
    <x v="155"/>
    <x v="1"/>
    <n v="28"/>
    <n v="40.1"/>
    <n v="11.2"/>
    <n v="1110.8"/>
    <n v="227.4"/>
    <n v="4000"/>
    <n v="7233.3"/>
    <n v="1"/>
    <n v="1338.2"/>
  </r>
  <r>
    <x v="156"/>
    <x v="1"/>
    <n v="29.1"/>
    <n v="59.8"/>
    <n v="0"/>
    <n v="961.4"/>
    <n v="0"/>
    <n v="4000"/>
    <n v="7120.8"/>
    <n v="1"/>
    <n v="961.4"/>
  </r>
  <r>
    <x v="157"/>
    <x v="1"/>
    <n v="28.1"/>
    <n v="44.5"/>
    <n v="10.1"/>
    <n v="1071.5999999999999"/>
    <n v="162.80000000000001"/>
    <n v="4000"/>
    <n v="7248.4"/>
    <n v="1"/>
    <n v="1234.3999999999999"/>
  </r>
  <r>
    <x v="158"/>
    <x v="1"/>
    <n v="28.4"/>
    <n v="25.7"/>
    <n v="14"/>
    <n v="1143.2"/>
    <n v="442.4"/>
    <n v="4000"/>
    <n v="7318.6"/>
    <n v="1"/>
    <n v="1585.6"/>
  </r>
  <r>
    <x v="159"/>
    <x v="1"/>
    <n v="25.4"/>
    <n v="29.3"/>
    <n v="16.3"/>
    <n v="966.4"/>
    <n v="694.4"/>
    <n v="3143.5"/>
    <n v="4804.3"/>
    <n v="0"/>
    <n v="1660.8"/>
  </r>
  <r>
    <x v="160"/>
    <x v="1"/>
    <n v="26.5"/>
    <n v="63.1"/>
    <n v="14.6"/>
    <n v="581"/>
    <n v="496"/>
    <n v="4000"/>
    <n v="5093"/>
    <n v="1"/>
    <n v="1077"/>
  </r>
  <r>
    <x v="161"/>
    <x v="1"/>
    <n v="25.5"/>
    <n v="65"/>
    <n v="15.8"/>
    <n v="397"/>
    <n v="627.70000000000005"/>
    <n v="3829.1"/>
    <n v="4853.8"/>
    <n v="0"/>
    <n v="1024.7"/>
  </r>
  <r>
    <x v="162"/>
    <x v="1"/>
    <n v="24.7"/>
    <n v="53.8"/>
    <n v="17.399999999999999"/>
    <n v="226.1"/>
    <n v="835.7"/>
    <n v="4000"/>
    <n v="7878.3"/>
    <n v="1"/>
    <n v="1061.8"/>
  </r>
  <r>
    <x v="163"/>
    <x v="1"/>
    <n v="22.1"/>
    <n v="40.9"/>
    <n v="8.3000000000000007"/>
    <n v="0"/>
    <n v="90.7"/>
    <n v="4000"/>
    <n v="7696"/>
    <n v="1"/>
    <n v="90.7"/>
  </r>
  <r>
    <x v="164"/>
    <x v="1"/>
    <n v="21.9"/>
    <n v="25.2"/>
    <n v="10.5"/>
    <n v="0"/>
    <n v="183.1"/>
    <n v="4000"/>
    <n v="7598.7"/>
    <n v="1"/>
    <n v="183.1"/>
  </r>
  <r>
    <x v="165"/>
    <x v="1"/>
    <n v="21.4"/>
    <n v="45"/>
    <n v="7.9"/>
    <n v="0"/>
    <n v="79.3"/>
    <n v="4000"/>
    <n v="7416"/>
    <n v="1"/>
    <n v="79.3"/>
  </r>
  <r>
    <x v="166"/>
    <x v="1"/>
    <n v="21.5"/>
    <n v="4.8"/>
    <n v="8.1999999999999993"/>
    <n v="0"/>
    <n v="87.8"/>
    <n v="4000"/>
    <n v="5048.8999999999996"/>
    <n v="1"/>
    <n v="87.8"/>
  </r>
  <r>
    <x v="167"/>
    <x v="1"/>
    <n v="19.2"/>
    <n v="65.7"/>
    <n v="11"/>
    <n v="0"/>
    <n v="214.8"/>
    <n v="4000"/>
    <n v="4834.6000000000004"/>
    <n v="1"/>
    <n v="214.8"/>
  </r>
  <r>
    <x v="168"/>
    <x v="1"/>
    <n v="18"/>
    <n v="60.9"/>
    <n v="5.8"/>
    <n v="0"/>
    <n v="31.3"/>
    <n v="4000"/>
    <n v="4910.3"/>
    <n v="1"/>
    <n v="31.3"/>
  </r>
  <r>
    <x v="169"/>
    <x v="1"/>
    <n v="20.399999999999999"/>
    <n v="79"/>
    <n v="5.5"/>
    <n v="0"/>
    <n v="26"/>
    <n v="4000"/>
    <n v="4959"/>
    <n v="1"/>
    <n v="26"/>
  </r>
  <r>
    <x v="170"/>
    <x v="1"/>
    <n v="20.7"/>
    <n v="90"/>
    <n v="18.2"/>
    <n v="0"/>
    <n v="963.7"/>
    <n v="3533.4"/>
    <n v="4497.1000000000004"/>
    <n v="0"/>
    <n v="963.7"/>
  </r>
  <r>
    <x v="171"/>
    <x v="1"/>
    <n v="20.7"/>
    <n v="65.2"/>
    <n v="7.1"/>
    <n v="0"/>
    <n v="58.1"/>
    <n v="4000"/>
    <n v="4981.3999999999996"/>
    <n v="1"/>
    <n v="58.1"/>
  </r>
  <r>
    <x v="172"/>
    <x v="1"/>
    <n v="22.5"/>
    <n v="71.5"/>
    <n v="25.8"/>
    <n v="0"/>
    <n v="0"/>
    <n v="4000"/>
    <n v="5021.5"/>
    <n v="1"/>
    <n v="0"/>
  </r>
  <r>
    <x v="173"/>
    <x v="1"/>
    <n v="22.5"/>
    <n v="44.4"/>
    <n v="3.2"/>
    <n v="0"/>
    <n v="5"/>
    <n v="4000"/>
    <n v="5008.8999999999996"/>
    <n v="1"/>
    <n v="5"/>
  </r>
  <r>
    <x v="174"/>
    <x v="1"/>
    <n v="23.6"/>
    <n v="31.9"/>
    <n v="12.8"/>
    <n v="269.89999999999998"/>
    <n v="332.5"/>
    <n v="4000"/>
    <n v="4845.8"/>
    <n v="1"/>
    <n v="602.4"/>
  </r>
  <r>
    <x v="175"/>
    <x v="1"/>
    <n v="26.2"/>
    <n v="45"/>
    <n v="12"/>
    <n v="475.1"/>
    <n v="273.3"/>
    <n v="4000"/>
    <n v="4826.6000000000004"/>
    <n v="1"/>
    <n v="748.40000000000009"/>
  </r>
  <r>
    <x v="176"/>
    <x v="1"/>
    <n v="26.2"/>
    <n v="65.599999999999994"/>
    <n v="7.7"/>
    <n v="567"/>
    <n v="72"/>
    <n v="4000"/>
    <n v="4900.8"/>
    <n v="1"/>
    <n v="639"/>
  </r>
  <r>
    <x v="177"/>
    <x v="1"/>
    <n v="26.5"/>
    <n v="11.4"/>
    <n v="7.9"/>
    <n v="1092.9000000000001"/>
    <n v="79"/>
    <n v="3679.4"/>
    <n v="4851.3"/>
    <n v="0"/>
    <n v="1171.9000000000001"/>
  </r>
  <r>
    <x v="178"/>
    <x v="1"/>
    <n v="28.3"/>
    <n v="51.6"/>
    <n v="13"/>
    <n v="933.3"/>
    <n v="348.9"/>
    <n v="4000"/>
    <n v="7078.6"/>
    <n v="1"/>
    <n v="1282.1999999999998"/>
  </r>
  <r>
    <x v="179"/>
    <x v="1"/>
    <n v="27.7"/>
    <n v="54.8"/>
    <n v="11.5"/>
    <n v="981.9"/>
    <n v="242.3"/>
    <n v="4000"/>
    <n v="7277.6"/>
    <n v="1"/>
    <n v="1224.2"/>
  </r>
  <r>
    <x v="180"/>
    <x v="1"/>
    <n v="27.4"/>
    <n v="0"/>
    <n v="11.3"/>
    <n v="1500"/>
    <n v="232.6"/>
    <n v="4000"/>
    <n v="7189.8"/>
    <n v="1"/>
    <n v="1732.6"/>
  </r>
  <r>
    <x v="181"/>
    <x v="1"/>
    <n v="28.8"/>
    <n v="69.099999999999994"/>
    <n v="18.2"/>
    <n v="855.8"/>
    <n v="961.5"/>
    <n v="4000"/>
    <n v="7363.4"/>
    <n v="1"/>
    <n v="1817.3"/>
  </r>
  <r>
    <x v="182"/>
    <x v="1"/>
    <n v="27.7"/>
    <n v="29.6"/>
    <n v="10.4"/>
    <n v="1111.8"/>
    <n v="181"/>
    <n v="4000"/>
    <n v="7163.3"/>
    <n v="1"/>
    <n v="1292.8"/>
  </r>
  <r>
    <x v="183"/>
    <x v="1"/>
    <n v="28"/>
    <n v="41.5"/>
    <n v="9.6999999999999993"/>
    <n v="880.6"/>
    <n v="148.30000000000001"/>
    <n v="4000"/>
    <n v="5042.3999999999996"/>
    <n v="1"/>
    <n v="1028.9000000000001"/>
  </r>
  <r>
    <x v="184"/>
    <x v="1"/>
    <n v="26.6"/>
    <n v="8.9"/>
    <n v="0.5"/>
    <n v="885.3"/>
    <n v="0"/>
    <n v="4000"/>
    <n v="4950.1000000000004"/>
    <n v="1"/>
    <n v="885.3"/>
  </r>
  <r>
    <x v="185"/>
    <x v="1"/>
    <n v="23.8"/>
    <n v="32.299999999999997"/>
    <n v="11.3"/>
    <n v="524.70000000000005"/>
    <n v="228.5"/>
    <n v="4000"/>
    <n v="4867.3999999999996"/>
    <n v="1"/>
    <n v="753.2"/>
  </r>
  <r>
    <x v="186"/>
    <x v="1"/>
    <n v="25.5"/>
    <n v="53.2"/>
    <n v="13.5"/>
    <n v="227.3"/>
    <n v="393.9"/>
    <n v="4000"/>
    <n v="7632"/>
    <n v="1"/>
    <n v="621.20000000000005"/>
  </r>
  <r>
    <x v="187"/>
    <x v="1"/>
    <n v="21.8"/>
    <n v="71"/>
    <n v="11.6"/>
    <n v="0"/>
    <n v="251.1"/>
    <n v="4000"/>
    <n v="7793.3"/>
    <n v="1"/>
    <n v="251.1"/>
  </r>
  <r>
    <x v="188"/>
    <x v="1"/>
    <n v="20.9"/>
    <n v="6.2"/>
    <n v="16.100000000000001"/>
    <n v="0"/>
    <n v="666.4"/>
    <n v="4000"/>
    <n v="7800.6"/>
    <n v="1"/>
    <n v="666.4"/>
  </r>
  <r>
    <x v="189"/>
    <x v="1"/>
    <n v="20.3"/>
    <n v="23.3"/>
    <n v="17.600000000000001"/>
    <n v="0"/>
    <n v="876.3"/>
    <n v="4000"/>
    <n v="7756.5"/>
    <n v="1"/>
    <n v="876.3"/>
  </r>
  <r>
    <x v="190"/>
    <x v="1"/>
    <n v="22.2"/>
    <n v="22.5"/>
    <n v="15.2"/>
    <n v="0"/>
    <n v="561"/>
    <n v="4000"/>
    <n v="4771.6000000000004"/>
    <n v="1"/>
    <n v="561"/>
  </r>
  <r>
    <x v="191"/>
    <x v="1"/>
    <n v="20.7"/>
    <n v="31.4"/>
    <n v="11.2"/>
    <n v="0"/>
    <n v="223.9"/>
    <n v="4000"/>
    <n v="4900.7"/>
    <n v="1"/>
    <n v="223.9"/>
  </r>
  <r>
    <x v="192"/>
    <x v="1"/>
    <n v="19"/>
    <n v="63.5"/>
    <n v="9.4"/>
    <n v="0"/>
    <n v="134.30000000000001"/>
    <n v="4000"/>
    <n v="4956.1000000000004"/>
    <n v="1"/>
    <n v="134.30000000000001"/>
  </r>
  <r>
    <x v="193"/>
    <x v="1"/>
    <n v="19.100000000000001"/>
    <n v="0"/>
    <n v="11"/>
    <n v="0"/>
    <n v="215.6"/>
    <n v="4000"/>
    <n v="4915.7"/>
    <n v="1"/>
    <n v="215.6"/>
  </r>
  <r>
    <x v="194"/>
    <x v="1"/>
    <n v="21.3"/>
    <n v="44.5"/>
    <n v="10.7"/>
    <n v="0"/>
    <n v="195.2"/>
    <n v="4000"/>
    <n v="5311.9"/>
    <n v="1"/>
    <n v="195.2"/>
  </r>
  <r>
    <x v="195"/>
    <x v="1"/>
    <n v="21.7"/>
    <n v="15.5"/>
    <n v="17.600000000000001"/>
    <n v="0"/>
    <n v="868.1"/>
    <n v="4000"/>
    <n v="4953.3999999999996"/>
    <n v="1"/>
    <n v="868.1"/>
  </r>
  <r>
    <x v="196"/>
    <x v="1"/>
    <n v="22.7"/>
    <n v="56"/>
    <n v="12.1"/>
    <n v="0"/>
    <n v="283.3"/>
    <n v="4000"/>
    <n v="5057.3"/>
    <n v="1"/>
    <n v="283.3"/>
  </r>
  <r>
    <x v="197"/>
    <x v="1"/>
    <n v="23.6"/>
    <n v="36.1"/>
    <n v="9.1"/>
    <n v="0"/>
    <n v="121.8"/>
    <n v="4000"/>
    <n v="5050.8999999999996"/>
    <n v="1"/>
    <n v="121.8"/>
  </r>
  <r>
    <x v="198"/>
    <x v="1"/>
    <n v="25.5"/>
    <n v="14"/>
    <n v="4.7"/>
    <n v="305.7"/>
    <n v="16.2"/>
    <n v="4000"/>
    <n v="4965.3"/>
    <n v="1"/>
    <n v="321.89999999999998"/>
  </r>
  <r>
    <x v="199"/>
    <x v="1"/>
    <n v="25.1"/>
    <n v="49.3"/>
    <n v="13.2"/>
    <n v="458.2"/>
    <n v="369.7"/>
    <n v="4000"/>
    <n v="4974.7"/>
    <n v="1"/>
    <n v="827.9"/>
  </r>
  <r>
    <x v="200"/>
    <x v="1"/>
    <n v="27.5"/>
    <n v="5"/>
    <n v="7.9"/>
    <n v="907.3"/>
    <n v="77.599999999999994"/>
    <n v="3931.6"/>
    <n v="4916.5"/>
    <n v="0"/>
    <n v="984.9"/>
  </r>
  <r>
    <x v="201"/>
    <x v="1"/>
    <n v="25.2"/>
    <n v="40.6"/>
    <n v="20.3"/>
    <n v="887"/>
    <n v="1339.9"/>
    <n v="2707.6"/>
    <n v="4934.5"/>
    <n v="0"/>
    <n v="2226.9"/>
  </r>
  <r>
    <x v="202"/>
    <x v="1"/>
    <n v="27.7"/>
    <n v="13.5"/>
    <n v="8.9"/>
    <n v="1242"/>
    <n v="113.5"/>
    <n v="4000"/>
    <n v="7153.1"/>
    <n v="1"/>
    <n v="1355.5"/>
  </r>
  <r>
    <x v="203"/>
    <x v="1"/>
    <n v="27.5"/>
    <n v="77"/>
    <n v="14.8"/>
    <n v="786.4"/>
    <n v="517.5"/>
    <n v="4000"/>
    <n v="7093.7"/>
    <n v="1"/>
    <n v="1303.9000000000001"/>
  </r>
  <r>
    <x v="204"/>
    <x v="1"/>
    <n v="28.2"/>
    <n v="57.5"/>
    <n v="17.7"/>
    <n v="982.9"/>
    <n v="887.3"/>
    <n v="4000"/>
    <n v="6983.3"/>
    <n v="1"/>
    <n v="1870.1999999999998"/>
  </r>
  <r>
    <x v="205"/>
    <x v="1"/>
    <n v="26.8"/>
    <n v="24.7"/>
    <n v="5.7"/>
    <n v="1245.4000000000001"/>
    <n v="29.8"/>
    <n v="4000"/>
    <n v="7387.1"/>
    <n v="1"/>
    <n v="1275.2"/>
  </r>
  <r>
    <x v="206"/>
    <x v="1"/>
    <n v="27.9"/>
    <n v="69.7"/>
    <n v="11.6"/>
    <n v="786.4"/>
    <n v="251.1"/>
    <n v="4000"/>
    <n v="7114.9"/>
    <n v="1"/>
    <n v="1037.5"/>
  </r>
  <r>
    <x v="207"/>
    <x v="1"/>
    <n v="27"/>
    <n v="24.1"/>
    <n v="22.4"/>
    <n v="1003"/>
    <n v="1809.8"/>
    <n v="2089.1999999999998"/>
    <n v="4902"/>
    <n v="0"/>
    <n v="2812.8"/>
  </r>
  <r>
    <x v="208"/>
    <x v="1"/>
    <n v="26.2"/>
    <n v="95.6"/>
    <n v="12"/>
    <n v="398.8"/>
    <n v="278.8"/>
    <n v="4000"/>
    <n v="4708.8999999999996"/>
    <n v="1"/>
    <n v="677.6"/>
  </r>
  <r>
    <x v="209"/>
    <x v="1"/>
    <n v="24.7"/>
    <n v="40.5"/>
    <n v="18.899999999999999"/>
    <n v="492.7"/>
    <n v="1074.0999999999999"/>
    <n v="3354.7"/>
    <n v="4921.5"/>
    <n v="0"/>
    <n v="1566.8"/>
  </r>
  <r>
    <x v="210"/>
    <x v="1"/>
    <n v="25.5"/>
    <n v="9.4"/>
    <n v="10.7"/>
    <n v="315"/>
    <n v="194.2"/>
    <n v="4000"/>
    <n v="7368.2"/>
    <n v="1"/>
    <n v="509.2"/>
  </r>
  <r>
    <x v="211"/>
    <x v="1"/>
    <n v="23.6"/>
    <n v="5"/>
    <n v="14.3"/>
    <n v="0"/>
    <n v="468.9"/>
    <n v="4000"/>
    <n v="7635.6"/>
    <n v="1"/>
    <n v="468.9"/>
  </r>
  <r>
    <x v="212"/>
    <x v="1"/>
    <n v="20.6"/>
    <n v="49.7"/>
    <n v="8.6999999999999993"/>
    <n v="0"/>
    <n v="105"/>
    <n v="4000"/>
    <n v="8003.6"/>
    <n v="1"/>
    <n v="105"/>
  </r>
  <r>
    <x v="213"/>
    <x v="1"/>
    <n v="21.2"/>
    <n v="29"/>
    <n v="14.4"/>
    <n v="0"/>
    <n v="481.7"/>
    <n v="4000"/>
    <n v="7763.9"/>
    <n v="1"/>
    <n v="481.7"/>
  </r>
  <r>
    <x v="214"/>
    <x v="1"/>
    <n v="20.3"/>
    <n v="63"/>
    <n v="5.5"/>
    <n v="0"/>
    <n v="27.1"/>
    <n v="4000"/>
    <n v="5220.7"/>
    <n v="1"/>
    <n v="27.1"/>
  </r>
  <r>
    <x v="215"/>
    <x v="1"/>
    <n v="20.6"/>
    <n v="82.1"/>
    <n v="13.8"/>
    <n v="0"/>
    <n v="418.5"/>
    <n v="4000"/>
    <n v="4806.5"/>
    <n v="1"/>
    <n v="418.5"/>
  </r>
  <r>
    <x v="216"/>
    <x v="1"/>
    <n v="20"/>
    <n v="13.7"/>
    <n v="15"/>
    <n v="0"/>
    <n v="542.4"/>
    <n v="4000"/>
    <n v="4903"/>
    <n v="1"/>
    <n v="542.4"/>
  </r>
  <r>
    <x v="217"/>
    <x v="1"/>
    <n v="19.7"/>
    <n v="33.200000000000003"/>
    <n v="13.3"/>
    <n v="0"/>
    <n v="378.9"/>
    <n v="4000"/>
    <n v="5082.3"/>
    <n v="1"/>
    <n v="378.9"/>
  </r>
  <r>
    <x v="218"/>
    <x v="1"/>
    <n v="20.5"/>
    <n v="97.5"/>
    <n v="10.8"/>
    <n v="0"/>
    <n v="199.6"/>
    <n v="4000"/>
    <n v="4884.5"/>
    <n v="1"/>
    <n v="199.6"/>
  </r>
  <r>
    <x v="219"/>
    <x v="1"/>
    <n v="20.5"/>
    <n v="63.6"/>
    <n v="11.1"/>
    <n v="0"/>
    <n v="218.5"/>
    <n v="4000"/>
    <n v="4896.2"/>
    <n v="1"/>
    <n v="218.5"/>
  </r>
  <r>
    <x v="220"/>
    <x v="1"/>
    <n v="23.3"/>
    <n v="80.5"/>
    <n v="9"/>
    <n v="0"/>
    <n v="116.6"/>
    <n v="4000"/>
    <n v="4852.6000000000004"/>
    <n v="1"/>
    <n v="116.6"/>
  </r>
  <r>
    <x v="221"/>
    <x v="1"/>
    <n v="24"/>
    <n v="27.9"/>
    <n v="16"/>
    <n v="0"/>
    <n v="649.6"/>
    <n v="4000"/>
    <n v="4670"/>
    <n v="1"/>
    <n v="649.6"/>
  </r>
  <r>
    <x v="222"/>
    <x v="1"/>
    <n v="24.9"/>
    <n v="14.7"/>
    <n v="15.7"/>
    <n v="304.3"/>
    <n v="613.70000000000005"/>
    <n v="3736.5"/>
    <n v="4654.5"/>
    <n v="0"/>
    <n v="918"/>
  </r>
  <r>
    <x v="223"/>
    <x v="1"/>
    <n v="24.1"/>
    <n v="34.799999999999997"/>
    <n v="15.4"/>
    <n v="514.79999999999995"/>
    <n v="588"/>
    <n v="3849.3"/>
    <n v="4952.1000000000004"/>
    <n v="0"/>
    <n v="1102.8"/>
  </r>
  <r>
    <x v="224"/>
    <x v="1"/>
    <n v="26.6"/>
    <n v="94.4"/>
    <n v="4.2"/>
    <n v="405.5"/>
    <n v="11.7"/>
    <n v="4000"/>
    <n v="4965.8999999999996"/>
    <n v="1"/>
    <n v="417.2"/>
  </r>
  <r>
    <x v="225"/>
    <x v="1"/>
    <n v="26.9"/>
    <n v="22.5"/>
    <n v="5.3"/>
    <n v="1014.2"/>
    <n v="24.5"/>
    <n v="4000"/>
    <n v="5192.6000000000004"/>
    <n v="1"/>
    <n v="1038.7"/>
  </r>
  <r>
    <x v="226"/>
    <x v="1"/>
    <n v="28.4"/>
    <n v="41.8"/>
    <n v="19.600000000000001"/>
    <n v="1012.4"/>
    <n v="1196.5999999999999"/>
    <n v="4000"/>
    <n v="7121.6"/>
    <n v="1"/>
    <n v="2209"/>
  </r>
  <r>
    <x v="227"/>
    <x v="1"/>
    <n v="27.9"/>
    <n v="13.7"/>
    <n v="13.8"/>
    <n v="1342.3"/>
    <n v="422.2"/>
    <n v="4000"/>
    <n v="6932.3"/>
    <n v="1"/>
    <n v="1764.5"/>
  </r>
  <r>
    <x v="228"/>
    <x v="1"/>
    <n v="27.6"/>
    <n v="0"/>
    <n v="13"/>
    <n v="1500"/>
    <n v="351.1"/>
    <n v="4000"/>
    <n v="7283"/>
    <n v="1"/>
    <n v="1851.1"/>
  </r>
  <r>
    <x v="229"/>
    <x v="1"/>
    <n v="28.3"/>
    <n v="75.900000000000006"/>
    <n v="6.6"/>
    <n v="796.5"/>
    <n v="46.9"/>
    <n v="4000"/>
    <n v="7215.5"/>
    <n v="1"/>
    <n v="843.4"/>
  </r>
  <r>
    <x v="230"/>
    <x v="1"/>
    <n v="28.7"/>
    <n v="0.5"/>
    <n v="13.6"/>
    <n v="1347.1"/>
    <n v="402.3"/>
    <n v="4000"/>
    <n v="7252"/>
    <n v="1"/>
    <n v="1749.3999999999999"/>
  </r>
  <r>
    <x v="231"/>
    <x v="1"/>
    <n v="26.7"/>
    <n v="53.7"/>
    <n v="9.6"/>
    <n v="794.9"/>
    <n v="140"/>
    <n v="3939.5"/>
    <n v="4874.3999999999996"/>
    <n v="0"/>
    <n v="934.9"/>
  </r>
  <r>
    <x v="232"/>
    <x v="1"/>
    <n v="26"/>
    <n v="17.8"/>
    <n v="6.6"/>
    <n v="835.2"/>
    <n v="45.4"/>
    <n v="3968"/>
    <n v="4848.6000000000004"/>
    <n v="0"/>
    <n v="880.6"/>
  </r>
  <r>
    <x v="233"/>
    <x v="1"/>
    <n v="23.9"/>
    <n v="61.7"/>
    <n v="14.3"/>
    <n v="410.1"/>
    <n v="469.1"/>
    <n v="4000"/>
    <n v="5051.8999999999996"/>
    <n v="1"/>
    <n v="879.2"/>
  </r>
  <r>
    <x v="234"/>
    <x v="1"/>
    <n v="23.3"/>
    <n v="74.900000000000006"/>
    <n v="7.1"/>
    <n v="183.9"/>
    <n v="57.1"/>
    <n v="4000"/>
    <n v="7441.1"/>
    <n v="1"/>
    <n v="241"/>
  </r>
  <r>
    <x v="235"/>
    <x v="1"/>
    <n v="23.4"/>
    <n v="64.599999999999994"/>
    <n v="10.7"/>
    <n v="0"/>
    <n v="198.3"/>
    <n v="4000"/>
    <n v="7630.3"/>
    <n v="1"/>
    <n v="198.3"/>
  </r>
  <r>
    <x v="236"/>
    <x v="1"/>
    <n v="23.4"/>
    <n v="88.5"/>
    <n v="16.899999999999999"/>
    <n v="0"/>
    <n v="771.5"/>
    <n v="4000"/>
    <n v="7610.4"/>
    <n v="1"/>
    <n v="771.5"/>
  </r>
  <r>
    <x v="237"/>
    <x v="1"/>
    <n v="20.399999999999999"/>
    <n v="24.2"/>
    <n v="14.6"/>
    <n v="0"/>
    <n v="499.2"/>
    <n v="4000"/>
    <n v="7712.8"/>
    <n v="1"/>
    <n v="499.2"/>
  </r>
  <r>
    <x v="238"/>
    <x v="1"/>
    <n v="21.9"/>
    <n v="61.3"/>
    <n v="4.5"/>
    <n v="0"/>
    <n v="14.4"/>
    <n v="4000"/>
    <n v="5012.8"/>
    <n v="1"/>
    <n v="14.4"/>
  </r>
  <r>
    <x v="239"/>
    <x v="1"/>
    <n v="19.100000000000001"/>
    <n v="35.4"/>
    <n v="13.3"/>
    <n v="0"/>
    <n v="372.3"/>
    <n v="4000"/>
    <n v="5107.8"/>
    <n v="1"/>
    <n v="372.3"/>
  </r>
  <r>
    <x v="240"/>
    <x v="1"/>
    <n v="23.1"/>
    <n v="60.2"/>
    <n v="11.1"/>
    <n v="0"/>
    <n v="217.9"/>
    <n v="4000"/>
    <n v="5249.4"/>
    <n v="1"/>
    <n v="217.9"/>
  </r>
  <r>
    <x v="241"/>
    <x v="1"/>
    <n v="21"/>
    <n v="37"/>
    <n v="21"/>
    <n v="0"/>
    <n v="1476.7"/>
    <n v="3553.5"/>
    <n v="5030.2"/>
    <n v="0"/>
    <n v="1476.7"/>
  </r>
  <r>
    <x v="242"/>
    <x v="1"/>
    <n v="21"/>
    <n v="61.6"/>
    <n v="14.1"/>
    <n v="0"/>
    <n v="449.3"/>
    <n v="4000"/>
    <n v="4984.5"/>
    <n v="1"/>
    <n v="449.3"/>
  </r>
  <r>
    <x v="243"/>
    <x v="1"/>
    <n v="20.6"/>
    <n v="31"/>
    <n v="6.5"/>
    <n v="0"/>
    <n v="43.9"/>
    <n v="4000"/>
    <n v="5075.8"/>
    <n v="1"/>
    <n v="43.9"/>
  </r>
  <r>
    <x v="244"/>
    <x v="1"/>
    <n v="22.8"/>
    <n v="56.4"/>
    <n v="20.399999999999999"/>
    <n v="0"/>
    <n v="1352.9"/>
    <n v="3663"/>
    <n v="5015.8999999999996"/>
    <n v="0"/>
    <n v="1352.9"/>
  </r>
  <r>
    <x v="245"/>
    <x v="1"/>
    <n v="23.6"/>
    <n v="17.7"/>
    <n v="10.1"/>
    <n v="0"/>
    <n v="163.1"/>
    <n v="4000"/>
    <n v="4949.2"/>
    <n v="1"/>
    <n v="163.1"/>
  </r>
  <r>
    <x v="246"/>
    <x v="1"/>
    <n v="24.8"/>
    <n v="37.700000000000003"/>
    <n v="11.6"/>
    <n v="258.39999999999998"/>
    <n v="252.5"/>
    <n v="4000"/>
    <n v="5054.3"/>
    <n v="1"/>
    <n v="510.9"/>
  </r>
  <r>
    <x v="247"/>
    <x v="1"/>
    <n v="24.7"/>
    <n v="67.3"/>
    <n v="14.9"/>
    <n v="388.2"/>
    <n v="526.70000000000005"/>
    <n v="3807.4"/>
    <n v="4722.3"/>
    <n v="0"/>
    <n v="914.90000000000009"/>
  </r>
  <r>
    <x v="248"/>
    <x v="1"/>
    <n v="26"/>
    <n v="45.2"/>
    <n v="8.6999999999999993"/>
    <n v="681.7"/>
    <n v="105.3"/>
    <n v="4000"/>
    <n v="5025.1000000000004"/>
    <n v="1"/>
    <n v="787"/>
  </r>
  <r>
    <x v="249"/>
    <x v="1"/>
    <n v="27.2"/>
    <n v="57.3"/>
    <n v="9.4"/>
    <n v="769.6"/>
    <n v="131.6"/>
    <n v="4000"/>
    <n v="5054.8"/>
    <n v="1"/>
    <n v="901.2"/>
  </r>
  <r>
    <x v="250"/>
    <x v="1"/>
    <n v="28.6"/>
    <n v="33"/>
    <n v="7.7"/>
    <n v="1083.5999999999999"/>
    <n v="72.7"/>
    <n v="4000"/>
    <n v="6827"/>
    <n v="1"/>
    <n v="1156.3"/>
  </r>
  <r>
    <x v="251"/>
    <x v="1"/>
    <n v="27.5"/>
    <n v="71.5"/>
    <n v="15.1"/>
    <n v="835"/>
    <n v="549.20000000000005"/>
    <n v="4000"/>
    <n v="7254"/>
    <n v="1"/>
    <n v="1384.2"/>
  </r>
  <r>
    <x v="252"/>
    <x v="1"/>
    <n v="26.6"/>
    <n v="75.3"/>
    <n v="13.3"/>
    <n v="822.3"/>
    <n v="377"/>
    <n v="4000"/>
    <n v="7252.5"/>
    <n v="1"/>
    <n v="1199.3"/>
  </r>
  <r>
    <x v="253"/>
    <x v="1"/>
    <n v="28"/>
    <n v="0.6"/>
    <n v="14"/>
    <n v="1457.2"/>
    <n v="443.1"/>
    <n v="4000"/>
    <n v="7094.6"/>
    <n v="1"/>
    <n v="1900.3000000000002"/>
  </r>
  <r>
    <x v="254"/>
    <x v="1"/>
    <n v="26.1"/>
    <n v="6.9"/>
    <n v="17.600000000000001"/>
    <n v="1295.2"/>
    <n v="866.9"/>
    <n v="4000"/>
    <n v="6995.6"/>
    <n v="1"/>
    <n v="2162.1"/>
  </r>
  <r>
    <x v="255"/>
    <x v="1"/>
    <n v="28.4"/>
    <n v="31.6"/>
    <n v="3.5"/>
    <n v="950.4"/>
    <n v="6.6"/>
    <n v="3898.6"/>
    <n v="4855.6000000000004"/>
    <n v="0"/>
    <n v="957"/>
  </r>
  <r>
    <x v="256"/>
    <x v="1"/>
    <n v="27.2"/>
    <n v="41.1"/>
    <n v="9.3000000000000007"/>
    <n v="704.6"/>
    <n v="127"/>
    <n v="3950.9"/>
    <n v="4782.5"/>
    <n v="0"/>
    <n v="831.6"/>
  </r>
  <r>
    <x v="257"/>
    <x v="1"/>
    <n v="25.5"/>
    <n v="72.900000000000006"/>
    <n v="19.2"/>
    <n v="366"/>
    <n v="1140"/>
    <n v="3468"/>
    <n v="4974"/>
    <n v="0"/>
    <n v="1506"/>
  </r>
  <r>
    <x v="258"/>
    <x v="1"/>
    <n v="22.7"/>
    <n v="34.700000000000003"/>
    <n v="13.3"/>
    <n v="264.39999999999998"/>
    <n v="376.5"/>
    <n v="4000"/>
    <n v="7646"/>
    <n v="1"/>
    <n v="640.9"/>
  </r>
  <r>
    <x v="259"/>
    <x v="1"/>
    <n v="22"/>
    <n v="53.6"/>
    <n v="11.8"/>
    <n v="0"/>
    <n v="260"/>
    <n v="4000"/>
    <n v="7555.4"/>
    <n v="1"/>
    <n v="260"/>
  </r>
  <r>
    <x v="260"/>
    <x v="1"/>
    <n v="21.2"/>
    <n v="39.200000000000003"/>
    <n v="7.4"/>
    <n v="0"/>
    <n v="64.3"/>
    <n v="4000"/>
    <n v="7704.9"/>
    <n v="1"/>
    <n v="64.3"/>
  </r>
  <r>
    <x v="261"/>
    <x v="1"/>
    <n v="22.2"/>
    <n v="0"/>
    <n v="7.4"/>
    <n v="0"/>
    <n v="63.6"/>
    <n v="4000"/>
    <n v="7833.5"/>
    <n v="1"/>
    <n v="63.6"/>
  </r>
  <r>
    <x v="262"/>
    <x v="1"/>
    <n v="19.899999999999999"/>
    <n v="42.9"/>
    <n v="4.8"/>
    <n v="0"/>
    <n v="17.2"/>
    <n v="4000"/>
    <n v="4725.5"/>
    <n v="1"/>
    <n v="17.2"/>
  </r>
  <r>
    <x v="263"/>
    <x v="1"/>
    <n v="19.100000000000001"/>
    <n v="50.2"/>
    <n v="12.3"/>
    <n v="0"/>
    <n v="301.10000000000002"/>
    <n v="4000"/>
    <n v="4811.7"/>
    <n v="1"/>
    <n v="301.10000000000002"/>
  </r>
  <r>
    <x v="264"/>
    <x v="1"/>
    <n v="20.2"/>
    <n v="31.3"/>
    <n v="10.6"/>
    <n v="0"/>
    <n v="192.8"/>
    <n v="4000"/>
    <n v="4211.7"/>
    <n v="1"/>
    <n v="192.8"/>
  </r>
  <r>
    <x v="265"/>
    <x v="1"/>
    <n v="21.5"/>
    <n v="12.5"/>
    <n v="16.100000000000001"/>
    <n v="0"/>
    <n v="673.8"/>
    <n v="3897.2"/>
    <n v="4571"/>
    <n v="0"/>
    <n v="673.8"/>
  </r>
  <r>
    <x v="266"/>
    <x v="1"/>
    <n v="19.399999999999999"/>
    <n v="65.5"/>
    <n v="19.7"/>
    <n v="0"/>
    <n v="1221.3"/>
    <n v="3220.4"/>
    <n v="4441.7"/>
    <n v="0"/>
    <n v="1221.3"/>
  </r>
  <r>
    <x v="267"/>
    <x v="1"/>
    <n v="20.3"/>
    <n v="70.400000000000006"/>
    <n v="13.4"/>
    <n v="0"/>
    <n v="381.3"/>
    <n v="3770.3"/>
    <n v="4151.6000000000004"/>
    <n v="0"/>
    <n v="381.3"/>
  </r>
  <r>
    <x v="268"/>
    <x v="1"/>
    <n v="22.3"/>
    <n v="54.8"/>
    <n v="5.4"/>
    <n v="0"/>
    <n v="24.7"/>
    <n v="4000"/>
    <n v="4402.7"/>
    <n v="1"/>
    <n v="24.7"/>
  </r>
  <r>
    <x v="269"/>
    <x v="1"/>
    <n v="24.1"/>
    <n v="39.299999999999997"/>
    <n v="11.8"/>
    <n v="0"/>
    <n v="261.7"/>
    <n v="4000"/>
    <n v="4477.1000000000004"/>
    <n v="1"/>
    <n v="261.7"/>
  </r>
  <r>
    <x v="270"/>
    <x v="1"/>
    <n v="24.5"/>
    <n v="59.3"/>
    <n v="11.7"/>
    <n v="215"/>
    <n v="255.5"/>
    <n v="3619.8"/>
    <n v="4090.3"/>
    <n v="0"/>
    <n v="470.5"/>
  </r>
  <r>
    <x v="271"/>
    <x v="1"/>
    <n v="24.7"/>
    <n v="59.1"/>
    <n v="6.9"/>
    <n v="420"/>
    <n v="52.6"/>
    <n v="4000"/>
    <n v="4488.7"/>
    <n v="1"/>
    <n v="472.6"/>
  </r>
  <r>
    <x v="272"/>
    <x v="1"/>
    <n v="25.8"/>
    <n v="50.6"/>
    <n v="10.199999999999999"/>
    <n v="651.1"/>
    <n v="167.4"/>
    <n v="3498"/>
    <n v="4316.5"/>
    <n v="0"/>
    <n v="818.5"/>
  </r>
  <r>
    <x v="273"/>
    <x v="1"/>
    <n v="27.7"/>
    <n v="34.1"/>
    <n v="4"/>
    <n v="932.9"/>
    <n v="10"/>
    <n v="3357.4"/>
    <n v="4300.3"/>
    <n v="0"/>
    <n v="942.9"/>
  </r>
  <r>
    <x v="274"/>
    <x v="1"/>
    <n v="28.8"/>
    <n v="12.7"/>
    <n v="15.4"/>
    <n v="1248.5"/>
    <n v="589.9"/>
    <n v="4000"/>
    <n v="6502.4"/>
    <n v="1"/>
    <n v="1838.4"/>
  </r>
  <r>
    <x v="275"/>
    <x v="1"/>
    <n v="28.1"/>
    <n v="52.4"/>
    <n v="10.8"/>
    <n v="1003"/>
    <n v="203.1"/>
    <n v="4000"/>
    <n v="6164.6"/>
    <n v="1"/>
    <n v="1206.0999999999999"/>
  </r>
  <r>
    <x v="276"/>
    <x v="1"/>
    <n v="27.3"/>
    <n v="22.1"/>
    <n v="7.8"/>
    <n v="1301.0999999999999"/>
    <n v="77.099999999999994"/>
    <n v="4000"/>
    <n v="6122.4"/>
    <n v="1"/>
    <n v="1378.1999999999998"/>
  </r>
  <r>
    <x v="277"/>
    <x v="1"/>
    <n v="27.1"/>
    <n v="62.1"/>
    <n v="19.399999999999999"/>
    <n v="917.9"/>
    <n v="1174.8"/>
    <n v="4000"/>
    <n v="6229.9"/>
    <n v="1"/>
    <n v="2092.6999999999998"/>
  </r>
  <r>
    <x v="278"/>
    <x v="1"/>
    <n v="27.7"/>
    <n v="57.5"/>
    <n v="14.4"/>
    <n v="885.3"/>
    <n v="473.8"/>
    <n v="4000"/>
    <n v="6153"/>
    <n v="1"/>
    <n v="1359.1"/>
  </r>
  <r>
    <x v="279"/>
    <x v="1"/>
    <n v="27.6"/>
    <n v="57.1"/>
    <n v="5.8"/>
    <n v="771.3"/>
    <n v="31.4"/>
    <n v="3528.7"/>
    <n v="4331.3999999999996"/>
    <n v="0"/>
    <n v="802.69999999999993"/>
  </r>
  <r>
    <x v="280"/>
    <x v="1"/>
    <n v="26.9"/>
    <n v="25.9"/>
    <n v="12.2"/>
    <n v="789.8"/>
    <n v="289.8"/>
    <n v="3370.8"/>
    <n v="4450.3999999999996"/>
    <n v="0"/>
    <n v="1079.5999999999999"/>
  </r>
  <r>
    <x v="281"/>
    <x v="1"/>
    <n v="24.8"/>
    <n v="71.8"/>
    <n v="23.8"/>
    <n v="370.4"/>
    <n v="2162.3000000000002"/>
    <n v="1889.8"/>
    <n v="4422.5"/>
    <n v="0"/>
    <n v="2532.7000000000003"/>
  </r>
  <r>
    <x v="282"/>
    <x v="1"/>
    <n v="22.6"/>
    <n v="52.6"/>
    <n v="15.6"/>
    <n v="228.4"/>
    <n v="608.29999999999995"/>
    <n v="4000"/>
    <n v="6602.1"/>
    <n v="1"/>
    <n v="836.69999999999993"/>
  </r>
  <r>
    <x v="283"/>
    <x v="1"/>
    <n v="24.4"/>
    <n v="11.5"/>
    <n v="15.5"/>
    <n v="0"/>
    <n v="591.70000000000005"/>
    <n v="4000"/>
    <n v="6685.4"/>
    <n v="1"/>
    <n v="591.70000000000005"/>
  </r>
  <r>
    <x v="284"/>
    <x v="1"/>
    <n v="23.7"/>
    <n v="94.8"/>
    <n v="8.1999999999999993"/>
    <n v="0"/>
    <n v="87.1"/>
    <n v="4000"/>
    <n v="6629.1"/>
    <n v="1"/>
    <n v="87.1"/>
  </r>
  <r>
    <x v="285"/>
    <x v="1"/>
    <n v="22"/>
    <n v="35.299999999999997"/>
    <n v="11.8"/>
    <n v="0"/>
    <n v="261.10000000000002"/>
    <n v="4000"/>
    <n v="6637.6"/>
    <n v="1"/>
    <n v="261.10000000000002"/>
  </r>
  <r>
    <x v="286"/>
    <x v="1"/>
    <n v="18.600000000000001"/>
    <n v="44.7"/>
    <n v="8.6"/>
    <n v="0"/>
    <n v="100.1"/>
    <n v="4000"/>
    <n v="4323.8"/>
    <n v="1"/>
    <n v="100.1"/>
  </r>
  <r>
    <x v="287"/>
    <x v="1"/>
    <n v="21.6"/>
    <n v="13.6"/>
    <n v="16.100000000000001"/>
    <n v="0"/>
    <n v="663.5"/>
    <n v="3582.5"/>
    <n v="4246"/>
    <n v="0"/>
    <n v="663.5"/>
  </r>
  <r>
    <x v="288"/>
    <x v="1"/>
    <n v="19.7"/>
    <n v="64.8"/>
    <n v="13.7"/>
    <n v="0"/>
    <n v="411.4"/>
    <n v="3866.8"/>
    <n v="4278.2"/>
    <n v="0"/>
    <n v="411.4"/>
  </r>
  <r>
    <x v="289"/>
    <x v="1"/>
    <n v="21.1"/>
    <n v="36.700000000000003"/>
    <n v="8.9"/>
    <n v="0"/>
    <n v="114.3"/>
    <n v="4000"/>
    <n v="4405.6000000000004"/>
    <n v="1"/>
    <n v="114.3"/>
  </r>
  <r>
    <x v="290"/>
    <x v="1"/>
    <n v="19.7"/>
    <n v="100"/>
    <n v="18.2"/>
    <n v="0"/>
    <n v="968.3"/>
    <n v="3188.9"/>
    <n v="4157.2"/>
    <n v="0"/>
    <n v="968.3"/>
  </r>
  <r>
    <x v="291"/>
    <x v="1"/>
    <n v="19.8"/>
    <n v="57"/>
    <n v="14.7"/>
    <n v="0"/>
    <n v="512"/>
    <n v="3605.3"/>
    <n v="4117.3"/>
    <n v="0"/>
    <n v="512"/>
  </r>
  <r>
    <x v="292"/>
    <x v="1"/>
    <n v="21.7"/>
    <n v="41.9"/>
    <n v="13.6"/>
    <n v="0"/>
    <n v="406"/>
    <n v="3996.3"/>
    <n v="4402.3"/>
    <n v="0"/>
    <n v="406"/>
  </r>
  <r>
    <x v="293"/>
    <x v="1"/>
    <n v="20.7"/>
    <n v="39.299999999999997"/>
    <n v="7.7"/>
    <n v="0"/>
    <n v="74.3"/>
    <n v="4000"/>
    <n v="4332.8999999999996"/>
    <n v="1"/>
    <n v="74.3"/>
  </r>
  <r>
    <x v="294"/>
    <x v="1"/>
    <n v="27"/>
    <n v="54.2"/>
    <n v="10.4"/>
    <n v="225.3"/>
    <n v="181.7"/>
    <n v="3939.3"/>
    <n v="4346.3"/>
    <n v="0"/>
    <n v="407"/>
  </r>
  <r>
    <x v="295"/>
    <x v="1"/>
    <n v="25.5"/>
    <n v="55.5"/>
    <n v="15"/>
    <n v="434.1"/>
    <n v="543.70000000000005"/>
    <n v="3480.5"/>
    <n v="4458.3"/>
    <n v="0"/>
    <n v="977.80000000000007"/>
  </r>
  <r>
    <x v="296"/>
    <x v="1"/>
    <n v="24.9"/>
    <n v="56.8"/>
    <n v="7.4"/>
    <n v="616.29999999999995"/>
    <n v="64"/>
    <n v="3948.2"/>
    <n v="4628.5"/>
    <n v="0"/>
    <n v="680.3"/>
  </r>
  <r>
    <x v="297"/>
    <x v="1"/>
    <n v="25.9"/>
    <n v="34.6"/>
    <n v="10.5"/>
    <n v="929.5"/>
    <n v="186.5"/>
    <n v="3287.3"/>
    <n v="4403.3"/>
    <n v="0"/>
    <n v="1116"/>
  </r>
  <r>
    <x v="298"/>
    <x v="1"/>
    <n v="28.4"/>
    <n v="13.9"/>
    <n v="12.3"/>
    <n v="1239.0999999999999"/>
    <n v="295.89999999999998"/>
    <n v="4000"/>
    <n v="6386.4"/>
    <n v="1"/>
    <n v="1535"/>
  </r>
  <r>
    <x v="299"/>
    <x v="1"/>
    <n v="26.6"/>
    <n v="39.6"/>
    <n v="10.5"/>
    <n v="1115.2"/>
    <n v="183"/>
    <n v="4000"/>
    <n v="6133.6"/>
    <n v="1"/>
    <n v="1298.2"/>
  </r>
  <r>
    <x v="300"/>
    <x v="1"/>
    <n v="28.4"/>
    <n v="10.6"/>
    <n v="9.1999999999999993"/>
    <n v="1405"/>
    <n v="123.6"/>
    <n v="4000"/>
    <n v="6604"/>
    <n v="1"/>
    <n v="1528.6"/>
  </r>
  <r>
    <x v="301"/>
    <x v="1"/>
    <n v="30"/>
    <n v="5.4"/>
    <n v="2.6"/>
    <n v="1415.4"/>
    <n v="2.8"/>
    <n v="4000"/>
    <n v="6393.2"/>
    <n v="1"/>
    <n v="1418.2"/>
  </r>
  <r>
    <x v="302"/>
    <x v="1"/>
    <n v="27.9"/>
    <n v="23.3"/>
    <n v="14.7"/>
    <n v="1162.5999999999999"/>
    <n v="505.5"/>
    <n v="4000"/>
    <n v="6520.6"/>
    <n v="1"/>
    <n v="1668.1"/>
  </r>
  <r>
    <x v="303"/>
    <x v="1"/>
    <n v="26.8"/>
    <n v="53.2"/>
    <n v="16.600000000000001"/>
    <n v="798.4"/>
    <n v="734.7"/>
    <n v="2391.5"/>
    <n v="3924.6"/>
    <n v="0"/>
    <n v="1533.1"/>
  </r>
  <r>
    <x v="304"/>
    <x v="1"/>
    <n v="26.1"/>
    <n v="21.9"/>
    <n v="13.3"/>
    <n v="812.5"/>
    <n v="374.5"/>
    <n v="2980.9"/>
    <n v="4167.8999999999996"/>
    <n v="0"/>
    <n v="1187"/>
  </r>
  <r>
    <x v="305"/>
    <x v="1"/>
    <n v="24.6"/>
    <n v="20.100000000000001"/>
    <n v="15.3"/>
    <n v="572.29999999999995"/>
    <n v="568.1"/>
    <n v="3045.3"/>
    <n v="4185.7"/>
    <n v="0"/>
    <n v="1140.4000000000001"/>
  </r>
  <r>
    <x v="306"/>
    <x v="1"/>
    <n v="23.8"/>
    <n v="46"/>
    <n v="4.8"/>
    <n v="241.7"/>
    <n v="17.2"/>
    <n v="4000"/>
    <n v="6848.8"/>
    <n v="1"/>
    <n v="258.89999999999998"/>
  </r>
  <r>
    <x v="307"/>
    <x v="1"/>
    <n v="22.9"/>
    <n v="100"/>
    <n v="6.4"/>
    <n v="0"/>
    <n v="42.7"/>
    <n v="4000"/>
    <n v="6675"/>
    <n v="1"/>
    <n v="42.7"/>
  </r>
  <r>
    <x v="308"/>
    <x v="1"/>
    <n v="23"/>
    <n v="52"/>
    <n v="20.8"/>
    <n v="0"/>
    <n v="1438.4"/>
    <n v="4000"/>
    <n v="6939.6"/>
    <n v="1"/>
    <n v="1438.4"/>
  </r>
  <r>
    <x v="309"/>
    <x v="1"/>
    <n v="21.6"/>
    <n v="43.7"/>
    <n v="18.100000000000001"/>
    <n v="0"/>
    <n v="951.6"/>
    <n v="4000"/>
    <n v="6775.8"/>
    <n v="1"/>
    <n v="951.6"/>
  </r>
  <r>
    <x v="310"/>
    <x v="1"/>
    <n v="19.899999999999999"/>
    <n v="12"/>
    <n v="11"/>
    <n v="0"/>
    <n v="212.1"/>
    <n v="4000"/>
    <n v="4484.5"/>
    <n v="1"/>
    <n v="212.1"/>
  </r>
  <r>
    <x v="311"/>
    <x v="1"/>
    <n v="20.100000000000001"/>
    <n v="75.900000000000006"/>
    <n v="9.6999999999999993"/>
    <n v="0"/>
    <n v="146.6"/>
    <n v="4000"/>
    <n v="4200"/>
    <n v="1"/>
    <n v="146.6"/>
  </r>
  <r>
    <x v="312"/>
    <x v="1"/>
    <n v="20.100000000000001"/>
    <n v="66.2"/>
    <n v="0.8"/>
    <n v="0"/>
    <n v="0.1"/>
    <n v="4000"/>
    <n v="4943.6000000000004"/>
    <n v="1"/>
    <n v="0.1"/>
  </r>
  <r>
    <x v="313"/>
    <x v="1"/>
    <n v="20.3"/>
    <n v="75"/>
    <n v="9.5"/>
    <n v="0"/>
    <n v="138.9"/>
    <n v="4000"/>
    <n v="4859"/>
    <n v="1"/>
    <n v="138.9"/>
  </r>
  <r>
    <x v="314"/>
    <x v="1"/>
    <n v="21.2"/>
    <n v="29.1"/>
    <n v="6.1"/>
    <n v="0"/>
    <n v="35.5"/>
    <n v="4000"/>
    <n v="4668.5"/>
    <n v="1"/>
    <n v="35.5"/>
  </r>
  <r>
    <x v="315"/>
    <x v="1"/>
    <n v="21"/>
    <n v="29.9"/>
    <n v="1"/>
    <n v="0"/>
    <n v="0.1"/>
    <n v="4000"/>
    <n v="4856.3"/>
    <n v="1"/>
    <n v="0.1"/>
  </r>
  <r>
    <x v="316"/>
    <x v="1"/>
    <n v="23.3"/>
    <n v="61.3"/>
    <n v="6.3"/>
    <n v="0"/>
    <n v="40.200000000000003"/>
    <n v="4000"/>
    <n v="5084.6000000000004"/>
    <n v="1"/>
    <n v="40.200000000000003"/>
  </r>
  <r>
    <x v="317"/>
    <x v="1"/>
    <n v="23"/>
    <n v="60"/>
    <n v="15.3"/>
    <n v="0"/>
    <n v="577.79999999999995"/>
    <n v="4000"/>
    <n v="4919.8"/>
    <n v="1"/>
    <n v="577.79999999999995"/>
  </r>
  <r>
    <x v="318"/>
    <x v="1"/>
    <n v="24.1"/>
    <n v="56.4"/>
    <n v="19.3"/>
    <n v="220.8"/>
    <n v="1146.5"/>
    <n v="3472.6"/>
    <n v="4839.8999999999996"/>
    <n v="0"/>
    <n v="1367.3"/>
  </r>
  <r>
    <x v="319"/>
    <x v="1"/>
    <n v="25.8"/>
    <n v="47.1"/>
    <n v="19.100000000000001"/>
    <n v="466.9"/>
    <n v="1106.5"/>
    <n v="3482.3"/>
    <n v="5055.7"/>
    <n v="0"/>
    <n v="1573.4"/>
  </r>
  <r>
    <x v="320"/>
    <x v="1"/>
    <n v="25.1"/>
    <n v="80.099999999999994"/>
    <n v="15.5"/>
    <n v="485.8"/>
    <n v="594.6"/>
    <n v="3931.1"/>
    <n v="5011.5"/>
    <n v="0"/>
    <n v="1080.4000000000001"/>
  </r>
  <r>
    <x v="321"/>
    <x v="1"/>
    <n v="26.3"/>
    <n v="52.4"/>
    <n v="14.3"/>
    <n v="803.9"/>
    <n v="469.4"/>
    <n v="3610.2"/>
    <n v="4883.5"/>
    <n v="0"/>
    <n v="1273.3"/>
  </r>
  <r>
    <x v="322"/>
    <x v="1"/>
    <n v="27.8"/>
    <n v="87.5"/>
    <n v="17.399999999999999"/>
    <n v="641.9"/>
    <n v="836.8"/>
    <n v="4000"/>
    <n v="7179.6"/>
    <n v="1"/>
    <n v="1478.6999999999998"/>
  </r>
  <r>
    <x v="323"/>
    <x v="1"/>
    <n v="28.8"/>
    <n v="19.2"/>
    <n v="14"/>
    <n v="1294"/>
    <n v="438.1"/>
    <n v="4000"/>
    <n v="7178.6"/>
    <n v="1"/>
    <n v="1732.1"/>
  </r>
  <r>
    <x v="324"/>
    <x v="1"/>
    <n v="27.8"/>
    <n v="23.8"/>
    <n v="8.6999999999999993"/>
    <n v="1285.7"/>
    <n v="106.8"/>
    <n v="4000"/>
    <n v="7421.4"/>
    <n v="1"/>
    <n v="1392.5"/>
  </r>
  <r>
    <x v="325"/>
    <x v="1"/>
    <n v="27.1"/>
    <n v="35.700000000000003"/>
    <n v="5"/>
    <n v="1148.8"/>
    <n v="19.7"/>
    <n v="4000"/>
    <n v="6986.6"/>
    <n v="1"/>
    <n v="1168.5"/>
  </r>
  <r>
    <x v="326"/>
    <x v="1"/>
    <n v="28.4"/>
    <n v="22.3"/>
    <n v="19.600000000000001"/>
    <n v="1170.5999999999999"/>
    <n v="1204.0999999999999"/>
    <n v="4000"/>
    <n v="7152.3"/>
    <n v="1"/>
    <n v="2374.6999999999998"/>
  </r>
  <r>
    <x v="327"/>
    <x v="1"/>
    <n v="27.9"/>
    <n v="28.6"/>
    <n v="16.3"/>
    <n v="971.8"/>
    <n v="689.4"/>
    <n v="3365.4"/>
    <n v="5026.6000000000004"/>
    <n v="0"/>
    <n v="1661.1999999999998"/>
  </r>
  <r>
    <x v="328"/>
    <x v="1"/>
    <n v="26.9"/>
    <n v="49.3"/>
    <n v="14.8"/>
    <n v="658.6"/>
    <n v="515.1"/>
    <n v="3612.5"/>
    <n v="4786.2"/>
    <n v="0"/>
    <n v="1173.7"/>
  </r>
  <r>
    <x v="329"/>
    <x v="1"/>
    <n v="24.1"/>
    <n v="59.9"/>
    <n v="7.3"/>
    <n v="416.8"/>
    <n v="61.2"/>
    <n v="4000"/>
    <n v="4773.7"/>
    <n v="1"/>
    <n v="478"/>
  </r>
  <r>
    <x v="330"/>
    <x v="1"/>
    <n v="22.6"/>
    <n v="66.2"/>
    <n v="5.8"/>
    <n v="201.2"/>
    <n v="31.8"/>
    <n v="4000"/>
    <n v="7769.5"/>
    <n v="1"/>
    <n v="233"/>
  </r>
  <r>
    <x v="331"/>
    <x v="1"/>
    <n v="23.6"/>
    <n v="27.6"/>
    <n v="14.9"/>
    <n v="0"/>
    <n v="530.4"/>
    <n v="4000"/>
    <n v="7782.8"/>
    <n v="1"/>
    <n v="530.4"/>
  </r>
  <r>
    <x v="332"/>
    <x v="1"/>
    <n v="21.5"/>
    <n v="19.8"/>
    <n v="2.2000000000000002"/>
    <n v="0"/>
    <n v="1.7"/>
    <n v="4000"/>
    <n v="7739.1"/>
    <n v="1"/>
    <n v="1.7"/>
  </r>
  <r>
    <x v="333"/>
    <x v="1"/>
    <n v="19.600000000000001"/>
    <n v="47.4"/>
    <n v="10.7"/>
    <n v="0"/>
    <n v="195.1"/>
    <n v="4000"/>
    <n v="7752.4"/>
    <n v="1"/>
    <n v="195.1"/>
  </r>
  <r>
    <x v="334"/>
    <x v="1"/>
    <n v="20.2"/>
    <n v="36.799999999999997"/>
    <n v="15.7"/>
    <n v="0"/>
    <n v="614.4"/>
    <n v="4000"/>
    <n v="5051.8999999999996"/>
    <n v="1"/>
    <n v="614.4"/>
  </r>
  <r>
    <x v="335"/>
    <x v="1"/>
    <n v="20.5"/>
    <n v="56.7"/>
    <n v="4.3"/>
    <n v="0"/>
    <n v="12.9"/>
    <n v="4000"/>
    <n v="5000.3"/>
    <n v="1"/>
    <n v="12.9"/>
  </r>
  <r>
    <x v="0"/>
    <x v="2"/>
    <n v="18.2"/>
    <n v="29.5"/>
    <n v="5.3"/>
    <n v="0"/>
    <n v="14"/>
    <n v="4000"/>
    <n v="5063.5"/>
    <n v="1"/>
    <n v="14"/>
  </r>
  <r>
    <x v="1"/>
    <x v="2"/>
    <n v="16.899999999999999"/>
    <n v="70"/>
    <n v="10.3"/>
    <n v="0"/>
    <n v="104.7"/>
    <n v="4000"/>
    <n v="4944.1000000000004"/>
    <n v="1"/>
    <n v="104.7"/>
  </r>
  <r>
    <x v="2"/>
    <x v="2"/>
    <n v="15"/>
    <n v="78.7"/>
    <n v="10"/>
    <n v="0"/>
    <n v="95.6"/>
    <n v="4000"/>
    <n v="5112.3"/>
    <n v="1"/>
    <n v="95.6"/>
  </r>
  <r>
    <x v="3"/>
    <x v="2"/>
    <n v="20.6"/>
    <n v="100"/>
    <n v="9.1"/>
    <n v="0"/>
    <n v="71.7"/>
    <n v="4000"/>
    <n v="5008"/>
    <n v="1"/>
    <n v="71.7"/>
  </r>
  <r>
    <x v="4"/>
    <x v="2"/>
    <n v="21.6"/>
    <n v="64.3"/>
    <n v="6.1"/>
    <n v="0"/>
    <n v="21.5"/>
    <n v="4000"/>
    <n v="4987.3999999999996"/>
    <n v="1"/>
    <n v="21.5"/>
  </r>
  <r>
    <x v="5"/>
    <x v="2"/>
    <n v="23.8"/>
    <n v="35.4"/>
    <n v="10.6"/>
    <n v="0"/>
    <n v="114.2"/>
    <n v="4000"/>
    <n v="4897.3"/>
    <n v="1"/>
    <n v="114.2"/>
  </r>
  <r>
    <x v="6"/>
    <x v="2"/>
    <n v="19.2"/>
    <n v="71"/>
    <n v="0"/>
    <n v="192.2"/>
    <n v="0"/>
    <n v="4000"/>
    <n v="5025"/>
    <n v="1"/>
    <n v="192.2"/>
  </r>
  <r>
    <x v="7"/>
    <x v="2"/>
    <n v="25.1"/>
    <n v="42.2"/>
    <n v="6.4"/>
    <n v="574.6"/>
    <n v="24.8"/>
    <n v="4000"/>
    <n v="5043.8"/>
    <n v="1"/>
    <n v="599.4"/>
  </r>
  <r>
    <x v="8"/>
    <x v="2"/>
    <n v="23.5"/>
    <n v="28.2"/>
    <n v="10.4"/>
    <n v="965.3"/>
    <n v="109.4"/>
    <n v="4000"/>
    <n v="5243.1"/>
    <n v="1"/>
    <n v="1074.7"/>
  </r>
  <r>
    <x v="9"/>
    <x v="2"/>
    <n v="25.5"/>
    <n v="90.3"/>
    <n v="10"/>
    <n v="433.5"/>
    <n v="96.7"/>
    <n v="4000"/>
    <n v="5244.4"/>
    <n v="1"/>
    <n v="530.20000000000005"/>
  </r>
  <r>
    <x v="10"/>
    <x v="2"/>
    <n v="25.4"/>
    <n v="96.9"/>
    <n v="11.1"/>
    <n v="404.7"/>
    <n v="129.69999999999999"/>
    <n v="4000"/>
    <n v="7038.6"/>
    <n v="1"/>
    <n v="534.4"/>
  </r>
  <r>
    <x v="11"/>
    <x v="2"/>
    <n v="25.1"/>
    <n v="100"/>
    <n v="4.4000000000000004"/>
    <n v="390"/>
    <n v="8.1999999999999993"/>
    <n v="4000"/>
    <n v="7234.4"/>
    <n v="1"/>
    <n v="398.2"/>
  </r>
  <r>
    <x v="12"/>
    <x v="2"/>
    <n v="27.7"/>
    <n v="100"/>
    <n v="8.6"/>
    <n v="400"/>
    <n v="60.3"/>
    <n v="4000"/>
    <n v="7099.7"/>
    <n v="1"/>
    <n v="460.3"/>
  </r>
  <r>
    <x v="13"/>
    <x v="2"/>
    <n v="27.8"/>
    <n v="61.3"/>
    <n v="7.7"/>
    <n v="993.6"/>
    <n v="43.4"/>
    <n v="4000"/>
    <n v="7212.2"/>
    <n v="1"/>
    <n v="1037"/>
  </r>
  <r>
    <x v="14"/>
    <x v="2"/>
    <n v="25.7"/>
    <n v="67.2"/>
    <n v="2.5"/>
    <n v="832.6"/>
    <n v="1.6"/>
    <n v="4000"/>
    <n v="6770.6"/>
    <n v="1"/>
    <n v="834.2"/>
  </r>
  <r>
    <x v="15"/>
    <x v="2"/>
    <n v="25.1"/>
    <n v="100"/>
    <n v="10.7"/>
    <n v="312.7"/>
    <n v="118.2"/>
    <n v="4000"/>
    <n v="5007.8999999999996"/>
    <n v="1"/>
    <n v="430.9"/>
  </r>
  <r>
    <x v="16"/>
    <x v="2"/>
    <n v="24.2"/>
    <n v="57.8"/>
    <n v="4.5999999999999996"/>
    <n v="670.6"/>
    <n v="9.6"/>
    <n v="4000"/>
    <n v="4880.1000000000004"/>
    <n v="1"/>
    <n v="680.2"/>
  </r>
  <r>
    <x v="17"/>
    <x v="2"/>
    <n v="21.8"/>
    <n v="26.1"/>
    <n v="7.9"/>
    <n v="686.7"/>
    <n v="46.8"/>
    <n v="4000"/>
    <n v="4979.3"/>
    <n v="1"/>
    <n v="733.5"/>
  </r>
  <r>
    <x v="18"/>
    <x v="2"/>
    <n v="20.399999999999999"/>
    <n v="86.9"/>
    <n v="4.0999999999999996"/>
    <n v="135.80000000000001"/>
    <n v="6.6"/>
    <n v="4000"/>
    <n v="7794.4"/>
    <n v="1"/>
    <n v="142.4"/>
  </r>
  <r>
    <x v="19"/>
    <x v="2"/>
    <n v="22.3"/>
    <n v="59"/>
    <n v="7.4"/>
    <n v="0"/>
    <n v="38.299999999999997"/>
    <n v="4000"/>
    <n v="7738"/>
    <n v="1"/>
    <n v="38.299999999999997"/>
  </r>
  <r>
    <x v="20"/>
    <x v="2"/>
    <n v="19.100000000000001"/>
    <n v="53.8"/>
    <n v="3.8"/>
    <n v="0"/>
    <n v="5.0999999999999996"/>
    <n v="4000"/>
    <n v="7622.5"/>
    <n v="1"/>
    <n v="5.0999999999999996"/>
  </r>
  <r>
    <x v="21"/>
    <x v="2"/>
    <n v="15.4"/>
    <n v="45.3"/>
    <n v="5.0999999999999996"/>
    <n v="0"/>
    <n v="13.1"/>
    <n v="4000"/>
    <n v="7673.5"/>
    <n v="1"/>
    <n v="13.1"/>
  </r>
  <r>
    <x v="22"/>
    <x v="2"/>
    <n v="17.2"/>
    <n v="58.1"/>
    <n v="7.4"/>
    <n v="0"/>
    <n v="39.5"/>
    <n v="4000"/>
    <n v="4911.6000000000004"/>
    <n v="1"/>
    <n v="39.5"/>
  </r>
  <r>
    <x v="23"/>
    <x v="2"/>
    <n v="15.9"/>
    <n v="23.9"/>
    <n v="2.9"/>
    <n v="0"/>
    <n v="2.2999999999999998"/>
    <n v="4000"/>
    <n v="5081.2"/>
    <n v="1"/>
    <n v="2.2999999999999998"/>
  </r>
  <r>
    <x v="24"/>
    <x v="2"/>
    <n v="16.3"/>
    <n v="36.9"/>
    <n v="2.1"/>
    <n v="0"/>
    <n v="0.9"/>
    <n v="4000"/>
    <n v="4876.8999999999996"/>
    <n v="1"/>
    <n v="0.9"/>
  </r>
  <r>
    <x v="25"/>
    <x v="2"/>
    <n v="17.5"/>
    <n v="77.900000000000006"/>
    <n v="4.3"/>
    <n v="0"/>
    <n v="7.8"/>
    <n v="4000"/>
    <n v="4881.6000000000004"/>
    <n v="1"/>
    <n v="7.8"/>
  </r>
  <r>
    <x v="26"/>
    <x v="2"/>
    <n v="15.8"/>
    <n v="59.1"/>
    <n v="3.5"/>
    <n v="0"/>
    <n v="4"/>
    <n v="4000"/>
    <n v="4888.1000000000004"/>
    <n v="1"/>
    <n v="4"/>
  </r>
  <r>
    <x v="27"/>
    <x v="2"/>
    <n v="14.9"/>
    <n v="49.2"/>
    <n v="6.9"/>
    <n v="0"/>
    <n v="31.6"/>
    <n v="4000"/>
    <n v="5036"/>
    <n v="1"/>
    <n v="31.6"/>
  </r>
  <r>
    <x v="28"/>
    <x v="2"/>
    <n v="24.9"/>
    <n v="70.5"/>
    <n v="3"/>
    <n v="0"/>
    <n v="2.6"/>
    <n v="4000"/>
    <n v="4977.6000000000004"/>
    <n v="1"/>
    <n v="2.6"/>
  </r>
  <r>
    <x v="29"/>
    <x v="2"/>
    <n v="17.2"/>
    <n v="57.6"/>
    <n v="3.5"/>
    <n v="0"/>
    <n v="4.0999999999999996"/>
    <n v="4000"/>
    <n v="4935.7"/>
    <n v="1"/>
    <n v="4.0999999999999996"/>
  </r>
  <r>
    <x v="30"/>
    <x v="2"/>
    <n v="20.9"/>
    <n v="56.5"/>
    <n v="4.0999999999999996"/>
    <n v="243.9"/>
    <n v="6.6"/>
    <n v="4000"/>
    <n v="5087.3"/>
    <n v="1"/>
    <n v="250.5"/>
  </r>
  <r>
    <x v="31"/>
    <x v="2"/>
    <n v="22.7"/>
    <n v="100"/>
    <n v="8.4"/>
    <n v="173.6"/>
    <n v="57.8"/>
    <n v="4000"/>
    <n v="5210.8"/>
    <n v="1"/>
    <n v="231.39999999999998"/>
  </r>
  <r>
    <x v="32"/>
    <x v="2"/>
    <n v="25.2"/>
    <n v="71.8"/>
    <n v="0.2"/>
    <n v="530.6"/>
    <n v="0"/>
    <n v="4000"/>
    <n v="5022.3"/>
    <n v="1"/>
    <n v="530.6"/>
  </r>
  <r>
    <x v="33"/>
    <x v="2"/>
    <n v="27.2"/>
    <n v="58.5"/>
    <n v="1.8"/>
    <n v="831.5"/>
    <n v="0.5"/>
    <n v="4000"/>
    <n v="4908.2"/>
    <n v="1"/>
    <n v="832"/>
  </r>
  <r>
    <x v="34"/>
    <x v="2"/>
    <n v="29.7"/>
    <n v="97.4"/>
    <n v="5.8"/>
    <n v="397.8"/>
    <n v="18.899999999999999"/>
    <n v="4000"/>
    <n v="7142.1"/>
    <n v="1"/>
    <n v="416.7"/>
  </r>
  <r>
    <x v="35"/>
    <x v="2"/>
    <n v="26.1"/>
    <n v="8.9"/>
    <n v="3.2"/>
    <n v="1811.3"/>
    <n v="3.2"/>
    <n v="4000"/>
    <n v="7292.7"/>
    <n v="1"/>
    <n v="1814.5"/>
  </r>
  <r>
    <x v="36"/>
    <x v="2"/>
    <n v="26.5"/>
    <n v="52.7"/>
    <n v="5.0999999999999996"/>
    <n v="1156.8"/>
    <n v="12.7"/>
    <n v="4000"/>
    <n v="7384.4"/>
    <n v="1"/>
    <n v="1169.5"/>
  </r>
  <r>
    <x v="37"/>
    <x v="2"/>
    <n v="30.1"/>
    <n v="100"/>
    <n v="5.5"/>
    <n v="390"/>
    <n v="16.2"/>
    <n v="4000"/>
    <n v="7435.6"/>
    <n v="1"/>
    <n v="406.2"/>
  </r>
  <r>
    <x v="38"/>
    <x v="2"/>
    <n v="23.3"/>
    <n v="100"/>
    <n v="2.5"/>
    <n v="360.4"/>
    <n v="1.5"/>
    <n v="4000"/>
    <n v="7194.3"/>
    <n v="1"/>
    <n v="361.9"/>
  </r>
  <r>
    <x v="39"/>
    <x v="2"/>
    <n v="23.3"/>
    <n v="42.3"/>
    <n v="3.5"/>
    <n v="1034.0999999999999"/>
    <n v="4.0999999999999996"/>
    <n v="3944.3"/>
    <n v="4982.5"/>
    <n v="0"/>
    <n v="1038.1999999999998"/>
  </r>
  <r>
    <x v="40"/>
    <x v="2"/>
    <n v="23.4"/>
    <n v="43.6"/>
    <n v="8.5"/>
    <n v="812.5"/>
    <n v="59"/>
    <n v="3987.3"/>
    <n v="4858.8"/>
    <n v="0"/>
    <n v="871.5"/>
  </r>
  <r>
    <x v="41"/>
    <x v="2"/>
    <n v="23.7"/>
    <n v="96.5"/>
    <n v="4.5"/>
    <n v="197.6"/>
    <n v="8.5"/>
    <n v="4000"/>
    <n v="4784.3"/>
    <n v="1"/>
    <n v="206.1"/>
  </r>
  <r>
    <x v="42"/>
    <x v="2"/>
    <n v="21.5"/>
    <n v="95.4"/>
    <n v="6.6"/>
    <n v="105.4"/>
    <n v="27.4"/>
    <n v="4000"/>
    <n v="7592.3"/>
    <n v="1"/>
    <n v="132.80000000000001"/>
  </r>
  <r>
    <x v="43"/>
    <x v="2"/>
    <n v="21.7"/>
    <n v="26.9"/>
    <n v="8"/>
    <n v="0"/>
    <n v="50"/>
    <n v="4000"/>
    <n v="7620.3"/>
    <n v="1"/>
    <n v="50"/>
  </r>
  <r>
    <x v="44"/>
    <x v="2"/>
    <n v="18.899999999999999"/>
    <n v="34.799999999999997"/>
    <n v="3.3"/>
    <n v="0"/>
    <n v="3.6"/>
    <n v="4000"/>
    <n v="7761.3"/>
    <n v="1"/>
    <n v="3.6"/>
  </r>
  <r>
    <x v="45"/>
    <x v="2"/>
    <n v="20.9"/>
    <n v="40.9"/>
    <n v="7.4"/>
    <n v="0"/>
    <n v="38.5"/>
    <n v="4000"/>
    <n v="7780.2"/>
    <n v="1"/>
    <n v="38.5"/>
  </r>
  <r>
    <x v="46"/>
    <x v="2"/>
    <n v="16.5"/>
    <n v="59.1"/>
    <n v="3.3"/>
    <n v="0"/>
    <n v="3.4"/>
    <n v="4000"/>
    <n v="4636.8999999999996"/>
    <n v="1"/>
    <n v="3.4"/>
  </r>
  <r>
    <x v="47"/>
    <x v="2"/>
    <n v="15.8"/>
    <n v="68.8"/>
    <n v="5.4"/>
    <n v="0"/>
    <n v="15.4"/>
    <n v="4000"/>
    <n v="4809.5"/>
    <n v="1"/>
    <n v="15.4"/>
  </r>
  <r>
    <x v="48"/>
    <x v="2"/>
    <n v="12.8"/>
    <n v="41.8"/>
    <n v="7.4"/>
    <n v="0"/>
    <n v="38.5"/>
    <n v="4000"/>
    <n v="4614.3"/>
    <n v="1"/>
    <n v="38.5"/>
  </r>
  <r>
    <x v="49"/>
    <x v="2"/>
    <n v="16.2"/>
    <n v="44.2"/>
    <n v="10.199999999999999"/>
    <n v="0"/>
    <n v="100.8"/>
    <n v="4000"/>
    <n v="4537.8999999999996"/>
    <n v="1"/>
    <n v="100.8"/>
  </r>
  <r>
    <x v="50"/>
    <x v="2"/>
    <n v="18.399999999999999"/>
    <n v="64.2"/>
    <n v="0"/>
    <n v="0"/>
    <n v="0"/>
    <n v="4000"/>
    <n v="4892.2"/>
    <n v="1"/>
    <n v="0"/>
  </r>
  <r>
    <x v="51"/>
    <x v="2"/>
    <n v="18.899999999999999"/>
    <n v="75.2"/>
    <n v="17.8"/>
    <n v="0"/>
    <n v="539.5"/>
    <n v="4000"/>
    <n v="5065.2"/>
    <n v="1"/>
    <n v="539.5"/>
  </r>
  <r>
    <x v="52"/>
    <x v="2"/>
    <n v="22.9"/>
    <n v="51.4"/>
    <n v="6.9"/>
    <n v="0"/>
    <n v="31"/>
    <n v="4000"/>
    <n v="4637.3999999999996"/>
    <n v="1"/>
    <n v="31"/>
  </r>
  <r>
    <x v="53"/>
    <x v="2"/>
    <n v="19.899999999999999"/>
    <n v="42.9"/>
    <n v="7"/>
    <n v="0"/>
    <n v="32.799999999999997"/>
    <n v="4000"/>
    <n v="4943.2"/>
    <n v="1"/>
    <n v="32.799999999999997"/>
  </r>
  <r>
    <x v="54"/>
    <x v="2"/>
    <n v="23.5"/>
    <n v="47.5"/>
    <n v="2.6"/>
    <n v="275.89999999999998"/>
    <n v="1.7"/>
    <n v="4000"/>
    <n v="4722.3999999999996"/>
    <n v="1"/>
    <n v="277.59999999999997"/>
  </r>
  <r>
    <x v="55"/>
    <x v="2"/>
    <n v="25.8"/>
    <n v="43.9"/>
    <n v="7.1"/>
    <n v="562.70000000000005"/>
    <n v="34"/>
    <n v="4000"/>
    <n v="4882.5"/>
    <n v="1"/>
    <n v="596.70000000000005"/>
  </r>
  <r>
    <x v="56"/>
    <x v="2"/>
    <n v="26"/>
    <n v="80.599999999999994"/>
    <n v="11.5"/>
    <n v="443.3"/>
    <n v="147.80000000000001"/>
    <n v="4000"/>
    <n v="4840.3999999999996"/>
    <n v="1"/>
    <n v="591.1"/>
  </r>
  <r>
    <x v="57"/>
    <x v="2"/>
    <n v="26.9"/>
    <n v="62.9"/>
    <n v="9.9"/>
    <n v="776.3"/>
    <n v="92.8"/>
    <n v="4000"/>
    <n v="4923.7"/>
    <n v="1"/>
    <n v="869.09999999999991"/>
  </r>
  <r>
    <x v="58"/>
    <x v="2"/>
    <n v="27.8"/>
    <n v="54.2"/>
    <n v="5.8"/>
    <n v="1021.2"/>
    <n v="18.8"/>
    <n v="4000"/>
    <n v="7042.2"/>
    <n v="1"/>
    <n v="1040"/>
  </r>
  <r>
    <x v="59"/>
    <x v="2"/>
    <n v="27.3"/>
    <n v="56.5"/>
    <n v="6.6"/>
    <n v="1068.3"/>
    <n v="28.2"/>
    <n v="4000"/>
    <n v="7163.8"/>
    <n v="1"/>
    <n v="1096.5"/>
  </r>
  <r>
    <x v="60"/>
    <x v="2"/>
    <n v="29"/>
    <n v="86.1"/>
    <n v="4.5999999999999996"/>
    <n v="622.79999999999995"/>
    <n v="9.5"/>
    <n v="4000"/>
    <n v="7386.7"/>
    <n v="1"/>
    <n v="632.29999999999995"/>
  </r>
  <r>
    <x v="61"/>
    <x v="2"/>
    <n v="28.7"/>
    <n v="86.3"/>
    <n v="10.4"/>
    <n v="604"/>
    <n v="108.5"/>
    <n v="4000"/>
    <n v="7016.6"/>
    <n v="1"/>
    <n v="712.5"/>
  </r>
  <r>
    <x v="62"/>
    <x v="2"/>
    <n v="25.9"/>
    <n v="10.8"/>
    <n v="4.8"/>
    <n v="1646"/>
    <n v="10.8"/>
    <n v="4000"/>
    <n v="7059.4"/>
    <n v="1"/>
    <n v="1656.8"/>
  </r>
  <r>
    <x v="63"/>
    <x v="2"/>
    <n v="24.6"/>
    <n v="79.2"/>
    <n v="5.4"/>
    <n v="572.70000000000005"/>
    <n v="15.4"/>
    <n v="4000"/>
    <n v="5099.5"/>
    <n v="1"/>
    <n v="588.1"/>
  </r>
  <r>
    <x v="64"/>
    <x v="2"/>
    <n v="22.2"/>
    <n v="62.6"/>
    <n v="0"/>
    <n v="622.9"/>
    <n v="0"/>
    <n v="4000"/>
    <n v="4998.6000000000004"/>
    <n v="1"/>
    <n v="622.9"/>
  </r>
  <r>
    <x v="65"/>
    <x v="2"/>
    <n v="20"/>
    <n v="96.2"/>
    <n v="8.3000000000000007"/>
    <n v="200.1"/>
    <n v="55.5"/>
    <n v="4000"/>
    <n v="4922"/>
    <n v="1"/>
    <n v="255.6"/>
  </r>
  <r>
    <x v="66"/>
    <x v="2"/>
    <n v="25"/>
    <n v="31.5"/>
    <n v="11.2"/>
    <n v="332.8"/>
    <n v="136.4"/>
    <n v="4000"/>
    <n v="7770"/>
    <n v="1"/>
    <n v="469.20000000000005"/>
  </r>
  <r>
    <x v="67"/>
    <x v="2"/>
    <n v="20.2"/>
    <n v="94.1"/>
    <n v="2.7"/>
    <n v="0"/>
    <n v="1.9"/>
    <n v="4000"/>
    <n v="7839.8"/>
    <n v="1"/>
    <n v="1.9"/>
  </r>
  <r>
    <x v="68"/>
    <x v="2"/>
    <n v="18.3"/>
    <n v="44.1"/>
    <n v="2.8"/>
    <n v="0"/>
    <n v="2.2000000000000002"/>
    <n v="4000"/>
    <n v="7576.3"/>
    <n v="1"/>
    <n v="2.2000000000000002"/>
  </r>
  <r>
    <x v="69"/>
    <x v="2"/>
    <n v="17.899999999999999"/>
    <n v="70.599999999999994"/>
    <n v="4.3"/>
    <n v="0"/>
    <n v="7.6"/>
    <n v="4000"/>
    <n v="7883.5"/>
    <n v="1"/>
    <n v="7.6"/>
  </r>
  <r>
    <x v="70"/>
    <x v="2"/>
    <n v="18.2"/>
    <n v="2.6"/>
    <n v="5.8"/>
    <n v="0"/>
    <n v="18.7"/>
    <n v="4000"/>
    <n v="4676.8999999999996"/>
    <n v="1"/>
    <n v="18.7"/>
  </r>
  <r>
    <x v="71"/>
    <x v="2"/>
    <n v="21.1"/>
    <n v="87.3"/>
    <n v="6.3"/>
    <n v="0"/>
    <n v="24.2"/>
    <n v="4000"/>
    <n v="4744.8"/>
    <n v="1"/>
    <n v="24.2"/>
  </r>
  <r>
    <x v="72"/>
    <x v="2"/>
    <n v="15.3"/>
    <n v="76.3"/>
    <n v="6.6"/>
    <n v="0"/>
    <n v="27.6"/>
    <n v="4000"/>
    <n v="5139.6000000000004"/>
    <n v="1"/>
    <n v="27.6"/>
  </r>
  <r>
    <x v="73"/>
    <x v="2"/>
    <n v="19.7"/>
    <n v="82"/>
    <n v="6.9"/>
    <n v="0"/>
    <n v="31.1"/>
    <n v="4000"/>
    <n v="4989.6000000000004"/>
    <n v="1"/>
    <n v="31.1"/>
  </r>
  <r>
    <x v="74"/>
    <x v="2"/>
    <n v="15.7"/>
    <n v="56.3"/>
    <n v="6.3"/>
    <n v="0"/>
    <n v="23.8"/>
    <n v="4000"/>
    <n v="4701.8"/>
    <n v="1"/>
    <n v="23.8"/>
  </r>
  <r>
    <x v="75"/>
    <x v="2"/>
    <n v="23.3"/>
    <n v="100"/>
    <n v="7.8"/>
    <n v="0"/>
    <n v="45.7"/>
    <n v="4000"/>
    <n v="4780.5"/>
    <n v="1"/>
    <n v="45.7"/>
  </r>
  <r>
    <x v="76"/>
    <x v="2"/>
    <n v="19.100000000000001"/>
    <n v="31.4"/>
    <n v="6.2"/>
    <n v="0"/>
    <n v="23.2"/>
    <n v="4000"/>
    <n v="4960.8"/>
    <n v="1"/>
    <n v="23.2"/>
  </r>
  <r>
    <x v="77"/>
    <x v="2"/>
    <n v="18.2"/>
    <n v="70"/>
    <n v="5.5"/>
    <n v="0"/>
    <n v="16.3"/>
    <n v="4000"/>
    <n v="4988.7"/>
    <n v="1"/>
    <n v="16.3"/>
  </r>
  <r>
    <x v="78"/>
    <x v="2"/>
    <n v="20.3"/>
    <n v="47.6"/>
    <n v="11.7"/>
    <n v="275.60000000000002"/>
    <n v="152.30000000000001"/>
    <n v="4000"/>
    <n v="4663.8"/>
    <n v="1"/>
    <n v="427.90000000000003"/>
  </r>
  <r>
    <x v="79"/>
    <x v="2"/>
    <n v="20.6"/>
    <n v="74.599999999999994"/>
    <n v="1.4"/>
    <n v="350"/>
    <n v="0.2"/>
    <n v="4000"/>
    <n v="5033.5"/>
    <n v="1"/>
    <n v="350.2"/>
  </r>
  <r>
    <x v="80"/>
    <x v="2"/>
    <n v="23.6"/>
    <n v="57.2"/>
    <n v="10"/>
    <n v="676.5"/>
    <n v="95.4"/>
    <n v="4000"/>
    <n v="5112.3999999999996"/>
    <n v="1"/>
    <n v="771.9"/>
  </r>
  <r>
    <x v="81"/>
    <x v="2"/>
    <n v="22.7"/>
    <n v="42.5"/>
    <n v="9.1"/>
    <n v="1032.0999999999999"/>
    <n v="72.7"/>
    <n v="3652.1"/>
    <n v="4756.8999999999996"/>
    <n v="0"/>
    <n v="1104.8"/>
  </r>
  <r>
    <x v="82"/>
    <x v="2"/>
    <n v="20.7"/>
    <n v="46.5"/>
    <n v="7.7"/>
    <n v="1132.0999999999999"/>
    <n v="43.1"/>
    <n v="4000"/>
    <n v="6922.1"/>
    <n v="1"/>
    <n v="1175.1999999999998"/>
  </r>
  <r>
    <x v="83"/>
    <x v="2"/>
    <n v="25.9"/>
    <n v="47.7"/>
    <n v="9.5"/>
    <n v="1206.5"/>
    <n v="81.3"/>
    <n v="4000"/>
    <n v="7330"/>
    <n v="1"/>
    <n v="1287.8"/>
  </r>
  <r>
    <x v="84"/>
    <x v="2"/>
    <n v="26.2"/>
    <n v="65.7"/>
    <n v="7.3"/>
    <n v="948.6"/>
    <n v="38.1"/>
    <n v="4000"/>
    <n v="6869.5"/>
    <n v="1"/>
    <n v="986.7"/>
  </r>
  <r>
    <x v="85"/>
    <x v="2"/>
    <n v="26.9"/>
    <n v="0"/>
    <n v="4"/>
    <n v="1949.9"/>
    <n v="6.3"/>
    <n v="4000"/>
    <n v="7073.5"/>
    <n v="1"/>
    <n v="1956.2"/>
  </r>
  <r>
    <x v="86"/>
    <x v="2"/>
    <n v="24.4"/>
    <n v="61.8"/>
    <n v="7.3"/>
    <n v="911.5"/>
    <n v="38"/>
    <n v="4000"/>
    <n v="7218"/>
    <n v="1"/>
    <n v="949.5"/>
  </r>
  <r>
    <x v="87"/>
    <x v="2"/>
    <n v="25.9"/>
    <n v="31.1"/>
    <n v="5.4"/>
    <n v="1174.4000000000001"/>
    <n v="15"/>
    <n v="3709.2"/>
    <n v="4898.6000000000004"/>
    <n v="0"/>
    <n v="1189.4000000000001"/>
  </r>
  <r>
    <x v="88"/>
    <x v="2"/>
    <n v="24.8"/>
    <n v="42.4"/>
    <n v="6.7"/>
    <n v="824"/>
    <n v="28.5"/>
    <n v="4000"/>
    <n v="5041.5"/>
    <n v="1"/>
    <n v="852.5"/>
  </r>
  <r>
    <x v="89"/>
    <x v="2"/>
    <n v="19.2"/>
    <n v="94.8"/>
    <n v="5"/>
    <n v="209.8"/>
    <n v="11.9"/>
    <n v="4000"/>
    <n v="5057.2"/>
    <n v="1"/>
    <n v="221.70000000000002"/>
  </r>
  <r>
    <x v="90"/>
    <x v="2"/>
    <n v="24.4"/>
    <n v="18.8"/>
    <n v="3.9"/>
    <n v="377.9"/>
    <n v="5.6"/>
    <n v="4000"/>
    <n v="7763.8"/>
    <n v="1"/>
    <n v="383.5"/>
  </r>
  <r>
    <x v="91"/>
    <x v="2"/>
    <n v="19.100000000000001"/>
    <n v="100"/>
    <n v="3.4"/>
    <n v="0"/>
    <n v="3.9"/>
    <n v="4000"/>
    <n v="7656.7"/>
    <n v="1"/>
    <n v="3.9"/>
  </r>
  <r>
    <x v="92"/>
    <x v="2"/>
    <n v="19.899999999999999"/>
    <n v="23.9"/>
    <n v="4.8"/>
    <n v="0"/>
    <n v="10.7"/>
    <n v="4000"/>
    <n v="7616.7"/>
    <n v="1"/>
    <n v="10.7"/>
  </r>
  <r>
    <x v="93"/>
    <x v="2"/>
    <n v="17.8"/>
    <n v="57.2"/>
    <n v="4.4000000000000004"/>
    <n v="0"/>
    <n v="8.1999999999999993"/>
    <n v="4000"/>
    <n v="7747.6"/>
    <n v="1"/>
    <n v="8.1999999999999993"/>
  </r>
  <r>
    <x v="94"/>
    <x v="2"/>
    <n v="18.3"/>
    <n v="100"/>
    <n v="6.1"/>
    <n v="0"/>
    <n v="21.3"/>
    <n v="4000"/>
    <n v="4722.8"/>
    <n v="1"/>
    <n v="21.3"/>
  </r>
  <r>
    <x v="95"/>
    <x v="2"/>
    <n v="18.600000000000001"/>
    <n v="21.9"/>
    <n v="11.1"/>
    <n v="0"/>
    <n v="131.6"/>
    <n v="4000"/>
    <n v="4983.8"/>
    <n v="1"/>
    <n v="131.6"/>
  </r>
  <r>
    <x v="96"/>
    <x v="2"/>
    <n v="20.3"/>
    <n v="38"/>
    <n v="11.5"/>
    <n v="0"/>
    <n v="144.30000000000001"/>
    <n v="4000"/>
    <n v="4350.3"/>
    <n v="1"/>
    <n v="144.30000000000001"/>
  </r>
  <r>
    <x v="97"/>
    <x v="2"/>
    <n v="18.3"/>
    <n v="67"/>
    <n v="5.3"/>
    <n v="0"/>
    <n v="13.9"/>
    <n v="4000"/>
    <n v="4436.3"/>
    <n v="1"/>
    <n v="13.9"/>
  </r>
  <r>
    <x v="98"/>
    <x v="2"/>
    <n v="18"/>
    <n v="1"/>
    <n v="2.6"/>
    <n v="0"/>
    <n v="1.8"/>
    <n v="4000"/>
    <n v="4500.1000000000004"/>
    <n v="1"/>
    <n v="1.8"/>
  </r>
  <r>
    <x v="99"/>
    <x v="2"/>
    <n v="19.100000000000001"/>
    <n v="58.3"/>
    <n v="9.6999999999999993"/>
    <n v="0"/>
    <n v="86.5"/>
    <n v="4000"/>
    <n v="4292.1000000000004"/>
    <n v="1"/>
    <n v="86.5"/>
  </r>
  <r>
    <x v="100"/>
    <x v="2"/>
    <n v="19.8"/>
    <n v="5.5"/>
    <n v="8.3000000000000007"/>
    <n v="0"/>
    <n v="54.5"/>
    <n v="3972.8"/>
    <n v="4027.3"/>
    <n v="0"/>
    <n v="54.5"/>
  </r>
  <r>
    <x v="101"/>
    <x v="2"/>
    <n v="21.5"/>
    <n v="34.1"/>
    <n v="9.8000000000000007"/>
    <n v="0"/>
    <n v="91.4"/>
    <n v="4000"/>
    <n v="4305.8"/>
    <n v="1"/>
    <n v="91.4"/>
  </r>
  <r>
    <x v="102"/>
    <x v="2"/>
    <n v="23.2"/>
    <n v="56.1"/>
    <n v="7.7"/>
    <n v="245.3"/>
    <n v="44.5"/>
    <n v="4000"/>
    <n v="4476.3"/>
    <n v="1"/>
    <n v="289.8"/>
  </r>
  <r>
    <x v="103"/>
    <x v="2"/>
    <n v="25"/>
    <n v="100"/>
    <n v="9.1999999999999993"/>
    <n v="173.6"/>
    <n v="75"/>
    <n v="3965.4"/>
    <n v="4214"/>
    <n v="0"/>
    <n v="248.6"/>
  </r>
  <r>
    <x v="104"/>
    <x v="2"/>
    <n v="25.2"/>
    <n v="21.2"/>
    <n v="7.7"/>
    <n v="1035.4000000000001"/>
    <n v="44.1"/>
    <n v="3131.1"/>
    <n v="4210.6000000000004"/>
    <n v="0"/>
    <n v="1079.5"/>
  </r>
  <r>
    <x v="105"/>
    <x v="2"/>
    <n v="21.8"/>
    <n v="25.1"/>
    <n v="5.2"/>
    <n v="1249.0999999999999"/>
    <n v="13.1"/>
    <n v="3125.4"/>
    <n v="4387.6000000000004"/>
    <n v="0"/>
    <n v="1262.1999999999998"/>
  </r>
  <r>
    <x v="106"/>
    <x v="2"/>
    <n v="23.9"/>
    <n v="71.7"/>
    <n v="6.8"/>
    <n v="768.8"/>
    <n v="29.6"/>
    <n v="4000"/>
    <n v="6194.9"/>
    <n v="1"/>
    <n v="798.4"/>
  </r>
  <r>
    <x v="107"/>
    <x v="2"/>
    <n v="25.3"/>
    <n v="91.5"/>
    <n v="11"/>
    <n v="523.20000000000005"/>
    <n v="126.6"/>
    <n v="4000"/>
    <n v="6210.9"/>
    <n v="1"/>
    <n v="649.80000000000007"/>
  </r>
  <r>
    <x v="108"/>
    <x v="2"/>
    <n v="25.8"/>
    <n v="74.7"/>
    <n v="4.9000000000000004"/>
    <n v="804.2"/>
    <n v="11.5"/>
    <n v="4000"/>
    <n v="6167.5"/>
    <n v="1"/>
    <n v="815.7"/>
  </r>
  <r>
    <x v="109"/>
    <x v="2"/>
    <n v="28.3"/>
    <n v="2.7"/>
    <n v="10"/>
    <n v="1907.4"/>
    <n v="94.7"/>
    <n v="4000"/>
    <n v="6219.1"/>
    <n v="1"/>
    <n v="2002.1000000000001"/>
  </r>
  <r>
    <x v="110"/>
    <x v="2"/>
    <n v="25.5"/>
    <n v="57.3"/>
    <n v="5.9"/>
    <n v="975.6"/>
    <n v="19.600000000000001"/>
    <n v="4000"/>
    <n v="6250.9"/>
    <n v="1"/>
    <n v="995.2"/>
  </r>
  <r>
    <x v="111"/>
    <x v="2"/>
    <n v="28.5"/>
    <n v="61.2"/>
    <n v="7.3"/>
    <n v="797.6"/>
    <n v="37.799999999999997"/>
    <n v="3224.9"/>
    <n v="4060.3"/>
    <n v="0"/>
    <n v="835.4"/>
  </r>
  <r>
    <x v="112"/>
    <x v="2"/>
    <n v="22.5"/>
    <n v="74.2"/>
    <n v="5.2"/>
    <n v="506.7"/>
    <n v="13.5"/>
    <n v="3942.5"/>
    <n v="4462.7"/>
    <n v="0"/>
    <n v="520.20000000000005"/>
  </r>
  <r>
    <x v="113"/>
    <x v="2"/>
    <n v="19"/>
    <n v="57"/>
    <n v="4.2"/>
    <n v="471.9"/>
    <n v="7.1"/>
    <n v="3968"/>
    <n v="4447"/>
    <n v="0"/>
    <n v="479"/>
  </r>
  <r>
    <x v="114"/>
    <x v="2"/>
    <n v="22.9"/>
    <n v="38.799999999999997"/>
    <n v="3.9"/>
    <n v="307"/>
    <n v="5.5"/>
    <n v="4000"/>
    <n v="6784.8"/>
    <n v="1"/>
    <n v="312.5"/>
  </r>
  <r>
    <x v="115"/>
    <x v="2"/>
    <n v="18.899999999999999"/>
    <n v="85.3"/>
    <n v="4.9000000000000004"/>
    <n v="0"/>
    <n v="11.2"/>
    <n v="4000"/>
    <n v="6703.4"/>
    <n v="1"/>
    <n v="11.2"/>
  </r>
  <r>
    <x v="116"/>
    <x v="2"/>
    <n v="18.8"/>
    <n v="28.8"/>
    <n v="1.1000000000000001"/>
    <n v="0"/>
    <n v="0.1"/>
    <n v="4000"/>
    <n v="6284"/>
    <n v="1"/>
    <n v="0.1"/>
  </r>
  <r>
    <x v="117"/>
    <x v="2"/>
    <n v="18.7"/>
    <n v="99.9"/>
    <n v="6.9"/>
    <n v="0"/>
    <n v="32.1"/>
    <n v="4000"/>
    <n v="6534.4"/>
    <n v="1"/>
    <n v="32.1"/>
  </r>
  <r>
    <x v="118"/>
    <x v="2"/>
    <n v="18.600000000000001"/>
    <n v="46.2"/>
    <n v="3.9"/>
    <n v="0"/>
    <n v="5.8"/>
    <n v="4000"/>
    <n v="4229"/>
    <n v="1"/>
    <n v="5.8"/>
  </r>
  <r>
    <x v="119"/>
    <x v="2"/>
    <n v="13.7"/>
    <n v="48.3"/>
    <n v="6.5"/>
    <n v="0"/>
    <n v="26.1"/>
    <n v="4000"/>
    <n v="4146.8"/>
    <n v="1"/>
    <n v="26.1"/>
  </r>
  <r>
    <x v="120"/>
    <x v="2"/>
    <n v="16.2"/>
    <n v="31.6"/>
    <n v="7.8"/>
    <n v="0"/>
    <n v="46"/>
    <n v="4000"/>
    <n v="4305.5"/>
    <n v="1"/>
    <n v="46"/>
  </r>
  <r>
    <x v="121"/>
    <x v="2"/>
    <n v="18.7"/>
    <n v="29.9"/>
    <n v="3.7"/>
    <n v="0"/>
    <n v="5"/>
    <n v="4000"/>
    <n v="4122.3999999999996"/>
    <n v="1"/>
    <n v="5"/>
  </r>
  <r>
    <x v="122"/>
    <x v="2"/>
    <n v="16.7"/>
    <n v="89.3"/>
    <n v="7.5"/>
    <n v="0"/>
    <n v="41.3"/>
    <n v="4000"/>
    <n v="4100"/>
    <n v="1"/>
    <n v="41.3"/>
  </r>
  <r>
    <x v="123"/>
    <x v="2"/>
    <n v="19.5"/>
    <n v="26.9"/>
    <n v="5"/>
    <n v="0"/>
    <n v="12.1"/>
    <n v="4000"/>
    <n v="4466.8"/>
    <n v="1"/>
    <n v="12.1"/>
  </r>
  <r>
    <x v="124"/>
    <x v="2"/>
    <n v="22.2"/>
    <n v="24.1"/>
    <n v="8.6999999999999993"/>
    <n v="0"/>
    <n v="62.8"/>
    <n v="4000"/>
    <n v="4203"/>
    <n v="1"/>
    <n v="62.8"/>
  </r>
  <r>
    <x v="125"/>
    <x v="2"/>
    <n v="24.4"/>
    <n v="47.7"/>
    <n v="8.1"/>
    <n v="0"/>
    <n v="51.7"/>
    <n v="4000"/>
    <n v="4453.8999999999996"/>
    <n v="1"/>
    <n v="51.7"/>
  </r>
  <r>
    <x v="126"/>
    <x v="2"/>
    <n v="20.8"/>
    <n v="13.9"/>
    <n v="0.4"/>
    <n v="395.4"/>
    <n v="0"/>
    <n v="4000"/>
    <n v="4662.2"/>
    <n v="1"/>
    <n v="395.4"/>
  </r>
  <r>
    <x v="127"/>
    <x v="2"/>
    <n v="19.5"/>
    <n v="48.8"/>
    <n v="7.3"/>
    <n v="528.79999999999995"/>
    <n v="37.5"/>
    <n v="3860.6"/>
    <n v="4426.8999999999996"/>
    <n v="0"/>
    <n v="566.29999999999995"/>
  </r>
  <r>
    <x v="128"/>
    <x v="2"/>
    <n v="25.4"/>
    <n v="66.7"/>
    <n v="9.8000000000000007"/>
    <n v="581.9"/>
    <n v="91.4"/>
    <n v="3674.5"/>
    <n v="4347.8"/>
    <n v="0"/>
    <n v="673.3"/>
  </r>
  <r>
    <x v="129"/>
    <x v="2"/>
    <n v="24.2"/>
    <n v="36.799999999999997"/>
    <n v="8.5"/>
    <n v="1103.0999999999999"/>
    <n v="58.8"/>
    <n v="3015.3"/>
    <n v="4177.2"/>
    <n v="0"/>
    <n v="1161.8999999999999"/>
  </r>
  <r>
    <x v="130"/>
    <x v="2"/>
    <n v="27.2"/>
    <n v="95.5"/>
    <n v="2.5"/>
    <n v="425.2"/>
    <n v="1.4"/>
    <n v="4000"/>
    <n v="6375.1"/>
    <n v="1"/>
    <n v="426.59999999999997"/>
  </r>
  <r>
    <x v="131"/>
    <x v="2"/>
    <n v="29.9"/>
    <n v="82.1"/>
    <n v="11.3"/>
    <n v="669.7"/>
    <n v="140.19999999999999"/>
    <n v="4000"/>
    <n v="6490.1"/>
    <n v="1"/>
    <n v="809.90000000000009"/>
  </r>
  <r>
    <x v="132"/>
    <x v="2"/>
    <n v="26"/>
    <n v="37.9"/>
    <n v="8.1999999999999993"/>
    <n v="1392.9"/>
    <n v="52.2"/>
    <n v="4000"/>
    <n v="5991.5"/>
    <n v="1"/>
    <n v="1445.1000000000001"/>
  </r>
  <r>
    <x v="133"/>
    <x v="2"/>
    <n v="28.3"/>
    <n v="100"/>
    <n v="8.1"/>
    <n v="390"/>
    <n v="50.7"/>
    <n v="4000"/>
    <n v="6082.5"/>
    <n v="1"/>
    <n v="440.7"/>
  </r>
  <r>
    <x v="134"/>
    <x v="2"/>
    <n v="24.4"/>
    <n v="34.6"/>
    <n v="9.6999999999999993"/>
    <n v="1303.2"/>
    <n v="88.9"/>
    <n v="4000"/>
    <n v="6282.6"/>
    <n v="1"/>
    <n v="1392.1000000000001"/>
  </r>
  <r>
    <x v="135"/>
    <x v="2"/>
    <n v="25.5"/>
    <n v="47.5"/>
    <n v="0"/>
    <n v="969.9"/>
    <n v="0"/>
    <n v="3467"/>
    <n v="4436.8999999999996"/>
    <n v="0"/>
    <n v="969.9"/>
  </r>
  <r>
    <x v="136"/>
    <x v="2"/>
    <n v="28.3"/>
    <n v="21.6"/>
    <n v="6.6"/>
    <n v="1031.5999999999999"/>
    <n v="27.2"/>
    <n v="3100.6"/>
    <n v="4159.3999999999996"/>
    <n v="0"/>
    <n v="1058.8"/>
  </r>
  <r>
    <x v="137"/>
    <x v="2"/>
    <n v="20.8"/>
    <n v="65.5"/>
    <n v="8.8000000000000007"/>
    <n v="412.8"/>
    <n v="65.7"/>
    <n v="3992.6"/>
    <n v="4471.1000000000004"/>
    <n v="0"/>
    <n v="478.5"/>
  </r>
  <r>
    <x v="138"/>
    <x v="2"/>
    <n v="27.7"/>
    <n v="9.9"/>
    <n v="9.1999999999999993"/>
    <n v="409.6"/>
    <n v="74.2"/>
    <n v="4000"/>
    <n v="6721.9"/>
    <n v="1"/>
    <n v="483.8"/>
  </r>
  <r>
    <x v="139"/>
    <x v="2"/>
    <n v="22.2"/>
    <n v="73.2"/>
    <n v="3.8"/>
    <n v="0"/>
    <n v="5.3"/>
    <n v="4000"/>
    <n v="6694.1"/>
    <n v="1"/>
    <n v="5.3"/>
  </r>
  <r>
    <x v="140"/>
    <x v="2"/>
    <n v="15.8"/>
    <n v="78.099999999999994"/>
    <n v="6.9"/>
    <n v="0"/>
    <n v="31.5"/>
    <n v="4000"/>
    <n v="6754.3"/>
    <n v="1"/>
    <n v="31.5"/>
  </r>
  <r>
    <x v="141"/>
    <x v="2"/>
    <n v="20.6"/>
    <n v="71"/>
    <n v="6.4"/>
    <n v="0"/>
    <n v="25.7"/>
    <n v="4000"/>
    <n v="6815.8"/>
    <n v="1"/>
    <n v="25.7"/>
  </r>
  <r>
    <x v="142"/>
    <x v="2"/>
    <n v="16.2"/>
    <n v="95.6"/>
    <n v="10.3"/>
    <n v="0"/>
    <n v="105.2"/>
    <n v="4000"/>
    <n v="4187.8"/>
    <n v="1"/>
    <n v="105.2"/>
  </r>
  <r>
    <x v="143"/>
    <x v="2"/>
    <n v="17.3"/>
    <n v="32.9"/>
    <n v="9.5"/>
    <n v="0"/>
    <n v="82.8"/>
    <n v="4000"/>
    <n v="4284.3"/>
    <n v="1"/>
    <n v="82.8"/>
  </r>
  <r>
    <x v="144"/>
    <x v="2"/>
    <n v="20.9"/>
    <n v="33.700000000000003"/>
    <n v="4.9000000000000004"/>
    <n v="0"/>
    <n v="11.1"/>
    <n v="4000"/>
    <n v="5049.8"/>
    <n v="1"/>
    <n v="11.1"/>
  </r>
  <r>
    <x v="145"/>
    <x v="2"/>
    <n v="18.5"/>
    <n v="53.5"/>
    <n v="3.4"/>
    <n v="0"/>
    <n v="3.7"/>
    <n v="4000"/>
    <n v="4984.7"/>
    <n v="1"/>
    <n v="3.7"/>
  </r>
  <r>
    <x v="146"/>
    <x v="2"/>
    <n v="19.100000000000001"/>
    <n v="32.5"/>
    <n v="10.1"/>
    <n v="0"/>
    <n v="97.9"/>
    <n v="4000"/>
    <n v="5082.2"/>
    <n v="1"/>
    <n v="97.9"/>
  </r>
  <r>
    <x v="147"/>
    <x v="2"/>
    <n v="18.7"/>
    <n v="62.4"/>
    <n v="7.7"/>
    <n v="0"/>
    <n v="43.2"/>
    <n v="4000"/>
    <n v="5125.5"/>
    <n v="1"/>
    <n v="43.2"/>
  </r>
  <r>
    <x v="148"/>
    <x v="2"/>
    <n v="19.600000000000001"/>
    <n v="0"/>
    <n v="8.6"/>
    <n v="0"/>
    <n v="61.7"/>
    <n v="4000"/>
    <n v="4820.7"/>
    <n v="1"/>
    <n v="61.7"/>
  </r>
  <r>
    <x v="149"/>
    <x v="2"/>
    <n v="23.7"/>
    <n v="50.1"/>
    <n v="5.4"/>
    <n v="0"/>
    <n v="14.8"/>
    <n v="4000"/>
    <n v="4715.8"/>
    <n v="1"/>
    <n v="14.8"/>
  </r>
  <r>
    <x v="150"/>
    <x v="2"/>
    <n v="21.4"/>
    <n v="100"/>
    <n v="0"/>
    <n v="89"/>
    <n v="0"/>
    <n v="4000"/>
    <n v="4855.8"/>
    <n v="1"/>
    <n v="89"/>
  </r>
  <r>
    <x v="151"/>
    <x v="2"/>
    <n v="24"/>
    <n v="23.8"/>
    <n v="2.8"/>
    <n v="702.6"/>
    <n v="2"/>
    <n v="4000"/>
    <n v="5141.5"/>
    <n v="1"/>
    <n v="704.6"/>
  </r>
  <r>
    <x v="152"/>
    <x v="2"/>
    <n v="22.6"/>
    <n v="25.4"/>
    <n v="9.4"/>
    <n v="993.6"/>
    <n v="80"/>
    <n v="4000"/>
    <n v="5201.5"/>
    <n v="1"/>
    <n v="1073.5999999999999"/>
  </r>
  <r>
    <x v="153"/>
    <x v="2"/>
    <n v="23.7"/>
    <n v="66.5"/>
    <n v="2.9"/>
    <n v="731.8"/>
    <n v="2.4"/>
    <n v="4000"/>
    <n v="5000.8"/>
    <n v="1"/>
    <n v="734.19999999999993"/>
  </r>
  <r>
    <x v="154"/>
    <x v="2"/>
    <n v="28.5"/>
    <n v="76"/>
    <n v="7.1"/>
    <n v="706.9"/>
    <n v="34.1"/>
    <n v="4000"/>
    <n v="7315.1"/>
    <n v="1"/>
    <n v="741"/>
  </r>
  <r>
    <x v="155"/>
    <x v="2"/>
    <n v="26.8"/>
    <n v="24.5"/>
    <n v="7.3"/>
    <n v="1567"/>
    <n v="38.1"/>
    <n v="4000"/>
    <n v="7414.2"/>
    <n v="1"/>
    <n v="1605.1"/>
  </r>
  <r>
    <x v="156"/>
    <x v="2"/>
    <n v="25"/>
    <n v="49.2"/>
    <n v="7.2"/>
    <n v="1213.5"/>
    <n v="36.6"/>
    <n v="4000"/>
    <n v="7462.9"/>
    <n v="1"/>
    <n v="1250.0999999999999"/>
  </r>
  <r>
    <x v="157"/>
    <x v="2"/>
    <n v="24.9"/>
    <n v="93.7"/>
    <n v="13"/>
    <n v="488.9"/>
    <n v="209"/>
    <n v="4000"/>
    <n v="7141.9"/>
    <n v="1"/>
    <n v="697.9"/>
  </r>
  <r>
    <x v="158"/>
    <x v="2"/>
    <n v="24.5"/>
    <n v="13.5"/>
    <n v="6.8"/>
    <n v="1606.9"/>
    <n v="29.8"/>
    <n v="4000"/>
    <n v="7179.4"/>
    <n v="1"/>
    <n v="1636.7"/>
  </r>
  <r>
    <x v="159"/>
    <x v="2"/>
    <n v="26.5"/>
    <n v="59.9"/>
    <n v="4.2"/>
    <n v="814"/>
    <n v="7.3"/>
    <n v="4000"/>
    <n v="5115.6000000000004"/>
    <n v="1"/>
    <n v="821.3"/>
  </r>
  <r>
    <x v="160"/>
    <x v="2"/>
    <n v="26.2"/>
    <n v="87.4"/>
    <n v="1.4"/>
    <n v="375"/>
    <n v="0.2"/>
    <n v="4000"/>
    <n v="4786.2"/>
    <n v="1"/>
    <n v="375.2"/>
  </r>
  <r>
    <x v="161"/>
    <x v="2"/>
    <n v="24.4"/>
    <n v="100"/>
    <n v="2"/>
    <n v="173.6"/>
    <n v="0.7"/>
    <n v="4000"/>
    <n v="5188.5"/>
    <n v="1"/>
    <n v="174.29999999999998"/>
  </r>
  <r>
    <x v="162"/>
    <x v="2"/>
    <n v="21.7"/>
    <n v="75.099999999999994"/>
    <n v="11.4"/>
    <n v="177.7"/>
    <n v="141.80000000000001"/>
    <n v="4000"/>
    <n v="7495.1"/>
    <n v="1"/>
    <n v="319.5"/>
  </r>
  <r>
    <x v="163"/>
    <x v="2"/>
    <n v="20.2"/>
    <n v="29.2"/>
    <n v="9.6999999999999993"/>
    <n v="0"/>
    <n v="87.3"/>
    <n v="4000"/>
    <n v="7805.9"/>
    <n v="1"/>
    <n v="87.3"/>
  </r>
  <r>
    <x v="164"/>
    <x v="2"/>
    <n v="22.8"/>
    <n v="51.5"/>
    <n v="10.8"/>
    <n v="0"/>
    <n v="120"/>
    <n v="4000"/>
    <n v="7555.3"/>
    <n v="1"/>
    <n v="120"/>
  </r>
  <r>
    <x v="165"/>
    <x v="2"/>
    <n v="18.2"/>
    <n v="44.4"/>
    <n v="5"/>
    <n v="0"/>
    <n v="11.8"/>
    <n v="4000"/>
    <n v="7801.8"/>
    <n v="1"/>
    <n v="11.8"/>
  </r>
  <r>
    <x v="166"/>
    <x v="2"/>
    <n v="17.8"/>
    <n v="42.2"/>
    <n v="5.5"/>
    <n v="0"/>
    <n v="16"/>
    <n v="4000"/>
    <n v="5014.2"/>
    <n v="1"/>
    <n v="16"/>
  </r>
  <r>
    <x v="167"/>
    <x v="2"/>
    <n v="12.9"/>
    <n v="73.7"/>
    <n v="3.1"/>
    <n v="0"/>
    <n v="2.8"/>
    <n v="4000"/>
    <n v="4961.8"/>
    <n v="1"/>
    <n v="2.8"/>
  </r>
  <r>
    <x v="168"/>
    <x v="2"/>
    <n v="13.6"/>
    <n v="6.2"/>
    <n v="1.9"/>
    <n v="0"/>
    <n v="0.7"/>
    <n v="4000"/>
    <n v="4777"/>
    <n v="1"/>
    <n v="0.7"/>
  </r>
  <r>
    <x v="169"/>
    <x v="2"/>
    <n v="21.1"/>
    <n v="44.2"/>
    <n v="6.5"/>
    <n v="0"/>
    <n v="26.8"/>
    <n v="4000"/>
    <n v="4843.6000000000004"/>
    <n v="1"/>
    <n v="26.8"/>
  </r>
  <r>
    <x v="170"/>
    <x v="2"/>
    <n v="17.899999999999999"/>
    <n v="57.7"/>
    <n v="2.4"/>
    <n v="0"/>
    <n v="1.4"/>
    <n v="4000"/>
    <n v="5010.1000000000004"/>
    <n v="1"/>
    <n v="1.4"/>
  </r>
  <r>
    <x v="171"/>
    <x v="2"/>
    <n v="22.1"/>
    <n v="9.5"/>
    <n v="2.9"/>
    <n v="0"/>
    <n v="2.4"/>
    <n v="4000"/>
    <n v="5167.6000000000004"/>
    <n v="1"/>
    <n v="2.4"/>
  </r>
  <r>
    <x v="172"/>
    <x v="2"/>
    <n v="17.600000000000001"/>
    <n v="75.2"/>
    <n v="3.8"/>
    <n v="0"/>
    <n v="5.3"/>
    <n v="4000"/>
    <n v="4908"/>
    <n v="1"/>
    <n v="5.3"/>
  </r>
  <r>
    <x v="173"/>
    <x v="2"/>
    <n v="23.1"/>
    <n v="66.400000000000006"/>
    <n v="9.1"/>
    <n v="0"/>
    <n v="71.900000000000006"/>
    <n v="4000"/>
    <n v="5274.8"/>
    <n v="1"/>
    <n v="71.900000000000006"/>
  </r>
  <r>
    <x v="174"/>
    <x v="2"/>
    <n v="20.9"/>
    <n v="35.5"/>
    <n v="6.2"/>
    <n v="318.60000000000002"/>
    <n v="23.3"/>
    <n v="4000"/>
    <n v="5115.8999999999996"/>
    <n v="1"/>
    <n v="341.90000000000003"/>
  </r>
  <r>
    <x v="175"/>
    <x v="2"/>
    <n v="23.6"/>
    <n v="12.7"/>
    <n v="3.6"/>
    <n v="779.7"/>
    <n v="4.4000000000000004"/>
    <n v="4000"/>
    <n v="5079.2"/>
    <n v="1"/>
    <n v="784.1"/>
  </r>
  <r>
    <x v="176"/>
    <x v="2"/>
    <n v="24.3"/>
    <n v="100"/>
    <n v="1.8"/>
    <n v="249.4"/>
    <n v="0.6"/>
    <n v="4000"/>
    <n v="4938.8999999999996"/>
    <n v="1"/>
    <n v="250"/>
  </r>
  <r>
    <x v="177"/>
    <x v="2"/>
    <n v="28.5"/>
    <n v="100"/>
    <n v="4.8"/>
    <n v="312.7"/>
    <n v="10.5"/>
    <n v="4000"/>
    <n v="5025.8"/>
    <n v="1"/>
    <n v="323.2"/>
  </r>
  <r>
    <x v="178"/>
    <x v="2"/>
    <n v="27.5"/>
    <n v="65.900000000000006"/>
    <n v="5.7"/>
    <n v="852.5"/>
    <n v="17.8"/>
    <n v="4000"/>
    <n v="7223.7"/>
    <n v="1"/>
    <n v="870.3"/>
  </r>
  <r>
    <x v="179"/>
    <x v="2"/>
    <n v="21.8"/>
    <n v="80.5"/>
    <n v="6.4"/>
    <n v="694.7"/>
    <n v="24.9"/>
    <n v="4000"/>
    <n v="7215.4"/>
    <n v="1"/>
    <n v="719.6"/>
  </r>
  <r>
    <x v="180"/>
    <x v="2"/>
    <n v="31.1"/>
    <n v="39.799999999999997"/>
    <n v="4.8"/>
    <n v="1364"/>
    <n v="10.6"/>
    <n v="4000"/>
    <n v="7116.6"/>
    <n v="1"/>
    <n v="1374.6"/>
  </r>
  <r>
    <x v="181"/>
    <x v="2"/>
    <n v="25.2"/>
    <n v="43.5"/>
    <n v="5.6"/>
    <n v="1271.4000000000001"/>
    <n v="16.5"/>
    <n v="4000"/>
    <n v="7448.7"/>
    <n v="1"/>
    <n v="1287.9000000000001"/>
  </r>
  <r>
    <x v="182"/>
    <x v="2"/>
    <n v="26.7"/>
    <n v="21.2"/>
    <n v="4.4000000000000004"/>
    <n v="1496"/>
    <n v="8.1999999999999993"/>
    <n v="4000"/>
    <n v="7276.1"/>
    <n v="1"/>
    <n v="1504.2"/>
  </r>
  <r>
    <x v="183"/>
    <x v="2"/>
    <n v="25.4"/>
    <n v="72.8"/>
    <n v="7.3"/>
    <n v="653.29999999999995"/>
    <n v="36.700000000000003"/>
    <n v="4000"/>
    <n v="4858.8999999999996"/>
    <n v="1"/>
    <n v="690"/>
  </r>
  <r>
    <x v="184"/>
    <x v="2"/>
    <n v="26.6"/>
    <n v="67.599999999999994"/>
    <n v="10.199999999999999"/>
    <n v="572.79999999999995"/>
    <n v="100.5"/>
    <n v="4000"/>
    <n v="4683.6000000000004"/>
    <n v="1"/>
    <n v="673.3"/>
  </r>
  <r>
    <x v="185"/>
    <x v="2"/>
    <n v="25.5"/>
    <n v="74"/>
    <n v="10"/>
    <n v="354.1"/>
    <n v="97.1"/>
    <n v="4000"/>
    <n v="5016.6000000000004"/>
    <n v="1"/>
    <n v="451.20000000000005"/>
  </r>
  <r>
    <x v="186"/>
    <x v="2"/>
    <n v="21.8"/>
    <n v="100"/>
    <n v="8.6999999999999993"/>
    <n v="89"/>
    <n v="62.5"/>
    <n v="4000"/>
    <n v="7778.3"/>
    <n v="1"/>
    <n v="151.5"/>
  </r>
  <r>
    <x v="187"/>
    <x v="2"/>
    <n v="18.2"/>
    <n v="21.4"/>
    <n v="6.9"/>
    <n v="0"/>
    <n v="31.2"/>
    <n v="4000"/>
    <n v="7786.1"/>
    <n v="1"/>
    <n v="31.2"/>
  </r>
  <r>
    <x v="188"/>
    <x v="2"/>
    <n v="18.3"/>
    <n v="64.2"/>
    <n v="10.8"/>
    <n v="0"/>
    <n v="119.8"/>
    <n v="4000"/>
    <n v="7721.8"/>
    <n v="1"/>
    <n v="119.8"/>
  </r>
  <r>
    <x v="189"/>
    <x v="2"/>
    <n v="16.2"/>
    <n v="56.7"/>
    <n v="3.6"/>
    <n v="0"/>
    <n v="4.4000000000000004"/>
    <n v="4000"/>
    <n v="7804.3"/>
    <n v="1"/>
    <n v="4.4000000000000004"/>
  </r>
  <r>
    <x v="190"/>
    <x v="2"/>
    <n v="16.8"/>
    <n v="45.7"/>
    <n v="2.2000000000000002"/>
    <n v="0"/>
    <n v="1.1000000000000001"/>
    <n v="4000"/>
    <n v="4891.8"/>
    <n v="1"/>
    <n v="1.1000000000000001"/>
  </r>
  <r>
    <x v="191"/>
    <x v="2"/>
    <n v="16"/>
    <n v="0"/>
    <n v="12.2"/>
    <n v="0"/>
    <n v="172.6"/>
    <n v="4000"/>
    <n v="4930.8999999999996"/>
    <n v="1"/>
    <n v="172.6"/>
  </r>
  <r>
    <x v="192"/>
    <x v="2"/>
    <n v="16.2"/>
    <n v="60.6"/>
    <n v="2.5"/>
    <n v="0"/>
    <n v="1.5"/>
    <n v="4000"/>
    <n v="5113.3"/>
    <n v="1"/>
    <n v="1.5"/>
  </r>
  <r>
    <x v="193"/>
    <x v="2"/>
    <n v="21"/>
    <n v="64.7"/>
    <n v="9.1"/>
    <n v="0"/>
    <n v="71.599999999999994"/>
    <n v="4000"/>
    <n v="5204.3999999999996"/>
    <n v="1"/>
    <n v="71.599999999999994"/>
  </r>
  <r>
    <x v="194"/>
    <x v="2"/>
    <n v="15"/>
    <n v="47.6"/>
    <n v="6.4"/>
    <n v="0"/>
    <n v="25.1"/>
    <n v="4000"/>
    <n v="4976.3"/>
    <n v="1"/>
    <n v="25.1"/>
  </r>
  <r>
    <x v="195"/>
    <x v="2"/>
    <n v="18"/>
    <n v="57.3"/>
    <n v="5.8"/>
    <n v="0"/>
    <n v="18.3"/>
    <n v="4000"/>
    <n v="4881.8"/>
    <n v="1"/>
    <n v="18.3"/>
  </r>
  <r>
    <x v="196"/>
    <x v="2"/>
    <n v="17.399999999999999"/>
    <n v="38.5"/>
    <n v="2.1"/>
    <n v="0"/>
    <n v="0.9"/>
    <n v="4000"/>
    <n v="4957.8"/>
    <n v="1"/>
    <n v="0.9"/>
  </r>
  <r>
    <x v="197"/>
    <x v="2"/>
    <n v="16.5"/>
    <n v="94.6"/>
    <n v="10.199999999999999"/>
    <n v="0"/>
    <n v="100.7"/>
    <n v="4000"/>
    <n v="5096.7"/>
    <n v="1"/>
    <n v="100.7"/>
  </r>
  <r>
    <x v="198"/>
    <x v="2"/>
    <n v="16.8"/>
    <n v="49.2"/>
    <n v="5.8"/>
    <n v="270"/>
    <n v="18.8"/>
    <n v="4000"/>
    <n v="4904.7"/>
    <n v="1"/>
    <n v="288.8"/>
  </r>
  <r>
    <x v="199"/>
    <x v="2"/>
    <n v="22.3"/>
    <n v="100"/>
    <n v="8"/>
    <n v="173.6"/>
    <n v="49.1"/>
    <n v="4000"/>
    <n v="4798.3999999999996"/>
    <n v="1"/>
    <n v="222.7"/>
  </r>
  <r>
    <x v="200"/>
    <x v="2"/>
    <n v="21.3"/>
    <n v="50.2"/>
    <n v="5.4"/>
    <n v="746.3"/>
    <n v="14.8"/>
    <n v="4000"/>
    <n v="4811.3"/>
    <n v="1"/>
    <n v="761.09999999999991"/>
  </r>
  <r>
    <x v="201"/>
    <x v="2"/>
    <n v="24.5"/>
    <n v="75.3"/>
    <n v="11.8"/>
    <n v="621.1"/>
    <n v="158"/>
    <n v="4000"/>
    <n v="5024.3999999999996"/>
    <n v="1"/>
    <n v="779.1"/>
  </r>
  <r>
    <x v="202"/>
    <x v="2"/>
    <n v="26.2"/>
    <n v="54.5"/>
    <n v="4.9000000000000004"/>
    <n v="1016.2"/>
    <n v="11.5"/>
    <n v="4000"/>
    <n v="7272.3"/>
    <n v="1"/>
    <n v="1027.7"/>
  </r>
  <r>
    <x v="203"/>
    <x v="2"/>
    <n v="25.6"/>
    <n v="61.4"/>
    <n v="6.2"/>
    <n v="992.8"/>
    <n v="22.4"/>
    <n v="4000"/>
    <n v="7327.1"/>
    <n v="1"/>
    <n v="1015.1999999999999"/>
  </r>
  <r>
    <x v="204"/>
    <x v="2"/>
    <n v="24.3"/>
    <n v="69.7"/>
    <n v="5.8"/>
    <n v="885"/>
    <n v="18.899999999999999"/>
    <n v="4000"/>
    <n v="7074.7"/>
    <n v="1"/>
    <n v="903.9"/>
  </r>
  <r>
    <x v="205"/>
    <x v="2"/>
    <n v="25.8"/>
    <n v="96.6"/>
    <n v="3.4"/>
    <n v="442.6"/>
    <n v="3.7"/>
    <n v="4000"/>
    <n v="7225"/>
    <n v="1"/>
    <n v="446.3"/>
  </r>
  <r>
    <x v="206"/>
    <x v="2"/>
    <n v="22.8"/>
    <n v="73"/>
    <n v="7.4"/>
    <n v="749"/>
    <n v="39.299999999999997"/>
    <n v="4000"/>
    <n v="7406.8"/>
    <n v="1"/>
    <n v="788.3"/>
  </r>
  <r>
    <x v="207"/>
    <x v="2"/>
    <n v="26.4"/>
    <n v="98.4"/>
    <n v="0"/>
    <n v="332.9"/>
    <n v="0"/>
    <n v="4000"/>
    <n v="4830.7"/>
    <n v="1"/>
    <n v="332.9"/>
  </r>
  <r>
    <x v="208"/>
    <x v="2"/>
    <n v="19.5"/>
    <n v="31"/>
    <n v="10.9"/>
    <n v="937.4"/>
    <n v="123.9"/>
    <n v="3964.1"/>
    <n v="5025.3999999999996"/>
    <n v="0"/>
    <n v="1061.3"/>
  </r>
  <r>
    <x v="209"/>
    <x v="2"/>
    <n v="20.9"/>
    <n v="54.1"/>
    <n v="12.2"/>
    <n v="492.5"/>
    <n v="174.5"/>
    <n v="4000"/>
    <n v="4862.7"/>
    <n v="1"/>
    <n v="667"/>
  </r>
  <r>
    <x v="210"/>
    <x v="2"/>
    <n v="19.899999999999999"/>
    <n v="100"/>
    <n v="11.6"/>
    <n v="89"/>
    <n v="148.80000000000001"/>
    <n v="4000"/>
    <n v="7425.2"/>
    <n v="1"/>
    <n v="237.8"/>
  </r>
  <r>
    <x v="211"/>
    <x v="2"/>
    <n v="18.2"/>
    <n v="100"/>
    <n v="10.8"/>
    <n v="0"/>
    <n v="120.4"/>
    <n v="4000"/>
    <n v="7684.5"/>
    <n v="1"/>
    <n v="120.4"/>
  </r>
  <r>
    <x v="212"/>
    <x v="2"/>
    <n v="17.899999999999999"/>
    <n v="58.5"/>
    <n v="5.5"/>
    <n v="0"/>
    <n v="16.100000000000001"/>
    <n v="4000"/>
    <n v="7801.8"/>
    <n v="1"/>
    <n v="16.100000000000001"/>
  </r>
  <r>
    <x v="213"/>
    <x v="2"/>
    <n v="21.4"/>
    <n v="86.4"/>
    <n v="2.8"/>
    <n v="0"/>
    <n v="2"/>
    <n v="4000"/>
    <n v="7749.6"/>
    <n v="1"/>
    <n v="2"/>
  </r>
  <r>
    <x v="214"/>
    <x v="2"/>
    <n v="18.3"/>
    <n v="80.599999999999994"/>
    <n v="10.4"/>
    <n v="0"/>
    <n v="108"/>
    <n v="4000"/>
    <n v="5156.5"/>
    <n v="1"/>
    <n v="108"/>
  </r>
  <r>
    <x v="215"/>
    <x v="2"/>
    <n v="17.100000000000001"/>
    <n v="44.1"/>
    <n v="1.3"/>
    <n v="0"/>
    <n v="0.2"/>
    <n v="4000"/>
    <n v="4783.3"/>
    <n v="1"/>
    <n v="0.2"/>
  </r>
  <r>
    <x v="216"/>
    <x v="2"/>
    <n v="22"/>
    <n v="4.8"/>
    <n v="5.9"/>
    <n v="0"/>
    <n v="19.7"/>
    <n v="4000"/>
    <n v="5002"/>
    <n v="1"/>
    <n v="19.7"/>
  </r>
  <r>
    <x v="217"/>
    <x v="2"/>
    <n v="17.399999999999999"/>
    <n v="56.6"/>
    <n v="2.1"/>
    <n v="0"/>
    <n v="0.9"/>
    <n v="4000"/>
    <n v="5046.1000000000004"/>
    <n v="1"/>
    <n v="0.9"/>
  </r>
  <r>
    <x v="218"/>
    <x v="2"/>
    <n v="16.2"/>
    <n v="0"/>
    <n v="9.6"/>
    <n v="0"/>
    <n v="84.5"/>
    <n v="4000"/>
    <n v="4984.8999999999996"/>
    <n v="1"/>
    <n v="84.5"/>
  </r>
  <r>
    <x v="219"/>
    <x v="2"/>
    <n v="18.600000000000001"/>
    <n v="66.900000000000006"/>
    <n v="9.1999999999999993"/>
    <n v="0"/>
    <n v="75.3"/>
    <n v="4000"/>
    <n v="5093.8"/>
    <n v="1"/>
    <n v="75.3"/>
  </r>
  <r>
    <x v="220"/>
    <x v="2"/>
    <n v="21.3"/>
    <n v="51.1"/>
    <n v="9.9"/>
    <n v="0"/>
    <n v="94.2"/>
    <n v="4000"/>
    <n v="4983.7"/>
    <n v="1"/>
    <n v="94.2"/>
  </r>
  <r>
    <x v="221"/>
    <x v="2"/>
    <n v="21.1"/>
    <n v="21.9"/>
    <n v="6.9"/>
    <n v="0"/>
    <n v="31"/>
    <n v="4000"/>
    <n v="4998.1000000000004"/>
    <n v="1"/>
    <n v="31"/>
  </r>
  <r>
    <x v="222"/>
    <x v="2"/>
    <n v="20.7"/>
    <n v="35.5"/>
    <n v="2.8"/>
    <n v="318.5"/>
    <n v="2.1"/>
    <n v="4000"/>
    <n v="4825.2"/>
    <n v="1"/>
    <n v="320.60000000000002"/>
  </r>
  <r>
    <x v="223"/>
    <x v="2"/>
    <n v="26"/>
    <n v="100"/>
    <n v="2.2999999999999998"/>
    <n v="173.6"/>
    <n v="1.2"/>
    <n v="4000"/>
    <n v="5268.7"/>
    <n v="1"/>
    <n v="174.79999999999998"/>
  </r>
  <r>
    <x v="224"/>
    <x v="2"/>
    <n v="21.9"/>
    <n v="39.1"/>
    <n v="3.2"/>
    <n v="856.6"/>
    <n v="3.3"/>
    <n v="4000"/>
    <n v="4960.7"/>
    <n v="1"/>
    <n v="859.9"/>
  </r>
  <r>
    <x v="225"/>
    <x v="2"/>
    <n v="24.7"/>
    <n v="92.1"/>
    <n v="7.8"/>
    <n v="412.2"/>
    <n v="45.8"/>
    <n v="4000"/>
    <n v="5135.8999999999996"/>
    <n v="1"/>
    <n v="458"/>
  </r>
  <r>
    <x v="226"/>
    <x v="2"/>
    <n v="23.4"/>
    <n v="97.8"/>
    <n v="9.4"/>
    <n v="392.4"/>
    <n v="80.7"/>
    <n v="4000"/>
    <n v="7495.5"/>
    <n v="1"/>
    <n v="473.09999999999997"/>
  </r>
  <r>
    <x v="227"/>
    <x v="2"/>
    <n v="28.8"/>
    <n v="70.099999999999994"/>
    <n v="5.3"/>
    <n v="856.6"/>
    <n v="14.4"/>
    <n v="4000"/>
    <n v="7004"/>
    <n v="1"/>
    <n v="871"/>
  </r>
  <r>
    <x v="228"/>
    <x v="2"/>
    <n v="25.6"/>
    <n v="100"/>
    <n v="6"/>
    <n v="400"/>
    <n v="20.8"/>
    <n v="4000"/>
    <n v="7026.4"/>
    <n v="1"/>
    <n v="420.8"/>
  </r>
  <r>
    <x v="229"/>
    <x v="2"/>
    <n v="25.2"/>
    <n v="36.6"/>
    <n v="9.1999999999999993"/>
    <n v="1378.9"/>
    <n v="75.900000000000006"/>
    <n v="4000"/>
    <n v="7267.3"/>
    <n v="1"/>
    <n v="1454.8000000000002"/>
  </r>
  <r>
    <x v="230"/>
    <x v="2"/>
    <n v="25.5"/>
    <n v="61"/>
    <n v="6.3"/>
    <n v="922.3"/>
    <n v="24.4"/>
    <n v="4000"/>
    <n v="6947.6"/>
    <n v="1"/>
    <n v="946.69999999999993"/>
  </r>
  <r>
    <x v="231"/>
    <x v="2"/>
    <n v="26.3"/>
    <n v="80.8"/>
    <n v="8.1999999999999993"/>
    <n v="553.1"/>
    <n v="53"/>
    <n v="4000"/>
    <n v="4923.1000000000004"/>
    <n v="1"/>
    <n v="606.1"/>
  </r>
  <r>
    <x v="232"/>
    <x v="2"/>
    <n v="23.9"/>
    <n v="95.8"/>
    <n v="8.6999999999999993"/>
    <n v="290.89999999999998"/>
    <n v="62.9"/>
    <n v="4000"/>
    <n v="4802.1000000000004"/>
    <n v="1"/>
    <n v="353.79999999999995"/>
  </r>
  <r>
    <x v="233"/>
    <x v="2"/>
    <n v="24"/>
    <n v="0.7"/>
    <n v="6.1"/>
    <n v="863.2"/>
    <n v="22.2"/>
    <n v="3858.7"/>
    <n v="4744.1000000000004"/>
    <n v="0"/>
    <n v="885.40000000000009"/>
  </r>
  <r>
    <x v="234"/>
    <x v="2"/>
    <n v="20.100000000000001"/>
    <n v="35"/>
    <n v="8.3000000000000007"/>
    <n v="320.5"/>
    <n v="54.7"/>
    <n v="4000"/>
    <n v="7984.7"/>
    <n v="1"/>
    <n v="375.2"/>
  </r>
  <r>
    <x v="235"/>
    <x v="2"/>
    <n v="19.399999999999999"/>
    <n v="77.900000000000006"/>
    <n v="4.0999999999999996"/>
    <n v="0"/>
    <n v="6.6"/>
    <n v="4000"/>
    <n v="7468.6"/>
    <n v="1"/>
    <n v="6.6"/>
  </r>
  <r>
    <x v="236"/>
    <x v="2"/>
    <n v="21"/>
    <n v="72.599999999999994"/>
    <n v="6.8"/>
    <n v="0"/>
    <n v="30.2"/>
    <n v="4000"/>
    <n v="7664.6"/>
    <n v="1"/>
    <n v="30.2"/>
  </r>
  <r>
    <x v="237"/>
    <x v="2"/>
    <n v="19.2"/>
    <n v="56.3"/>
    <n v="7.4"/>
    <n v="0"/>
    <n v="38.5"/>
    <n v="4000"/>
    <n v="7649.1"/>
    <n v="1"/>
    <n v="38.5"/>
  </r>
  <r>
    <x v="238"/>
    <x v="2"/>
    <n v="17.3"/>
    <n v="30.3"/>
    <n v="5.9"/>
    <n v="0"/>
    <n v="19.7"/>
    <n v="4000"/>
    <n v="4875.5"/>
    <n v="1"/>
    <n v="19.7"/>
  </r>
  <r>
    <x v="239"/>
    <x v="2"/>
    <n v="14.9"/>
    <n v="67.8"/>
    <n v="6.6"/>
    <n v="0"/>
    <n v="28.1"/>
    <n v="4000"/>
    <n v="4828.3"/>
    <n v="1"/>
    <n v="28.1"/>
  </r>
  <r>
    <x v="240"/>
    <x v="2"/>
    <n v="16.100000000000001"/>
    <n v="72.2"/>
    <n v="7.7"/>
    <n v="0"/>
    <n v="43"/>
    <n v="4000"/>
    <n v="5067.3999999999996"/>
    <n v="1"/>
    <n v="43"/>
  </r>
  <r>
    <x v="241"/>
    <x v="2"/>
    <n v="15.5"/>
    <n v="64.5"/>
    <n v="7.1"/>
    <n v="0"/>
    <n v="34.200000000000003"/>
    <n v="4000"/>
    <n v="5016.7"/>
    <n v="1"/>
    <n v="34.200000000000003"/>
  </r>
  <r>
    <x v="242"/>
    <x v="2"/>
    <n v="13.5"/>
    <n v="64.8"/>
    <n v="12.6"/>
    <n v="0"/>
    <n v="193.8"/>
    <n v="4000"/>
    <n v="4951.1000000000004"/>
    <n v="1"/>
    <n v="193.8"/>
  </r>
  <r>
    <x v="243"/>
    <x v="2"/>
    <n v="17"/>
    <n v="71.2"/>
    <n v="6.9"/>
    <n v="0"/>
    <n v="32"/>
    <n v="4000"/>
    <n v="4896"/>
    <n v="1"/>
    <n v="32"/>
  </r>
  <r>
    <x v="244"/>
    <x v="2"/>
    <n v="17"/>
    <n v="81.900000000000006"/>
    <n v="7.8"/>
    <n v="0"/>
    <n v="45.1"/>
    <n v="4000"/>
    <n v="5128.8999999999996"/>
    <n v="1"/>
    <n v="45.1"/>
  </r>
  <r>
    <x v="245"/>
    <x v="2"/>
    <n v="21.4"/>
    <n v="90.9"/>
    <n v="8.6"/>
    <n v="0"/>
    <n v="61.4"/>
    <n v="4000"/>
    <n v="4928.7"/>
    <n v="1"/>
    <n v="61.4"/>
  </r>
  <r>
    <x v="246"/>
    <x v="2"/>
    <n v="23.6"/>
    <n v="58.1"/>
    <n v="6.2"/>
    <n v="238.3"/>
    <n v="23.1"/>
    <n v="4000"/>
    <n v="4778.5"/>
    <n v="1"/>
    <n v="261.40000000000003"/>
  </r>
  <r>
    <x v="247"/>
    <x v="2"/>
    <n v="23"/>
    <n v="95.8"/>
    <n v="5.7"/>
    <n v="203"/>
    <n v="18.2"/>
    <n v="4000"/>
    <n v="4961"/>
    <n v="1"/>
    <n v="221.2"/>
  </r>
  <r>
    <x v="248"/>
    <x v="2"/>
    <n v="23.7"/>
    <n v="65.400000000000006"/>
    <n v="9.6999999999999993"/>
    <n v="595"/>
    <n v="87.3"/>
    <n v="4000"/>
    <n v="4782.1000000000004"/>
    <n v="1"/>
    <n v="682.3"/>
  </r>
  <r>
    <x v="249"/>
    <x v="2"/>
    <n v="23.8"/>
    <n v="100"/>
    <n v="6.8"/>
    <n v="312.7"/>
    <n v="30.1"/>
    <n v="4000"/>
    <n v="5040.5"/>
    <n v="1"/>
    <n v="342.8"/>
  </r>
  <r>
    <x v="250"/>
    <x v="2"/>
    <n v="26"/>
    <n v="76"/>
    <n v="8.5"/>
    <n v="706.3"/>
    <n v="59.3"/>
    <n v="4000"/>
    <n v="7341.3"/>
    <n v="1"/>
    <n v="765.59999999999991"/>
  </r>
  <r>
    <x v="251"/>
    <x v="2"/>
    <n v="28.9"/>
    <n v="86.2"/>
    <n v="5.0999999999999996"/>
    <n v="605.79999999999995"/>
    <n v="12.4"/>
    <n v="4000"/>
    <n v="7332.7"/>
    <n v="1"/>
    <n v="618.19999999999993"/>
  </r>
  <r>
    <x v="252"/>
    <x v="2"/>
    <n v="27.7"/>
    <n v="88"/>
    <n v="5.3"/>
    <n v="592.1"/>
    <n v="14.6"/>
    <n v="4000"/>
    <n v="7064.2"/>
    <n v="1"/>
    <n v="606.70000000000005"/>
  </r>
  <r>
    <x v="253"/>
    <x v="2"/>
    <n v="29.7"/>
    <n v="32.5"/>
    <n v="3.5"/>
    <n v="1442.7"/>
    <n v="4.0999999999999996"/>
    <n v="4000"/>
    <n v="7309.8"/>
    <n v="1"/>
    <n v="1446.8"/>
  </r>
  <r>
    <x v="254"/>
    <x v="2"/>
    <n v="26.9"/>
    <n v="44.3"/>
    <n v="10.1"/>
    <n v="1163.9000000000001"/>
    <n v="97.6"/>
    <n v="4000"/>
    <n v="7128.9"/>
    <n v="1"/>
    <n v="1261.5"/>
  </r>
  <r>
    <x v="255"/>
    <x v="2"/>
    <n v="25.6"/>
    <n v="16.899999999999999"/>
    <n v="2.1"/>
    <n v="1352"/>
    <n v="0.8"/>
    <n v="3660.8"/>
    <n v="5013.6000000000004"/>
    <n v="0"/>
    <n v="1352.8"/>
  </r>
  <r>
    <x v="256"/>
    <x v="2"/>
    <n v="20.2"/>
    <n v="90.4"/>
    <n v="5.5"/>
    <n v="345.4"/>
    <n v="16.2"/>
    <n v="4000"/>
    <n v="4992.2"/>
    <n v="1"/>
    <n v="361.59999999999997"/>
  </r>
  <r>
    <x v="257"/>
    <x v="2"/>
    <n v="27.9"/>
    <n v="54.6"/>
    <n v="5.7"/>
    <n v="489"/>
    <n v="17.600000000000001"/>
    <n v="4000"/>
    <n v="5436.5"/>
    <n v="1"/>
    <n v="506.6"/>
  </r>
  <r>
    <x v="258"/>
    <x v="2"/>
    <n v="25.4"/>
    <n v="10.9"/>
    <n v="0.6"/>
    <n v="406.4"/>
    <n v="0"/>
    <n v="4000"/>
    <n v="7849.3"/>
    <n v="1"/>
    <n v="406.4"/>
  </r>
  <r>
    <x v="259"/>
    <x v="2"/>
    <n v="21.9"/>
    <n v="74.900000000000006"/>
    <n v="9.1999999999999993"/>
    <n v="0"/>
    <n v="75"/>
    <n v="4000"/>
    <n v="7606.7"/>
    <n v="1"/>
    <n v="75"/>
  </r>
  <r>
    <x v="260"/>
    <x v="2"/>
    <n v="14.9"/>
    <n v="85.7"/>
    <n v="3.5"/>
    <n v="0"/>
    <n v="4.2"/>
    <n v="4000"/>
    <n v="7520"/>
    <n v="1"/>
    <n v="4.2"/>
  </r>
  <r>
    <x v="261"/>
    <x v="2"/>
    <n v="18.8"/>
    <n v="83.8"/>
    <n v="5.6"/>
    <n v="0"/>
    <n v="17.2"/>
    <n v="4000"/>
    <n v="7397.2"/>
    <n v="1"/>
    <n v="17.2"/>
  </r>
  <r>
    <x v="262"/>
    <x v="2"/>
    <n v="17.399999999999999"/>
    <n v="48.9"/>
    <n v="2"/>
    <n v="0"/>
    <n v="0.7"/>
    <n v="4000"/>
    <n v="4881.3"/>
    <n v="1"/>
    <n v="0.7"/>
  </r>
  <r>
    <x v="263"/>
    <x v="2"/>
    <n v="18.2"/>
    <n v="69.7"/>
    <n v="6.5"/>
    <n v="0"/>
    <n v="26.4"/>
    <n v="4000"/>
    <n v="4842.8"/>
    <n v="1"/>
    <n v="26.4"/>
  </r>
  <r>
    <x v="264"/>
    <x v="2"/>
    <n v="16.600000000000001"/>
    <n v="0"/>
    <n v="6.5"/>
    <n v="0"/>
    <n v="26.8"/>
    <n v="4000"/>
    <n v="4170.7"/>
    <n v="1"/>
    <n v="26.8"/>
  </r>
  <r>
    <x v="265"/>
    <x v="2"/>
    <n v="14.2"/>
    <n v="42.4"/>
    <n v="7"/>
    <n v="0"/>
    <n v="32.700000000000003"/>
    <n v="4000"/>
    <n v="4534.3"/>
    <n v="1"/>
    <n v="32.700000000000003"/>
  </r>
  <r>
    <x v="266"/>
    <x v="2"/>
    <n v="16.8"/>
    <n v="39.200000000000003"/>
    <n v="0.1"/>
    <n v="0"/>
    <n v="0"/>
    <n v="4000"/>
    <n v="4507.8999999999996"/>
    <n v="1"/>
    <n v="0"/>
  </r>
  <r>
    <x v="267"/>
    <x v="2"/>
    <n v="22.5"/>
    <n v="68.3"/>
    <n v="5.9"/>
    <n v="0"/>
    <n v="20.100000000000001"/>
    <n v="4000"/>
    <n v="4335.5"/>
    <n v="1"/>
    <n v="20.100000000000001"/>
  </r>
  <r>
    <x v="268"/>
    <x v="2"/>
    <n v="19.5"/>
    <n v="35.6"/>
    <n v="8.5"/>
    <n v="0"/>
    <n v="58.3"/>
    <n v="4000"/>
    <n v="4368.3"/>
    <n v="1"/>
    <n v="58.3"/>
  </r>
  <r>
    <x v="269"/>
    <x v="2"/>
    <n v="20.7"/>
    <n v="30.7"/>
    <n v="9.9"/>
    <n v="0"/>
    <n v="93.4"/>
    <n v="4000"/>
    <n v="4353.8999999999996"/>
    <n v="1"/>
    <n v="93.4"/>
  </r>
  <r>
    <x v="270"/>
    <x v="2"/>
    <n v="20.9"/>
    <n v="90.1"/>
    <n v="4.5"/>
    <n v="124.4"/>
    <n v="8.8000000000000007"/>
    <n v="4000"/>
    <n v="4419.7"/>
    <n v="1"/>
    <n v="133.20000000000002"/>
  </r>
  <r>
    <x v="271"/>
    <x v="2"/>
    <n v="21.8"/>
    <n v="6.9"/>
    <n v="7.4"/>
    <n v="820.1"/>
    <n v="39.1"/>
    <n v="3343.5"/>
    <n v="4202.7"/>
    <n v="0"/>
    <n v="859.2"/>
  </r>
  <r>
    <x v="272"/>
    <x v="2"/>
    <n v="22"/>
    <n v="0"/>
    <n v="5.7"/>
    <n v="1247"/>
    <n v="18.2"/>
    <n v="2780.1"/>
    <n v="4045.3"/>
    <n v="0"/>
    <n v="1265.2"/>
  </r>
  <r>
    <x v="273"/>
    <x v="2"/>
    <n v="24.9"/>
    <n v="28.7"/>
    <n v="2.5"/>
    <n v="1204.4000000000001"/>
    <n v="1.5"/>
    <n v="3091.6"/>
    <n v="4297.5"/>
    <n v="0"/>
    <n v="1205.9000000000001"/>
  </r>
  <r>
    <x v="274"/>
    <x v="2"/>
    <n v="25.2"/>
    <n v="69.5"/>
    <n v="3.3"/>
    <n v="800.2"/>
    <n v="3.6"/>
    <n v="4000"/>
    <n v="6309.7"/>
    <n v="1"/>
    <n v="803.80000000000007"/>
  </r>
  <r>
    <x v="275"/>
    <x v="2"/>
    <n v="29.4"/>
    <n v="77.599999999999994"/>
    <n v="4.8"/>
    <n v="739.6"/>
    <n v="10.4"/>
    <n v="4000"/>
    <n v="6267.2"/>
    <n v="1"/>
    <n v="750"/>
  </r>
  <r>
    <x v="276"/>
    <x v="2"/>
    <n v="26.5"/>
    <n v="60.2"/>
    <n v="5"/>
    <n v="1036.2"/>
    <n v="12.2"/>
    <n v="4000"/>
    <n v="6278.6"/>
    <n v="1"/>
    <n v="1048.4000000000001"/>
  </r>
  <r>
    <x v="277"/>
    <x v="2"/>
    <n v="27.3"/>
    <n v="30.2"/>
    <n v="3"/>
    <n v="1478.8"/>
    <n v="2.5"/>
    <n v="4000"/>
    <n v="6215.3"/>
    <n v="1"/>
    <n v="1481.3"/>
  </r>
  <r>
    <x v="278"/>
    <x v="2"/>
    <n v="23.1"/>
    <n v="23.5"/>
    <n v="6.5"/>
    <n v="1463.4"/>
    <n v="26.1"/>
    <n v="4000"/>
    <n v="6031.7"/>
    <n v="1"/>
    <n v="1489.5"/>
  </r>
  <r>
    <x v="279"/>
    <x v="2"/>
    <n v="26.6"/>
    <n v="61"/>
    <n v="0.1"/>
    <n v="800.1"/>
    <n v="0"/>
    <n v="3386"/>
    <n v="4186.1000000000004"/>
    <n v="0"/>
    <n v="800.1"/>
  </r>
  <r>
    <x v="280"/>
    <x v="2"/>
    <n v="26.1"/>
    <n v="30.2"/>
    <n v="7.3"/>
    <n v="945.9"/>
    <n v="36.700000000000003"/>
    <n v="3435.6"/>
    <n v="4418.2"/>
    <n v="0"/>
    <n v="982.6"/>
  </r>
  <r>
    <x v="281"/>
    <x v="2"/>
    <n v="23.5"/>
    <n v="22.1"/>
    <n v="0.6"/>
    <n v="714.6"/>
    <n v="0"/>
    <n v="3476.9"/>
    <n v="4191.5"/>
    <n v="0"/>
    <n v="714.6"/>
  </r>
  <r>
    <x v="282"/>
    <x v="2"/>
    <n v="21.8"/>
    <n v="48.1"/>
    <n v="2.4"/>
    <n v="273.89999999999998"/>
    <n v="1.4"/>
    <n v="4000"/>
    <n v="6662.6"/>
    <n v="1"/>
    <n v="275.29999999999995"/>
  </r>
  <r>
    <x v="283"/>
    <x v="2"/>
    <n v="21.2"/>
    <n v="58.7"/>
    <n v="6.5"/>
    <n v="0"/>
    <n v="26.9"/>
    <n v="4000"/>
    <n v="6660"/>
    <n v="1"/>
    <n v="26.9"/>
  </r>
  <r>
    <x v="284"/>
    <x v="2"/>
    <n v="21.8"/>
    <n v="24.7"/>
    <n v="7.5"/>
    <n v="0"/>
    <n v="39.9"/>
    <n v="4000"/>
    <n v="6619.5"/>
    <n v="1"/>
    <n v="39.9"/>
  </r>
  <r>
    <x v="285"/>
    <x v="2"/>
    <n v="19.399999999999999"/>
    <n v="53.9"/>
    <n v="4.4000000000000004"/>
    <n v="0"/>
    <n v="8.3000000000000007"/>
    <n v="4000"/>
    <n v="6897.3"/>
    <n v="1"/>
    <n v="8.3000000000000007"/>
  </r>
  <r>
    <x v="286"/>
    <x v="2"/>
    <n v="14.8"/>
    <n v="30.9"/>
    <n v="4.8"/>
    <n v="0"/>
    <n v="10.7"/>
    <n v="4000"/>
    <n v="4475.3999999999996"/>
    <n v="1"/>
    <n v="10.7"/>
  </r>
  <r>
    <x v="287"/>
    <x v="2"/>
    <n v="17.899999999999999"/>
    <n v="31"/>
    <n v="5.0999999999999996"/>
    <n v="0"/>
    <n v="12.5"/>
    <n v="4000"/>
    <n v="4505.6000000000004"/>
    <n v="1"/>
    <n v="12.5"/>
  </r>
  <r>
    <x v="288"/>
    <x v="2"/>
    <n v="15.6"/>
    <n v="89.4"/>
    <n v="1.9"/>
    <n v="0"/>
    <n v="0.6"/>
    <n v="4000"/>
    <n v="4227.8999999999996"/>
    <n v="1"/>
    <n v="0.6"/>
  </r>
  <r>
    <x v="289"/>
    <x v="2"/>
    <n v="18.8"/>
    <n v="92.7"/>
    <n v="4.5999999999999996"/>
    <n v="0"/>
    <n v="9.4"/>
    <n v="4000"/>
    <n v="4561.3"/>
    <n v="1"/>
    <n v="9.4"/>
  </r>
  <r>
    <x v="290"/>
    <x v="2"/>
    <n v="14.8"/>
    <n v="44.3"/>
    <n v="7.5"/>
    <n v="0"/>
    <n v="40.200000000000003"/>
    <n v="4000"/>
    <n v="4297.5"/>
    <n v="1"/>
    <n v="40.200000000000003"/>
  </r>
  <r>
    <x v="291"/>
    <x v="2"/>
    <n v="16.3"/>
    <n v="49"/>
    <n v="5.5"/>
    <n v="0"/>
    <n v="16.399999999999999"/>
    <n v="4000"/>
    <n v="4514.3999999999996"/>
    <n v="1"/>
    <n v="16.399999999999999"/>
  </r>
  <r>
    <x v="292"/>
    <x v="2"/>
    <n v="20.7"/>
    <n v="38.299999999999997"/>
    <n v="5.4"/>
    <n v="0"/>
    <n v="15.2"/>
    <n v="4000"/>
    <n v="4110.6000000000004"/>
    <n v="1"/>
    <n v="15.2"/>
  </r>
  <r>
    <x v="293"/>
    <x v="2"/>
    <n v="19.100000000000001"/>
    <n v="59.8"/>
    <n v="5.4"/>
    <n v="0"/>
    <n v="14.7"/>
    <n v="4000"/>
    <n v="4252.2"/>
    <n v="1"/>
    <n v="14.7"/>
  </r>
  <r>
    <x v="294"/>
    <x v="2"/>
    <n v="20.5"/>
    <n v="69.599999999999994"/>
    <n v="11"/>
    <n v="197.3"/>
    <n v="126.4"/>
    <n v="3940.5"/>
    <n v="4264.2"/>
    <n v="0"/>
    <n v="323.70000000000005"/>
  </r>
  <r>
    <x v="295"/>
    <x v="2"/>
    <n v="25.3"/>
    <n v="18.3"/>
    <n v="6.5"/>
    <n v="740.8"/>
    <n v="26"/>
    <n v="3574.2"/>
    <n v="4341"/>
    <n v="0"/>
    <n v="766.8"/>
  </r>
  <r>
    <x v="296"/>
    <x v="2"/>
    <n v="21.5"/>
    <n v="37.799999999999997"/>
    <n v="9.6"/>
    <n v="869.7"/>
    <n v="84.3"/>
    <n v="3201.4"/>
    <n v="4155.3999999999996"/>
    <n v="0"/>
    <n v="954"/>
  </r>
  <r>
    <x v="297"/>
    <x v="2"/>
    <n v="26"/>
    <n v="14"/>
    <n v="5.4"/>
    <n v="1388.3"/>
    <n v="15.2"/>
    <n v="3059"/>
    <n v="4462.5"/>
    <n v="0"/>
    <n v="1403.5"/>
  </r>
  <r>
    <x v="298"/>
    <x v="2"/>
    <n v="26.7"/>
    <n v="4.7"/>
    <n v="3.3"/>
    <n v="1734.4"/>
    <n v="3.5"/>
    <n v="4000"/>
    <n v="6285.3"/>
    <n v="1"/>
    <n v="1737.9"/>
  </r>
  <r>
    <x v="299"/>
    <x v="2"/>
    <n v="27.9"/>
    <n v="0"/>
    <n v="5.5"/>
    <n v="1949.9"/>
    <n v="16.100000000000001"/>
    <n v="4000"/>
    <n v="6230.4"/>
    <n v="1"/>
    <n v="1966"/>
  </r>
  <r>
    <x v="300"/>
    <x v="2"/>
    <n v="28.7"/>
    <n v="80.8"/>
    <n v="7.7"/>
    <n v="707.4"/>
    <n v="44.6"/>
    <n v="4000"/>
    <n v="6261.5"/>
    <n v="1"/>
    <n v="752"/>
  </r>
  <r>
    <x v="301"/>
    <x v="2"/>
    <n v="23"/>
    <n v="48.2"/>
    <n v="9"/>
    <n v="1197.9000000000001"/>
    <n v="70.099999999999994"/>
    <n v="4000"/>
    <n v="6120"/>
    <n v="1"/>
    <n v="1268"/>
  </r>
  <r>
    <x v="302"/>
    <x v="2"/>
    <n v="27.8"/>
    <n v="72.900000000000006"/>
    <n v="7.1"/>
    <n v="751.3"/>
    <n v="34.9"/>
    <n v="4000"/>
    <n v="6449"/>
    <n v="1"/>
    <n v="786.19999999999993"/>
  </r>
  <r>
    <x v="303"/>
    <x v="2"/>
    <n v="25.3"/>
    <n v="100"/>
    <n v="3.2"/>
    <n v="312.7"/>
    <n v="3.1"/>
    <n v="3920.8"/>
    <n v="4236.6000000000004"/>
    <n v="0"/>
    <n v="315.8"/>
  </r>
  <r>
    <x v="304"/>
    <x v="2"/>
    <n v="23.9"/>
    <n v="99.8"/>
    <n v="1.8"/>
    <n v="251.8"/>
    <n v="0.5"/>
    <n v="4000"/>
    <n v="4562.2"/>
    <n v="1"/>
    <n v="252.3"/>
  </r>
  <r>
    <x v="305"/>
    <x v="2"/>
    <n v="21.8"/>
    <n v="17.5"/>
    <n v="6.7"/>
    <n v="746"/>
    <n v="28.3"/>
    <n v="3633.6"/>
    <n v="4407.8999999999996"/>
    <n v="0"/>
    <n v="774.3"/>
  </r>
  <r>
    <x v="306"/>
    <x v="2"/>
    <n v="20.3"/>
    <n v="15"/>
    <n v="5.7"/>
    <n v="391.5"/>
    <n v="18"/>
    <n v="4000"/>
    <n v="6871.4"/>
    <n v="1"/>
    <n v="409.5"/>
  </r>
  <r>
    <x v="307"/>
    <x v="2"/>
    <n v="21.8"/>
    <n v="88.5"/>
    <n v="5.8"/>
    <n v="0"/>
    <n v="18.899999999999999"/>
    <n v="4000"/>
    <n v="6706.9"/>
    <n v="1"/>
    <n v="18.899999999999999"/>
  </r>
  <r>
    <x v="308"/>
    <x v="2"/>
    <n v="19.899999999999999"/>
    <n v="49.6"/>
    <n v="1.2"/>
    <n v="0"/>
    <n v="0.2"/>
    <n v="4000"/>
    <n v="6998.3"/>
    <n v="1"/>
    <n v="0.2"/>
  </r>
  <r>
    <x v="309"/>
    <x v="2"/>
    <n v="17.8"/>
    <n v="88.8"/>
    <n v="7.4"/>
    <n v="0"/>
    <n v="38.700000000000003"/>
    <n v="4000"/>
    <n v="6680.6"/>
    <n v="1"/>
    <n v="38.700000000000003"/>
  </r>
  <r>
    <x v="310"/>
    <x v="2"/>
    <n v="18"/>
    <n v="80.099999999999994"/>
    <n v="10.6"/>
    <n v="0"/>
    <n v="113.8"/>
    <n v="4000"/>
    <n v="4143.1000000000004"/>
    <n v="1"/>
    <n v="113.8"/>
  </r>
  <r>
    <x v="311"/>
    <x v="2"/>
    <n v="18.7"/>
    <n v="61.8"/>
    <n v="7.2"/>
    <n v="0"/>
    <n v="35.299999999999997"/>
    <n v="4000"/>
    <n v="4453.1000000000004"/>
    <n v="1"/>
    <n v="35.299999999999997"/>
  </r>
  <r>
    <x v="312"/>
    <x v="2"/>
    <n v="14.3"/>
    <n v="49.5"/>
    <n v="3.7"/>
    <n v="0"/>
    <n v="4.8"/>
    <n v="4000"/>
    <n v="5137.3999999999996"/>
    <n v="1"/>
    <n v="4.8"/>
  </r>
  <r>
    <x v="313"/>
    <x v="2"/>
    <n v="19.600000000000001"/>
    <n v="42.1"/>
    <n v="0"/>
    <n v="0"/>
    <n v="0"/>
    <n v="4000"/>
    <n v="5006.8999999999996"/>
    <n v="1"/>
    <n v="0"/>
  </r>
  <r>
    <x v="314"/>
    <x v="2"/>
    <n v="19.5"/>
    <n v="76.099999999999994"/>
    <n v="7.3"/>
    <n v="0"/>
    <n v="37.1"/>
    <n v="4000"/>
    <n v="4888.2"/>
    <n v="1"/>
    <n v="37.1"/>
  </r>
  <r>
    <x v="315"/>
    <x v="2"/>
    <n v="15.9"/>
    <n v="75.5"/>
    <n v="3.5"/>
    <n v="0"/>
    <n v="4.0999999999999996"/>
    <n v="4000"/>
    <n v="4908"/>
    <n v="1"/>
    <n v="4.0999999999999996"/>
  </r>
  <r>
    <x v="316"/>
    <x v="2"/>
    <n v="20.6"/>
    <n v="42.6"/>
    <n v="4.2"/>
    <n v="0"/>
    <n v="6.9"/>
    <n v="4000"/>
    <n v="5277.6"/>
    <n v="1"/>
    <n v="6.9"/>
  </r>
  <r>
    <x v="317"/>
    <x v="2"/>
    <n v="20.2"/>
    <n v="93.5"/>
    <n v="6.6"/>
    <n v="0"/>
    <n v="27.1"/>
    <n v="4000"/>
    <n v="4936.1000000000004"/>
    <n v="1"/>
    <n v="27.1"/>
  </r>
  <r>
    <x v="318"/>
    <x v="2"/>
    <n v="25.8"/>
    <n v="61.5"/>
    <n v="8.3000000000000007"/>
    <n v="226.2"/>
    <n v="55"/>
    <n v="4000"/>
    <n v="4840.3"/>
    <n v="1"/>
    <n v="281.2"/>
  </r>
  <r>
    <x v="319"/>
    <x v="2"/>
    <n v="24"/>
    <n v="69.3"/>
    <n v="0.3"/>
    <n v="386.4"/>
    <n v="0"/>
    <n v="4000"/>
    <n v="4858.8"/>
    <n v="1"/>
    <n v="386.4"/>
  </r>
  <r>
    <x v="320"/>
    <x v="2"/>
    <n v="27.1"/>
    <n v="48.1"/>
    <n v="2.7"/>
    <n v="767.3"/>
    <n v="1.9"/>
    <n v="4000"/>
    <n v="5252.3"/>
    <n v="1"/>
    <n v="769.19999999999993"/>
  </r>
  <r>
    <x v="321"/>
    <x v="2"/>
    <n v="25.7"/>
    <n v="70.7"/>
    <n v="6.6"/>
    <n v="679.6"/>
    <n v="27.3"/>
    <n v="4000"/>
    <n v="5002.1000000000004"/>
    <n v="1"/>
    <n v="706.9"/>
  </r>
  <r>
    <x v="322"/>
    <x v="2"/>
    <n v="29.2"/>
    <n v="77"/>
    <n v="2.9"/>
    <n v="691.3"/>
    <n v="2.2000000000000002"/>
    <n v="4000"/>
    <n v="7225.9"/>
    <n v="1"/>
    <n v="693.5"/>
  </r>
  <r>
    <x v="323"/>
    <x v="2"/>
    <n v="30.1"/>
    <n v="100"/>
    <n v="2.6"/>
    <n v="390"/>
    <n v="1.7"/>
    <n v="4000"/>
    <n v="7354.4"/>
    <n v="1"/>
    <n v="391.7"/>
  </r>
  <r>
    <x v="324"/>
    <x v="2"/>
    <n v="22.8"/>
    <n v="76.599999999999994"/>
    <n v="4.4000000000000004"/>
    <n v="774.5"/>
    <n v="7.9"/>
    <n v="4000"/>
    <n v="7186.4"/>
    <n v="1"/>
    <n v="782.4"/>
  </r>
  <r>
    <x v="325"/>
    <x v="2"/>
    <n v="25.3"/>
    <n v="9.3000000000000007"/>
    <n v="4.5999999999999996"/>
    <n v="1804.4"/>
    <n v="9.3000000000000007"/>
    <n v="4000"/>
    <n v="7438.5"/>
    <n v="1"/>
    <n v="1813.7"/>
  </r>
  <r>
    <x v="326"/>
    <x v="2"/>
    <n v="27.8"/>
    <n v="0"/>
    <n v="6.1"/>
    <n v="1801.9"/>
    <n v="21.6"/>
    <n v="4000"/>
    <n v="6853.7"/>
    <n v="1"/>
    <n v="1823.5"/>
  </r>
  <r>
    <x v="327"/>
    <x v="2"/>
    <n v="24.9"/>
    <n v="100"/>
    <n v="7.1"/>
    <n v="312.7"/>
    <n v="34.1"/>
    <n v="4000"/>
    <n v="4638.3"/>
    <n v="1"/>
    <n v="346.8"/>
  </r>
  <r>
    <x v="328"/>
    <x v="2"/>
    <n v="24.4"/>
    <n v="60.5"/>
    <n v="7.4"/>
    <n v="643"/>
    <n v="39.200000000000003"/>
    <n v="4000"/>
    <n v="4820.5"/>
    <n v="1"/>
    <n v="682.2"/>
  </r>
  <r>
    <x v="329"/>
    <x v="2"/>
    <n v="24.5"/>
    <n v="0"/>
    <n v="4.0999999999999996"/>
    <n v="867.8"/>
    <n v="6.7"/>
    <n v="3870.5"/>
    <n v="4745"/>
    <n v="0"/>
    <n v="874.5"/>
  </r>
  <r>
    <x v="330"/>
    <x v="2"/>
    <n v="23.3"/>
    <n v="60.7"/>
    <n v="1.8"/>
    <n v="229"/>
    <n v="0.5"/>
    <n v="4000"/>
    <n v="7626.8"/>
    <n v="1"/>
    <n v="229.5"/>
  </r>
  <r>
    <x v="331"/>
    <x v="2"/>
    <n v="21.1"/>
    <n v="57.6"/>
    <n v="4.3"/>
    <n v="0"/>
    <n v="7.4"/>
    <n v="4000"/>
    <n v="7552.3"/>
    <n v="1"/>
    <n v="7.4"/>
  </r>
  <r>
    <x v="332"/>
    <x v="2"/>
    <n v="20.9"/>
    <n v="44.5"/>
    <n v="5.7"/>
    <n v="0"/>
    <n v="18.100000000000001"/>
    <n v="4000"/>
    <n v="7627.9"/>
    <n v="1"/>
    <n v="18.100000000000001"/>
  </r>
  <r>
    <x v="333"/>
    <x v="2"/>
    <n v="15.6"/>
    <n v="4.4000000000000004"/>
    <n v="8.4"/>
    <n v="0"/>
    <n v="55.9"/>
    <n v="4000"/>
    <n v="8025.5"/>
    <n v="1"/>
    <n v="55.9"/>
  </r>
  <r>
    <x v="334"/>
    <x v="2"/>
    <n v="17"/>
    <n v="36.6"/>
    <n v="5.2"/>
    <n v="0"/>
    <n v="13.7"/>
    <n v="4000"/>
    <n v="4848.2"/>
    <n v="1"/>
    <n v="13.7"/>
  </r>
  <r>
    <x v="335"/>
    <x v="2"/>
    <n v="18.8"/>
    <n v="85.9"/>
    <n v="1.8"/>
    <n v="0"/>
    <n v="0.5"/>
    <n v="4000"/>
    <n v="5189.8"/>
    <n v="1"/>
    <n v="0.5"/>
  </r>
  <r>
    <x v="336"/>
    <x v="3"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9">
  <r>
    <x v="0"/>
    <x v="0"/>
    <n v="21.8"/>
    <n v="38"/>
    <n v="7"/>
    <n v="0"/>
    <n v="22.4"/>
    <n v="4000"/>
    <n v="5024.5"/>
    <n v="1"/>
    <n v="22.4"/>
    <n v="4022.4"/>
    <x v="0"/>
  </r>
  <r>
    <x v="1"/>
    <x v="0"/>
    <n v="21.9"/>
    <n v="56.6"/>
    <n v="5.5"/>
    <n v="0"/>
    <n v="10.9"/>
    <n v="4000"/>
    <n v="4914.8999999999996"/>
    <n v="1"/>
    <n v="10.9"/>
    <n v="4010.9"/>
    <x v="1"/>
  </r>
  <r>
    <x v="2"/>
    <x v="0"/>
    <n v="23.6"/>
    <n v="15.7"/>
    <n v="3.1"/>
    <n v="0"/>
    <n v="1.8"/>
    <n v="4000"/>
    <n v="4879.6000000000004"/>
    <n v="1"/>
    <n v="1.8"/>
    <n v="4001.8"/>
    <x v="2"/>
  </r>
  <r>
    <x v="3"/>
    <x v="0"/>
    <n v="20.9"/>
    <n v="0"/>
    <n v="2.9"/>
    <n v="0"/>
    <n v="1.5"/>
    <n v="4000"/>
    <n v="4986.3"/>
    <n v="1"/>
    <n v="1.5"/>
    <n v="4001.5"/>
    <x v="3"/>
  </r>
  <r>
    <x v="4"/>
    <x v="0"/>
    <n v="25.5"/>
    <n v="6.8"/>
    <n v="1.2"/>
    <n v="0"/>
    <n v="0.1"/>
    <n v="4000"/>
    <n v="4798.1000000000004"/>
    <n v="1"/>
    <n v="0.1"/>
    <n v="4000.1"/>
    <x v="4"/>
  </r>
  <r>
    <x v="5"/>
    <x v="0"/>
    <n v="26.1"/>
    <n v="26.4"/>
    <n v="1.2"/>
    <n v="0"/>
    <n v="0.1"/>
    <n v="4000"/>
    <n v="5169.8"/>
    <n v="1"/>
    <n v="0.1"/>
    <n v="4000.1"/>
    <x v="5"/>
  </r>
  <r>
    <x v="6"/>
    <x v="0"/>
    <n v="28.2"/>
    <n v="2"/>
    <n v="4.8"/>
    <n v="658.3"/>
    <n v="6.9"/>
    <n v="4000"/>
    <n v="4868.3"/>
    <n v="1"/>
    <n v="665.19999999999993"/>
    <n v="4665.2"/>
    <x v="6"/>
  </r>
  <r>
    <x v="7"/>
    <x v="0"/>
    <n v="29.1"/>
    <n v="13"/>
    <n v="7.7"/>
    <n v="1183.5"/>
    <n v="29.3"/>
    <n v="3647.1"/>
    <n v="4859.8999999999996"/>
    <n v="0"/>
    <n v="1212.8"/>
    <n v="4859.8999999999996"/>
    <x v="7"/>
  </r>
  <r>
    <x v="8"/>
    <x v="0"/>
    <n v="29.4"/>
    <n v="41.5"/>
    <n v="1.6"/>
    <n v="1327.7"/>
    <n v="0.2"/>
    <n v="3620.1"/>
    <n v="4948"/>
    <n v="0"/>
    <n v="1327.9"/>
    <n v="4948"/>
    <x v="8"/>
  </r>
  <r>
    <x v="9"/>
    <x v="0"/>
    <n v="29.3"/>
    <n v="0"/>
    <n v="4.4000000000000004"/>
    <n v="2345.5"/>
    <n v="5.4"/>
    <n v="2630.4"/>
    <n v="4981.3"/>
    <n v="0"/>
    <n v="2350.9"/>
    <n v="4981.3"/>
    <x v="9"/>
  </r>
  <r>
    <x v="10"/>
    <x v="0"/>
    <n v="33.5"/>
    <n v="22.7"/>
    <n v="3.4"/>
    <n v="2273.6999999999998"/>
    <n v="2.5"/>
    <n v="4000"/>
    <n v="7260.8"/>
    <n v="1"/>
    <n v="2276.1999999999998"/>
    <n v="6276.2"/>
    <x v="10"/>
  </r>
  <r>
    <x v="11"/>
    <x v="0"/>
    <n v="32.700000000000003"/>
    <n v="15.8"/>
    <n v="6.1"/>
    <n v="2601.6"/>
    <n v="14.6"/>
    <n v="4000"/>
    <n v="6928.2"/>
    <n v="1"/>
    <n v="2616.1999999999998"/>
    <n v="6616.2"/>
    <x v="11"/>
  </r>
  <r>
    <x v="12"/>
    <x v="0"/>
    <n v="31.4"/>
    <n v="31.5"/>
    <n v="3.2"/>
    <n v="2338.9"/>
    <n v="2.2000000000000002"/>
    <n v="4000"/>
    <n v="7201.5"/>
    <n v="1"/>
    <n v="2341.1"/>
    <n v="6341.1"/>
    <x v="12"/>
  </r>
  <r>
    <x v="13"/>
    <x v="0"/>
    <n v="34.700000000000003"/>
    <n v="45.6"/>
    <n v="5.9"/>
    <n v="1990.8"/>
    <n v="12.9"/>
    <n v="4000"/>
    <n v="7048.5"/>
    <n v="1"/>
    <n v="2003.7"/>
    <n v="6003.7"/>
    <x v="13"/>
  </r>
  <r>
    <x v="14"/>
    <x v="0"/>
    <n v="32.700000000000003"/>
    <n v="31.6"/>
    <n v="6"/>
    <n v="2104.5"/>
    <n v="13.5"/>
    <n v="4000"/>
    <n v="7024.1"/>
    <n v="1"/>
    <n v="2118"/>
    <n v="6118"/>
    <x v="14"/>
  </r>
  <r>
    <x v="15"/>
    <x v="0"/>
    <n v="32"/>
    <n v="2.9"/>
    <n v="1.6"/>
    <n v="2298.3000000000002"/>
    <n v="0.3"/>
    <n v="2579.5"/>
    <n v="4878.1000000000004"/>
    <n v="0"/>
    <n v="2298.6000000000004"/>
    <n v="4878.1000000000004"/>
    <x v="15"/>
  </r>
  <r>
    <x v="16"/>
    <x v="0"/>
    <n v="33"/>
    <n v="23.6"/>
    <n v="6"/>
    <n v="1562"/>
    <n v="13.9"/>
    <n v="3496"/>
    <n v="5071.8999999999996"/>
    <n v="0"/>
    <n v="1575.9"/>
    <n v="5071.8999999999996"/>
    <x v="16"/>
  </r>
  <r>
    <x v="17"/>
    <x v="0"/>
    <n v="28.6"/>
    <n v="32.200000000000003"/>
    <n v="7.1"/>
    <n v="1008"/>
    <n v="22.7"/>
    <n v="3973.5"/>
    <n v="5004.2"/>
    <n v="0"/>
    <n v="1030.7"/>
    <n v="5004.2"/>
    <x v="17"/>
  </r>
  <r>
    <x v="18"/>
    <x v="0"/>
    <n v="30.3"/>
    <n v="0"/>
    <n v="5.6"/>
    <n v="667.6"/>
    <n v="11.5"/>
    <n v="4000"/>
    <n v="7694.6"/>
    <n v="1"/>
    <n v="679.1"/>
    <n v="4679.1000000000004"/>
    <x v="18"/>
  </r>
  <r>
    <x v="19"/>
    <x v="0"/>
    <n v="26"/>
    <n v="26.8"/>
    <n v="0"/>
    <n v="0"/>
    <n v="0"/>
    <n v="4000"/>
    <n v="7713.1"/>
    <n v="1"/>
    <n v="0"/>
    <n v="4000"/>
    <x v="19"/>
  </r>
  <r>
    <x v="20"/>
    <x v="0"/>
    <n v="25.5"/>
    <n v="54.6"/>
    <n v="3"/>
    <n v="0"/>
    <n v="1.7"/>
    <n v="4000"/>
    <n v="7667"/>
    <n v="1"/>
    <n v="1.7"/>
    <n v="4001.7"/>
    <x v="20"/>
  </r>
  <r>
    <x v="21"/>
    <x v="0"/>
    <n v="23"/>
    <n v="43.3"/>
    <n v="4.7"/>
    <n v="0"/>
    <n v="6.5"/>
    <n v="4000"/>
    <n v="7578.7"/>
    <n v="1"/>
    <n v="6.5"/>
    <n v="4006.5"/>
    <x v="21"/>
  </r>
  <r>
    <x v="22"/>
    <x v="0"/>
    <n v="23.6"/>
    <n v="26.9"/>
    <n v="5.9"/>
    <n v="0"/>
    <n v="13.4"/>
    <n v="4000"/>
    <n v="4870.5"/>
    <n v="1"/>
    <n v="13.4"/>
    <n v="4013.4"/>
    <x v="22"/>
  </r>
  <r>
    <x v="23"/>
    <x v="0"/>
    <n v="21.7"/>
    <n v="17.2"/>
    <n v="1.1000000000000001"/>
    <n v="0"/>
    <n v="0.1"/>
    <n v="4000"/>
    <n v="4844.7"/>
    <n v="1"/>
    <n v="0.1"/>
    <n v="4000.1"/>
    <x v="23"/>
  </r>
  <r>
    <x v="24"/>
    <x v="0"/>
    <n v="22.4"/>
    <n v="25.1"/>
    <n v="3.5"/>
    <n v="0"/>
    <n v="2.8"/>
    <n v="4000"/>
    <n v="4994.3999999999996"/>
    <n v="1"/>
    <n v="2.8"/>
    <n v="4002.8"/>
    <x v="0"/>
  </r>
  <r>
    <x v="25"/>
    <x v="0"/>
    <n v="21.6"/>
    <n v="18.100000000000001"/>
    <n v="2.4"/>
    <n v="0"/>
    <n v="0.9"/>
    <n v="4000"/>
    <n v="4737.7"/>
    <n v="1"/>
    <n v="0.9"/>
    <n v="4000.9"/>
    <x v="1"/>
  </r>
  <r>
    <x v="26"/>
    <x v="0"/>
    <n v="23.4"/>
    <n v="62.7"/>
    <n v="4.3"/>
    <n v="0"/>
    <n v="5.3"/>
    <n v="4000"/>
    <n v="4925.8"/>
    <n v="1"/>
    <n v="5.3"/>
    <n v="4005.3"/>
    <x v="2"/>
  </r>
  <r>
    <x v="27"/>
    <x v="0"/>
    <n v="23.6"/>
    <n v="0"/>
    <n v="3.9"/>
    <n v="0"/>
    <n v="3.9"/>
    <n v="4000"/>
    <n v="4988.6000000000004"/>
    <n v="1"/>
    <n v="3.9"/>
    <n v="4003.9"/>
    <x v="3"/>
  </r>
  <r>
    <x v="28"/>
    <x v="0"/>
    <n v="28.7"/>
    <n v="21.2"/>
    <n v="4.5999999999999996"/>
    <n v="0"/>
    <n v="6.2"/>
    <n v="4000"/>
    <n v="4959"/>
    <n v="1"/>
    <n v="6.2"/>
    <n v="4006.2"/>
    <x v="4"/>
  </r>
  <r>
    <x v="29"/>
    <x v="0"/>
    <n v="24.7"/>
    <n v="47.9"/>
    <n v="5.5"/>
    <n v="0"/>
    <n v="10.7"/>
    <n v="4000"/>
    <n v="4944.8"/>
    <n v="1"/>
    <n v="10.7"/>
    <n v="4010.7"/>
    <x v="5"/>
  </r>
  <r>
    <x v="30"/>
    <x v="0"/>
    <n v="26.6"/>
    <n v="53.1"/>
    <n v="1.2"/>
    <n v="419.6"/>
    <n v="0.1"/>
    <n v="4000"/>
    <n v="5068.7"/>
    <n v="1"/>
    <n v="419.70000000000005"/>
    <n v="4419.7"/>
    <x v="6"/>
  </r>
  <r>
    <x v="31"/>
    <x v="0"/>
    <n v="32.799999999999997"/>
    <n v="5.2"/>
    <n v="2.9"/>
    <n v="1254.4000000000001"/>
    <n v="1.5"/>
    <n v="3782.1"/>
    <n v="5038"/>
    <n v="0"/>
    <n v="1255.9000000000001"/>
    <n v="5038"/>
    <x v="7"/>
  </r>
  <r>
    <x v="32"/>
    <x v="0"/>
    <n v="30.2"/>
    <n v="0"/>
    <n v="4.0999999999999996"/>
    <n v="1870.5"/>
    <n v="4.5"/>
    <n v="3089.9"/>
    <n v="4964.8999999999996"/>
    <n v="0"/>
    <n v="1875"/>
    <n v="4964.8999999999996"/>
    <x v="8"/>
  </r>
  <r>
    <x v="33"/>
    <x v="0"/>
    <n v="33"/>
    <n v="6.6"/>
    <n v="7.1"/>
    <n v="2236.9"/>
    <n v="22.9"/>
    <n v="2530.9"/>
    <n v="4790.7"/>
    <n v="0"/>
    <n v="2259.8000000000002"/>
    <n v="4790.7000000000007"/>
    <x v="9"/>
  </r>
  <r>
    <x v="34"/>
    <x v="0"/>
    <n v="32.700000000000003"/>
    <n v="41.3"/>
    <n v="1.5"/>
    <n v="1922.1"/>
    <n v="0.2"/>
    <n v="4000"/>
    <n v="7032.5"/>
    <n v="1"/>
    <n v="1922.3"/>
    <n v="5922.3"/>
    <x v="10"/>
  </r>
  <r>
    <x v="35"/>
    <x v="0"/>
    <n v="35.799999999999997"/>
    <n v="0"/>
    <n v="4.4000000000000004"/>
    <n v="2924.8"/>
    <n v="5.3"/>
    <n v="4000"/>
    <n v="7184.1"/>
    <n v="1"/>
    <n v="2930.1000000000004"/>
    <n v="6930.1"/>
    <x v="11"/>
  </r>
  <r>
    <x v="36"/>
    <x v="0"/>
    <n v="35.200000000000003"/>
    <n v="0.3"/>
    <n v="1.4"/>
    <n v="2994.5"/>
    <n v="0.2"/>
    <n v="4000"/>
    <n v="7189"/>
    <n v="1"/>
    <n v="2994.7"/>
    <n v="6994.7"/>
    <x v="12"/>
  </r>
  <r>
    <x v="37"/>
    <x v="0"/>
    <n v="34.200000000000003"/>
    <n v="30"/>
    <n v="4.7"/>
    <n v="2310.4"/>
    <n v="6.6"/>
    <n v="4000"/>
    <n v="7228.3"/>
    <n v="1"/>
    <n v="2317"/>
    <n v="6317"/>
    <x v="13"/>
  </r>
  <r>
    <x v="38"/>
    <x v="0"/>
    <n v="33.5"/>
    <n v="30.9"/>
    <n v="2.6"/>
    <n v="2119"/>
    <n v="1.1000000000000001"/>
    <n v="4000"/>
    <n v="7048"/>
    <n v="1"/>
    <n v="2120.1"/>
    <n v="6120.1"/>
    <x v="14"/>
  </r>
  <r>
    <x v="39"/>
    <x v="0"/>
    <n v="33"/>
    <n v="1.2"/>
    <n v="5.3"/>
    <n v="2326.1999999999998"/>
    <n v="9.6"/>
    <n v="2894.1"/>
    <n v="5229.8999999999996"/>
    <n v="0"/>
    <n v="2335.7999999999997"/>
    <n v="5229.8999999999996"/>
    <x v="15"/>
  </r>
  <r>
    <x v="40"/>
    <x v="0"/>
    <n v="32.200000000000003"/>
    <n v="48.2"/>
    <n v="2.4"/>
    <n v="1239.7"/>
    <n v="0.8"/>
    <n v="3563.3"/>
    <n v="4803.8"/>
    <n v="0"/>
    <n v="1240.5"/>
    <n v="4803.8"/>
    <x v="16"/>
  </r>
  <r>
    <x v="41"/>
    <x v="0"/>
    <n v="30.2"/>
    <n v="41.4"/>
    <n v="7.8"/>
    <n v="924.1"/>
    <n v="30.3"/>
    <n v="4000"/>
    <n v="5094.5"/>
    <n v="1"/>
    <n v="954.4"/>
    <n v="4954.3999999999996"/>
    <x v="17"/>
  </r>
  <r>
    <x v="42"/>
    <x v="0"/>
    <n v="26.9"/>
    <n v="7.2"/>
    <n v="2.4"/>
    <n v="633.9"/>
    <n v="0.9"/>
    <n v="4000"/>
    <n v="7663.2"/>
    <n v="1"/>
    <n v="634.79999999999995"/>
    <n v="4634.8"/>
    <x v="18"/>
  </r>
  <r>
    <x v="43"/>
    <x v="0"/>
    <n v="27"/>
    <n v="30.5"/>
    <n v="5.7"/>
    <n v="0"/>
    <n v="11.6"/>
    <n v="4000"/>
    <n v="7688.4"/>
    <n v="1"/>
    <n v="11.6"/>
    <n v="4011.6"/>
    <x v="19"/>
  </r>
  <r>
    <x v="44"/>
    <x v="0"/>
    <n v="27.2"/>
    <n v="19.7"/>
    <n v="9.4"/>
    <n v="0"/>
    <n v="53.8"/>
    <n v="4000"/>
    <n v="7702"/>
    <n v="1"/>
    <n v="53.8"/>
    <n v="4053.8"/>
    <x v="20"/>
  </r>
  <r>
    <x v="45"/>
    <x v="0"/>
    <n v="22.5"/>
    <n v="3.6"/>
    <n v="5"/>
    <n v="0"/>
    <n v="7.8"/>
    <n v="4000"/>
    <n v="7793.9"/>
    <n v="1"/>
    <n v="7.8"/>
    <n v="4007.8"/>
    <x v="21"/>
  </r>
  <r>
    <x v="46"/>
    <x v="0"/>
    <n v="23.9"/>
    <n v="34.5"/>
    <n v="3.9"/>
    <n v="0"/>
    <n v="3.7"/>
    <n v="4000"/>
    <n v="4916.5"/>
    <n v="1"/>
    <n v="3.7"/>
    <n v="4003.7"/>
    <x v="22"/>
  </r>
  <r>
    <x v="47"/>
    <x v="0"/>
    <n v="19.899999999999999"/>
    <n v="16.100000000000001"/>
    <n v="5.7"/>
    <n v="0"/>
    <n v="11.9"/>
    <n v="4000"/>
    <n v="4823"/>
    <n v="1"/>
    <n v="11.9"/>
    <n v="4011.9"/>
    <x v="23"/>
  </r>
  <r>
    <x v="48"/>
    <x v="0"/>
    <n v="20.100000000000001"/>
    <n v="28.5"/>
    <n v="4.8"/>
    <n v="0"/>
    <n v="6.9"/>
    <n v="4000"/>
    <n v="4982.1000000000004"/>
    <n v="1"/>
    <n v="6.9"/>
    <n v="4006.9"/>
    <x v="0"/>
  </r>
  <r>
    <x v="49"/>
    <x v="0"/>
    <n v="22.4"/>
    <n v="26.2"/>
    <n v="1.7"/>
    <n v="0"/>
    <n v="0.3"/>
    <n v="4000"/>
    <n v="4817.3999999999996"/>
    <n v="1"/>
    <n v="0.3"/>
    <n v="4000.3"/>
    <x v="1"/>
  </r>
  <r>
    <x v="50"/>
    <x v="0"/>
    <n v="23.6"/>
    <n v="46.7"/>
    <n v="6.1"/>
    <n v="0"/>
    <n v="14.6"/>
    <n v="4000"/>
    <n v="5003.7"/>
    <n v="1"/>
    <n v="14.6"/>
    <n v="4014.6"/>
    <x v="2"/>
  </r>
  <r>
    <x v="51"/>
    <x v="0"/>
    <n v="22.4"/>
    <n v="35.299999999999997"/>
    <n v="5"/>
    <n v="0"/>
    <n v="8.1"/>
    <n v="4000"/>
    <n v="4743.3"/>
    <n v="1"/>
    <n v="8.1"/>
    <n v="4008.1"/>
    <x v="3"/>
  </r>
  <r>
    <x v="52"/>
    <x v="0"/>
    <n v="30.8"/>
    <n v="36.4"/>
    <n v="6.3"/>
    <n v="0"/>
    <n v="15.8"/>
    <n v="4000"/>
    <n v="5027.3"/>
    <n v="1"/>
    <n v="15.8"/>
    <n v="4015.8"/>
    <x v="4"/>
  </r>
  <r>
    <x v="53"/>
    <x v="0"/>
    <n v="27.4"/>
    <n v="18.7"/>
    <n v="5.5"/>
    <n v="0"/>
    <n v="10.8"/>
    <n v="4000"/>
    <n v="5093.1000000000004"/>
    <n v="1"/>
    <n v="10.8"/>
    <n v="4010.8"/>
    <x v="5"/>
  </r>
  <r>
    <x v="54"/>
    <x v="0"/>
    <n v="27.6"/>
    <n v="15.3"/>
    <n v="4.2"/>
    <n v="596.1"/>
    <n v="4.5999999999999996"/>
    <n v="4000"/>
    <n v="4834.1000000000004"/>
    <n v="1"/>
    <n v="600.70000000000005"/>
    <n v="4600.7"/>
    <x v="6"/>
  </r>
  <r>
    <x v="55"/>
    <x v="0"/>
    <n v="26.8"/>
    <n v="38.700000000000003"/>
    <n v="0.8"/>
    <n v="948.8"/>
    <n v="0"/>
    <n v="4000"/>
    <n v="5297.2"/>
    <n v="1"/>
    <n v="948.8"/>
    <n v="4948.8"/>
    <x v="7"/>
  </r>
  <r>
    <x v="56"/>
    <x v="0"/>
    <n v="32.6"/>
    <n v="26.3"/>
    <n v="1.8"/>
    <n v="1526.3"/>
    <n v="0.4"/>
    <n v="3352.5"/>
    <n v="4879.2"/>
    <n v="0"/>
    <n v="1526.7"/>
    <n v="4879.2"/>
    <x v="8"/>
  </r>
  <r>
    <x v="57"/>
    <x v="0"/>
    <n v="33.299999999999997"/>
    <n v="10.4"/>
    <n v="4.4000000000000004"/>
    <n v="2174.9"/>
    <n v="5.6"/>
    <n v="2662.2"/>
    <n v="4842.7"/>
    <n v="0"/>
    <n v="2180.5"/>
    <n v="4842.7"/>
    <x v="9"/>
  </r>
  <r>
    <x v="58"/>
    <x v="0"/>
    <n v="32.200000000000003"/>
    <n v="67.900000000000006"/>
    <n v="5.3"/>
    <n v="1418.6"/>
    <n v="9.4"/>
    <n v="4000"/>
    <n v="7156.8"/>
    <n v="1"/>
    <n v="1428"/>
    <n v="5428"/>
    <x v="10"/>
  </r>
  <r>
    <x v="59"/>
    <x v="0"/>
    <n v="34.1"/>
    <n v="11.8"/>
    <n v="5.7"/>
    <n v="2683.9"/>
    <n v="11.9"/>
    <n v="4000"/>
    <n v="6846.2"/>
    <n v="1"/>
    <n v="2695.8"/>
    <n v="6695.8"/>
    <x v="11"/>
  </r>
  <r>
    <x v="60"/>
    <x v="0"/>
    <n v="33.799999999999997"/>
    <n v="35.1"/>
    <n v="5.7"/>
    <n v="2262.9"/>
    <n v="12.1"/>
    <n v="4000"/>
    <n v="7031.1"/>
    <n v="1"/>
    <n v="2275"/>
    <n v="6275"/>
    <x v="12"/>
  </r>
  <r>
    <x v="61"/>
    <x v="0"/>
    <n v="33.299999999999997"/>
    <n v="15.5"/>
    <n v="2.7"/>
    <n v="2607.4"/>
    <n v="1.3"/>
    <n v="4000"/>
    <n v="6970"/>
    <n v="1"/>
    <n v="2608.7000000000003"/>
    <n v="6608.7000000000007"/>
    <x v="13"/>
  </r>
  <r>
    <x v="62"/>
    <x v="0"/>
    <n v="33.799999999999997"/>
    <n v="0"/>
    <n v="5.8"/>
    <n v="2702.9"/>
    <n v="12.7"/>
    <n v="4000"/>
    <n v="7414.8"/>
    <n v="1"/>
    <n v="2715.6"/>
    <n v="6715.6"/>
    <x v="14"/>
  </r>
  <r>
    <x v="63"/>
    <x v="0"/>
    <n v="33.799999999999997"/>
    <n v="0"/>
    <n v="3"/>
    <n v="2345.5"/>
    <n v="1.8"/>
    <n v="2921"/>
    <n v="5268.3"/>
    <n v="0"/>
    <n v="2347.3000000000002"/>
    <n v="5268.3"/>
    <x v="15"/>
  </r>
  <r>
    <x v="64"/>
    <x v="0"/>
    <n v="29.9"/>
    <n v="33.9"/>
    <n v="5.5"/>
    <n v="1426.9"/>
    <n v="10.9"/>
    <n v="3702.2"/>
    <n v="5140"/>
    <n v="0"/>
    <n v="1437.8000000000002"/>
    <n v="5140"/>
    <x v="16"/>
  </r>
  <r>
    <x v="65"/>
    <x v="0"/>
    <n v="29.5"/>
    <n v="0"/>
    <n v="2"/>
    <n v="1301.7"/>
    <n v="0.5"/>
    <n v="3508.8"/>
    <n v="4811"/>
    <n v="0"/>
    <n v="1302.2"/>
    <n v="4811"/>
    <x v="17"/>
  </r>
  <r>
    <x v="66"/>
    <x v="0"/>
    <n v="26.1"/>
    <n v="57.6"/>
    <n v="1.1000000000000001"/>
    <n v="398.2"/>
    <n v="0.1"/>
    <n v="4000"/>
    <n v="7662.1"/>
    <n v="1"/>
    <n v="398.3"/>
    <n v="4398.3"/>
    <x v="18"/>
  </r>
  <r>
    <x v="67"/>
    <x v="0"/>
    <n v="26.6"/>
    <n v="53.8"/>
    <n v="1.1000000000000001"/>
    <n v="0"/>
    <n v="0.1"/>
    <n v="4000"/>
    <n v="7634"/>
    <n v="1"/>
    <n v="0.1"/>
    <n v="4000.1"/>
    <x v="19"/>
  </r>
  <r>
    <x v="68"/>
    <x v="0"/>
    <n v="25"/>
    <n v="5.4"/>
    <n v="4.9000000000000004"/>
    <n v="0"/>
    <n v="7.6"/>
    <n v="4000"/>
    <n v="7874.5"/>
    <n v="1"/>
    <n v="7.6"/>
    <n v="4007.6"/>
    <x v="20"/>
  </r>
  <r>
    <x v="69"/>
    <x v="0"/>
    <n v="22.9"/>
    <n v="26.4"/>
    <n v="3.2"/>
    <n v="0"/>
    <n v="2.2000000000000002"/>
    <n v="4000"/>
    <n v="7729.9"/>
    <n v="1"/>
    <n v="2.2000000000000002"/>
    <n v="4002.2"/>
    <x v="21"/>
  </r>
  <r>
    <x v="70"/>
    <x v="0"/>
    <n v="23.8"/>
    <n v="56.7"/>
    <n v="1.5"/>
    <n v="0"/>
    <n v="0.2"/>
    <n v="4000"/>
    <n v="4967"/>
    <n v="1"/>
    <n v="0.2"/>
    <n v="4000.2"/>
    <x v="22"/>
  </r>
  <r>
    <x v="71"/>
    <x v="0"/>
    <n v="19.3"/>
    <n v="22"/>
    <n v="5.2"/>
    <n v="0"/>
    <n v="8.9"/>
    <n v="4000"/>
    <n v="5270"/>
    <n v="1"/>
    <n v="8.9"/>
    <n v="4008.9"/>
    <x v="23"/>
  </r>
  <r>
    <x v="72"/>
    <x v="0"/>
    <n v="21.1"/>
    <n v="20.8"/>
    <n v="3"/>
    <n v="0"/>
    <n v="1.8"/>
    <n v="4000"/>
    <n v="4992.1000000000004"/>
    <n v="1"/>
    <n v="1.8"/>
    <n v="4001.8"/>
    <x v="0"/>
  </r>
  <r>
    <x v="73"/>
    <x v="0"/>
    <n v="23.5"/>
    <n v="32.1"/>
    <n v="2.6"/>
    <n v="0"/>
    <n v="1.1000000000000001"/>
    <n v="4000"/>
    <n v="4861.6000000000004"/>
    <n v="1"/>
    <n v="1.1000000000000001"/>
    <n v="4001.1"/>
    <x v="1"/>
  </r>
  <r>
    <x v="74"/>
    <x v="0"/>
    <n v="23.3"/>
    <n v="41.3"/>
    <n v="5.3"/>
    <n v="0"/>
    <n v="9.3000000000000007"/>
    <n v="4000"/>
    <n v="5084.8999999999996"/>
    <n v="1"/>
    <n v="9.3000000000000007"/>
    <n v="4009.3"/>
    <x v="2"/>
  </r>
  <r>
    <x v="75"/>
    <x v="0"/>
    <n v="22.9"/>
    <n v="39.9"/>
    <n v="5.2"/>
    <n v="0"/>
    <n v="9.1"/>
    <n v="4000"/>
    <n v="4825.7"/>
    <n v="1"/>
    <n v="9.1"/>
    <n v="4009.1"/>
    <x v="3"/>
  </r>
  <r>
    <x v="76"/>
    <x v="0"/>
    <n v="25.2"/>
    <n v="50.6"/>
    <n v="2.8"/>
    <n v="0"/>
    <n v="1.4"/>
    <n v="4000"/>
    <n v="4946.8999999999996"/>
    <n v="1"/>
    <n v="1.4"/>
    <n v="4001.4"/>
    <x v="4"/>
  </r>
  <r>
    <x v="77"/>
    <x v="0"/>
    <n v="26.1"/>
    <n v="20.6"/>
    <n v="6.2"/>
    <n v="0"/>
    <n v="15.2"/>
    <n v="4000"/>
    <n v="5032.1000000000004"/>
    <n v="1"/>
    <n v="15.2"/>
    <n v="4015.2"/>
    <x v="5"/>
  </r>
  <r>
    <x v="78"/>
    <x v="0"/>
    <n v="29.2"/>
    <n v="51.1"/>
    <n v="4"/>
    <n v="428.7"/>
    <n v="4.2"/>
    <n v="4000"/>
    <n v="5073.8"/>
    <n v="1"/>
    <n v="432.9"/>
    <n v="4432.8999999999996"/>
    <x v="6"/>
  </r>
  <r>
    <x v="79"/>
    <x v="0"/>
    <n v="29.1"/>
    <n v="31.5"/>
    <n v="3.7"/>
    <n v="1014.8"/>
    <n v="3.3"/>
    <n v="4000"/>
    <n v="5052.3"/>
    <n v="1"/>
    <n v="1018.0999999999999"/>
    <n v="5018.1000000000004"/>
    <x v="7"/>
  </r>
  <r>
    <x v="80"/>
    <x v="0"/>
    <n v="31.9"/>
    <n v="8.6"/>
    <n v="8.1999999999999993"/>
    <n v="1757.4"/>
    <n v="35.1"/>
    <n v="3172"/>
    <n v="4964.5"/>
    <n v="0"/>
    <n v="1792.5"/>
    <n v="4964.5"/>
    <x v="8"/>
  </r>
  <r>
    <x v="81"/>
    <x v="0"/>
    <n v="30.4"/>
    <n v="48.2"/>
    <n v="5.6"/>
    <n v="1554.7"/>
    <n v="11.1"/>
    <n v="3233.3"/>
    <n v="4799.1000000000004"/>
    <n v="0"/>
    <n v="1565.8"/>
    <n v="4799.1000000000004"/>
    <x v="9"/>
  </r>
  <r>
    <x v="82"/>
    <x v="0"/>
    <n v="34.1"/>
    <n v="24.8"/>
    <n v="2.2000000000000002"/>
    <n v="2234.5"/>
    <n v="0.7"/>
    <n v="4000"/>
    <n v="7243.6"/>
    <n v="1"/>
    <n v="2235.1999999999998"/>
    <n v="6235.2"/>
    <x v="10"/>
  </r>
  <r>
    <x v="83"/>
    <x v="0"/>
    <n v="32.799999999999997"/>
    <n v="44.5"/>
    <n v="3.7"/>
    <n v="2013.7"/>
    <n v="3.3"/>
    <n v="4000"/>
    <n v="7161.4"/>
    <n v="1"/>
    <n v="2017"/>
    <n v="6017"/>
    <x v="11"/>
  </r>
  <r>
    <x v="84"/>
    <x v="0"/>
    <n v="33.5"/>
    <n v="33.299999999999997"/>
    <n v="2.9"/>
    <n v="2301.6"/>
    <n v="1.5"/>
    <n v="4000"/>
    <n v="7026.2"/>
    <n v="1"/>
    <n v="2303.1"/>
    <n v="6303.1"/>
    <x v="12"/>
  </r>
  <r>
    <x v="85"/>
    <x v="0"/>
    <n v="34.200000000000003"/>
    <n v="29.9"/>
    <n v="3"/>
    <n v="2312.6"/>
    <n v="1.7"/>
    <n v="4000"/>
    <n v="7026.7"/>
    <n v="1"/>
    <n v="2314.2999999999997"/>
    <n v="6314.2999999999993"/>
    <x v="13"/>
  </r>
  <r>
    <x v="86"/>
    <x v="0"/>
    <n v="33.5"/>
    <n v="0"/>
    <n v="1.2"/>
    <n v="2702.9"/>
    <n v="0.1"/>
    <n v="4000"/>
    <n v="7079.3"/>
    <n v="1"/>
    <n v="2703"/>
    <n v="6703"/>
    <x v="14"/>
  </r>
  <r>
    <x v="87"/>
    <x v="0"/>
    <n v="31.9"/>
    <n v="31.2"/>
    <n v="7"/>
    <n v="1832.9"/>
    <n v="21.5"/>
    <n v="2987.8"/>
    <n v="4842.2"/>
    <n v="0"/>
    <n v="1854.4"/>
    <n v="4842.2000000000007"/>
    <x v="15"/>
  </r>
  <r>
    <x v="88"/>
    <x v="0"/>
    <n v="30.8"/>
    <n v="24.6"/>
    <n v="2"/>
    <n v="1548.1"/>
    <n v="0.5"/>
    <n v="3530"/>
    <n v="5078.6000000000004"/>
    <n v="0"/>
    <n v="1548.6"/>
    <n v="5078.6000000000004"/>
    <x v="16"/>
  </r>
  <r>
    <x v="89"/>
    <x v="0"/>
    <n v="29.1"/>
    <n v="31.5"/>
    <n v="2.2999999999999998"/>
    <n v="1015.1"/>
    <n v="0.8"/>
    <n v="3931.3"/>
    <n v="4947.2"/>
    <n v="0"/>
    <n v="1015.9"/>
    <n v="4947.2"/>
    <x v="17"/>
  </r>
  <r>
    <x v="90"/>
    <x v="0"/>
    <n v="30.3"/>
    <n v="22.8"/>
    <n v="4.8"/>
    <n v="560.9"/>
    <n v="7.1"/>
    <n v="4000"/>
    <n v="7777.9"/>
    <n v="1"/>
    <n v="568"/>
    <n v="4568"/>
    <x v="18"/>
  </r>
  <r>
    <x v="91"/>
    <x v="0"/>
    <n v="25.8"/>
    <n v="29.5"/>
    <n v="4"/>
    <n v="0"/>
    <n v="4.2"/>
    <n v="4000"/>
    <n v="7803.5"/>
    <n v="1"/>
    <n v="4.2"/>
    <n v="4004.2"/>
    <x v="19"/>
  </r>
  <r>
    <x v="92"/>
    <x v="0"/>
    <n v="23.8"/>
    <n v="25.5"/>
    <n v="5"/>
    <n v="0"/>
    <n v="8"/>
    <n v="4000"/>
    <n v="7714.7"/>
    <n v="1"/>
    <n v="8"/>
    <n v="4008"/>
    <x v="20"/>
  </r>
  <r>
    <x v="93"/>
    <x v="0"/>
    <n v="25.2"/>
    <n v="68.099999999999994"/>
    <n v="2.5"/>
    <n v="0"/>
    <n v="1"/>
    <n v="4000"/>
    <n v="7917.7"/>
    <n v="1"/>
    <n v="1"/>
    <n v="4001"/>
    <x v="21"/>
  </r>
  <r>
    <x v="94"/>
    <x v="0"/>
    <n v="23.1"/>
    <n v="68.8"/>
    <n v="2.4"/>
    <n v="0"/>
    <n v="0.9"/>
    <n v="4000"/>
    <n v="5080.8"/>
    <n v="1"/>
    <n v="0.9"/>
    <n v="4000.9"/>
    <x v="22"/>
  </r>
  <r>
    <x v="95"/>
    <x v="0"/>
    <n v="21.3"/>
    <n v="0"/>
    <n v="2.9"/>
    <n v="0"/>
    <n v="1.6"/>
    <n v="4000"/>
    <n v="4824"/>
    <n v="1"/>
    <n v="1.6"/>
    <n v="4001.6"/>
    <x v="23"/>
  </r>
  <r>
    <x v="96"/>
    <x v="0"/>
    <n v="22.2"/>
    <n v="31.8"/>
    <n v="7.8"/>
    <n v="0"/>
    <n v="29.8"/>
    <n v="4000"/>
    <n v="4206.1000000000004"/>
    <n v="1"/>
    <n v="29.8"/>
    <n v="4029.8"/>
    <x v="0"/>
  </r>
  <r>
    <x v="97"/>
    <x v="0"/>
    <n v="21.3"/>
    <n v="7"/>
    <n v="5"/>
    <n v="0"/>
    <n v="7.9"/>
    <n v="4000"/>
    <n v="4462.6000000000004"/>
    <n v="1"/>
    <n v="7.9"/>
    <n v="4007.9"/>
    <x v="1"/>
  </r>
  <r>
    <x v="98"/>
    <x v="0"/>
    <n v="25.6"/>
    <n v="48.6"/>
    <n v="3.1"/>
    <n v="0"/>
    <n v="1.8"/>
    <n v="4000"/>
    <n v="4122"/>
    <n v="1"/>
    <n v="1.8"/>
    <n v="4001.8"/>
    <x v="2"/>
  </r>
  <r>
    <x v="99"/>
    <x v="0"/>
    <n v="25.8"/>
    <n v="22.7"/>
    <n v="6.5"/>
    <n v="0"/>
    <n v="17.399999999999999"/>
    <n v="4000"/>
    <n v="4063"/>
    <n v="1"/>
    <n v="17.399999999999999"/>
    <n v="4017.4"/>
    <x v="3"/>
  </r>
  <r>
    <x v="100"/>
    <x v="0"/>
    <n v="24.1"/>
    <n v="25.1"/>
    <n v="4.0999999999999996"/>
    <n v="0"/>
    <n v="4.4000000000000004"/>
    <n v="4000"/>
    <n v="4080.8"/>
    <n v="1"/>
    <n v="4.4000000000000004"/>
    <n v="4004.4"/>
    <x v="4"/>
  </r>
  <r>
    <x v="101"/>
    <x v="0"/>
    <n v="27.4"/>
    <n v="3.6"/>
    <n v="3.7"/>
    <n v="0"/>
    <n v="3.3"/>
    <n v="4000"/>
    <n v="4252.5"/>
    <n v="1"/>
    <n v="3.3"/>
    <n v="4003.3"/>
    <x v="5"/>
  </r>
  <r>
    <x v="102"/>
    <x v="0"/>
    <n v="28.8"/>
    <n v="39.200000000000003"/>
    <n v="1.8"/>
    <n v="484.2"/>
    <n v="0.3"/>
    <n v="3853.5"/>
    <n v="4338"/>
    <n v="0"/>
    <n v="484.5"/>
    <n v="4338"/>
    <x v="6"/>
  </r>
  <r>
    <x v="103"/>
    <x v="0"/>
    <n v="31.5"/>
    <n v="31.6"/>
    <n v="2.5"/>
    <n v="1013.3"/>
    <n v="1"/>
    <n v="3075.6"/>
    <n v="4089.9"/>
    <n v="0"/>
    <n v="1014.3"/>
    <n v="4089.8999999999996"/>
    <x v="7"/>
  </r>
  <r>
    <x v="104"/>
    <x v="0"/>
    <n v="31.2"/>
    <n v="48.6"/>
    <n v="4.0999999999999996"/>
    <n v="1234.3"/>
    <n v="4.5"/>
    <n v="3313.9"/>
    <n v="4552.7"/>
    <n v="0"/>
    <n v="1238.8"/>
    <n v="4552.7"/>
    <x v="8"/>
  </r>
  <r>
    <x v="105"/>
    <x v="0"/>
    <n v="34.9"/>
    <n v="20"/>
    <n v="5.9"/>
    <n v="2016.8"/>
    <n v="13.4"/>
    <n v="2598.9"/>
    <n v="4629.1000000000004"/>
    <n v="0"/>
    <n v="2030.2"/>
    <n v="4629.1000000000004"/>
    <x v="9"/>
  </r>
  <r>
    <x v="106"/>
    <x v="0"/>
    <n v="35.200000000000003"/>
    <n v="5.7"/>
    <n v="5.4"/>
    <n v="2595"/>
    <n v="9.9"/>
    <n v="3731.9"/>
    <n v="6336.8"/>
    <n v="0"/>
    <n v="2604.9"/>
    <n v="6336.8"/>
    <x v="10"/>
  </r>
  <r>
    <x v="107"/>
    <x v="0"/>
    <n v="31.2"/>
    <n v="1.3"/>
    <n v="0"/>
    <n v="2897.5"/>
    <n v="0"/>
    <n v="3501.3"/>
    <n v="6398.8"/>
    <n v="0"/>
    <n v="2897.5"/>
    <n v="6398.8"/>
    <x v="11"/>
  </r>
  <r>
    <x v="108"/>
    <x v="0"/>
    <n v="35.1"/>
    <n v="55"/>
    <n v="4.0999999999999996"/>
    <n v="1844"/>
    <n v="4.5999999999999996"/>
    <n v="4000"/>
    <n v="6199.6"/>
    <n v="1"/>
    <n v="1848.6"/>
    <n v="5848.6"/>
    <x v="12"/>
  </r>
  <r>
    <x v="109"/>
    <x v="0"/>
    <n v="31.7"/>
    <n v="0"/>
    <n v="3.9"/>
    <n v="2924.8"/>
    <n v="3.8"/>
    <n v="3555.7"/>
    <n v="6484.3"/>
    <n v="0"/>
    <n v="2928.6000000000004"/>
    <n v="6484.3"/>
    <x v="13"/>
  </r>
  <r>
    <x v="110"/>
    <x v="0"/>
    <n v="33.1"/>
    <n v="0"/>
    <n v="3.8"/>
    <n v="2702.9"/>
    <n v="3.6"/>
    <n v="3591.1"/>
    <n v="6297.6"/>
    <n v="0"/>
    <n v="2706.5"/>
    <n v="6297.6"/>
    <x v="14"/>
  </r>
  <r>
    <x v="111"/>
    <x v="0"/>
    <n v="33.200000000000003"/>
    <n v="32.299999999999997"/>
    <n v="2.1"/>
    <n v="1814.7"/>
    <n v="0.6"/>
    <n v="2309"/>
    <n v="4124.3"/>
    <n v="0"/>
    <n v="1815.3"/>
    <n v="4124.3"/>
    <x v="15"/>
  </r>
  <r>
    <x v="112"/>
    <x v="0"/>
    <n v="29.4"/>
    <n v="23.7"/>
    <n v="5.9"/>
    <n v="1559.6"/>
    <n v="13.2"/>
    <n v="2670.1"/>
    <n v="4242.8999999999996"/>
    <n v="0"/>
    <n v="1572.8"/>
    <n v="4242.8999999999996"/>
    <x v="16"/>
  </r>
  <r>
    <x v="113"/>
    <x v="0"/>
    <n v="30.3"/>
    <n v="14.4"/>
    <n v="2.4"/>
    <n v="1170.5"/>
    <n v="0.9"/>
    <n v="3000.7"/>
    <n v="4172.1000000000004"/>
    <n v="0"/>
    <n v="1171.4000000000001"/>
    <n v="4172.1000000000004"/>
    <x v="17"/>
  </r>
  <r>
    <x v="114"/>
    <x v="0"/>
    <n v="26.4"/>
    <n v="13.9"/>
    <n v="1.6"/>
    <n v="602.5"/>
    <n v="0.3"/>
    <n v="4000"/>
    <n v="6703.9"/>
    <n v="1"/>
    <n v="602.79999999999995"/>
    <n v="4602.8"/>
    <x v="18"/>
  </r>
  <r>
    <x v="115"/>
    <x v="0"/>
    <n v="26.5"/>
    <n v="11"/>
    <n v="4.4000000000000004"/>
    <n v="0"/>
    <n v="5.6"/>
    <n v="4000"/>
    <n v="7014.7"/>
    <n v="1"/>
    <n v="5.6"/>
    <n v="4005.6"/>
    <x v="19"/>
  </r>
  <r>
    <x v="116"/>
    <x v="0"/>
    <n v="24.7"/>
    <n v="37.299999999999997"/>
    <n v="5.5"/>
    <n v="0"/>
    <n v="10.7"/>
    <n v="4000"/>
    <n v="6703.2"/>
    <n v="1"/>
    <n v="10.7"/>
    <n v="4010.7"/>
    <x v="20"/>
  </r>
  <r>
    <x v="117"/>
    <x v="0"/>
    <n v="22.9"/>
    <n v="19.5"/>
    <n v="0"/>
    <n v="0"/>
    <n v="0"/>
    <n v="4000"/>
    <n v="6640.4"/>
    <n v="1"/>
    <n v="0"/>
    <n v="4000"/>
    <x v="21"/>
  </r>
  <r>
    <x v="118"/>
    <x v="0"/>
    <n v="24.9"/>
    <n v="57.9"/>
    <n v="3.5"/>
    <n v="0"/>
    <n v="2.7"/>
    <n v="4000"/>
    <n v="4092.7"/>
    <n v="1"/>
    <n v="2.7"/>
    <n v="4002.7"/>
    <x v="22"/>
  </r>
  <r>
    <x v="119"/>
    <x v="0"/>
    <n v="22.7"/>
    <n v="86.6"/>
    <n v="6.2"/>
    <n v="0"/>
    <n v="15.5"/>
    <n v="4000"/>
    <n v="4406.5"/>
    <n v="1"/>
    <n v="15.5"/>
    <n v="4015.5"/>
    <x v="23"/>
  </r>
  <r>
    <x v="120"/>
    <x v="0"/>
    <n v="20.6"/>
    <n v="0"/>
    <n v="4.4000000000000004"/>
    <n v="0"/>
    <n v="5.5"/>
    <n v="4000"/>
    <n v="4300.8"/>
    <n v="1"/>
    <n v="5.5"/>
    <n v="4005.5"/>
    <x v="0"/>
  </r>
  <r>
    <x v="121"/>
    <x v="0"/>
    <n v="20.100000000000001"/>
    <n v="12.1"/>
    <n v="1.8"/>
    <n v="0"/>
    <n v="0.4"/>
    <n v="4000"/>
    <n v="4206.5"/>
    <n v="1"/>
    <n v="0.4"/>
    <n v="4000.4"/>
    <x v="1"/>
  </r>
  <r>
    <x v="122"/>
    <x v="0"/>
    <n v="24.1"/>
    <n v="24.8"/>
    <n v="7"/>
    <n v="0"/>
    <n v="21.6"/>
    <n v="4000"/>
    <n v="4573.1000000000004"/>
    <n v="1"/>
    <n v="21.6"/>
    <n v="4021.6"/>
    <x v="2"/>
  </r>
  <r>
    <x v="123"/>
    <x v="0"/>
    <n v="22.5"/>
    <n v="55.5"/>
    <n v="5.0999999999999996"/>
    <n v="0"/>
    <n v="8.4"/>
    <n v="4000"/>
    <n v="4331.6000000000004"/>
    <n v="1"/>
    <n v="8.4"/>
    <n v="4008.4"/>
    <x v="3"/>
  </r>
  <r>
    <x v="124"/>
    <x v="0"/>
    <n v="24.7"/>
    <n v="7.5"/>
    <n v="1.2"/>
    <n v="0"/>
    <n v="0.1"/>
    <n v="4000"/>
    <n v="4164.3999999999996"/>
    <n v="1"/>
    <n v="0.1"/>
    <n v="4000.1"/>
    <x v="4"/>
  </r>
  <r>
    <x v="125"/>
    <x v="0"/>
    <n v="29.3"/>
    <n v="0"/>
    <n v="5.0999999999999996"/>
    <n v="0"/>
    <n v="8.6"/>
    <n v="4000"/>
    <n v="4458.8999999999996"/>
    <n v="1"/>
    <n v="8.6"/>
    <n v="4008.6"/>
    <x v="5"/>
  </r>
  <r>
    <x v="126"/>
    <x v="0"/>
    <n v="27.3"/>
    <n v="13.2"/>
    <n v="2.2999999999999998"/>
    <n v="606.1"/>
    <n v="0.8"/>
    <n v="3615.5"/>
    <n v="4222.3999999999996"/>
    <n v="0"/>
    <n v="606.9"/>
    <n v="4222.3999999999996"/>
    <x v="6"/>
  </r>
  <r>
    <x v="127"/>
    <x v="0"/>
    <n v="28.3"/>
    <n v="30.4"/>
    <n v="3.9"/>
    <n v="1024.5999999999999"/>
    <n v="3.8"/>
    <n v="3298.9"/>
    <n v="4327.3"/>
    <n v="0"/>
    <n v="1028.3999999999999"/>
    <n v="4327.3"/>
    <x v="7"/>
  </r>
  <r>
    <x v="128"/>
    <x v="0"/>
    <n v="29.6"/>
    <n v="13.5"/>
    <n v="5.5"/>
    <n v="1694.2"/>
    <n v="10.7"/>
    <n v="2579.3000000000002"/>
    <n v="4284.2"/>
    <n v="0"/>
    <n v="1704.9"/>
    <n v="4284.2000000000007"/>
    <x v="8"/>
  </r>
  <r>
    <x v="129"/>
    <x v="0"/>
    <n v="30.8"/>
    <n v="27"/>
    <n v="5.5"/>
    <n v="1902.4"/>
    <n v="10.7"/>
    <n v="2482"/>
    <n v="4395.1000000000004"/>
    <n v="0"/>
    <n v="1913.1000000000001"/>
    <n v="4395.1000000000004"/>
    <x v="9"/>
  </r>
  <r>
    <x v="130"/>
    <x v="0"/>
    <n v="34"/>
    <n v="11.7"/>
    <n v="5.0999999999999996"/>
    <n v="2480.6"/>
    <n v="8.6999999999999993"/>
    <n v="3500.3"/>
    <n v="5989.6"/>
    <n v="0"/>
    <n v="2489.2999999999997"/>
    <n v="5989.6"/>
    <x v="10"/>
  </r>
  <r>
    <x v="131"/>
    <x v="0"/>
    <n v="31.1"/>
    <n v="0"/>
    <n v="4.0999999999999996"/>
    <n v="2924.8"/>
    <n v="4.4000000000000004"/>
    <n v="3196.3"/>
    <n v="6125.5"/>
    <n v="0"/>
    <n v="2929.2000000000003"/>
    <n v="6125.5"/>
    <x v="11"/>
  </r>
  <r>
    <x v="132"/>
    <x v="0"/>
    <n v="32.6"/>
    <n v="37.799999999999997"/>
    <n v="0.7"/>
    <n v="2206.8000000000002"/>
    <n v="0"/>
    <n v="4000"/>
    <n v="6279"/>
    <n v="1"/>
    <n v="2206.8000000000002"/>
    <n v="6206.8"/>
    <x v="12"/>
  </r>
  <r>
    <x v="133"/>
    <x v="0"/>
    <n v="32"/>
    <n v="12"/>
    <n v="4.0999999999999996"/>
    <n v="2679.9"/>
    <n v="4.4000000000000004"/>
    <n v="3545.8"/>
    <n v="6230.1"/>
    <n v="0"/>
    <n v="2684.3"/>
    <n v="6230.1"/>
    <x v="13"/>
  </r>
  <r>
    <x v="134"/>
    <x v="0"/>
    <n v="32.6"/>
    <n v="45.1"/>
    <n v="2.8"/>
    <n v="1849.1"/>
    <n v="1.5"/>
    <n v="4000"/>
    <n v="6110.9"/>
    <n v="1"/>
    <n v="1850.6"/>
    <n v="5850.6"/>
    <x v="14"/>
  </r>
  <r>
    <x v="135"/>
    <x v="0"/>
    <n v="30.5"/>
    <n v="35.6"/>
    <n v="6.9"/>
    <n v="1761.1"/>
    <n v="20.9"/>
    <n v="2663.4"/>
    <n v="4445.3999999999996"/>
    <n v="0"/>
    <n v="1782"/>
    <n v="4445.3999999999996"/>
    <x v="15"/>
  </r>
  <r>
    <x v="136"/>
    <x v="0"/>
    <n v="29.8"/>
    <n v="36.5"/>
    <n v="3.6"/>
    <n v="1392"/>
    <n v="3"/>
    <n v="2554.3000000000002"/>
    <n v="3949.3"/>
    <n v="0"/>
    <n v="1395"/>
    <n v="3949.3"/>
    <x v="16"/>
  </r>
  <r>
    <x v="137"/>
    <x v="0"/>
    <n v="28.6"/>
    <n v="26.7"/>
    <n v="3.7"/>
    <n v="1058.0999999999999"/>
    <n v="3.2"/>
    <n v="3314.4"/>
    <n v="4375.7"/>
    <n v="0"/>
    <n v="1061.3"/>
    <n v="4375.7"/>
    <x v="17"/>
  </r>
  <r>
    <x v="138"/>
    <x v="0"/>
    <n v="28.4"/>
    <n v="31.8"/>
    <n v="3.2"/>
    <n v="519.20000000000005"/>
    <n v="2.1"/>
    <n v="4000"/>
    <n v="6895.2"/>
    <n v="1"/>
    <n v="521.30000000000007"/>
    <n v="4521.3"/>
    <x v="18"/>
  </r>
  <r>
    <x v="139"/>
    <x v="0"/>
    <n v="25.8"/>
    <n v="32.9"/>
    <n v="3.2"/>
    <n v="0"/>
    <n v="2"/>
    <n v="4000"/>
    <n v="6646.9"/>
    <n v="1"/>
    <n v="2"/>
    <n v="4002"/>
    <x v="19"/>
  </r>
  <r>
    <x v="140"/>
    <x v="0"/>
    <n v="28.1"/>
    <n v="42.4"/>
    <n v="3.3"/>
    <n v="0"/>
    <n v="2.4"/>
    <n v="4000"/>
    <n v="6763.5"/>
    <n v="1"/>
    <n v="2.4"/>
    <n v="4002.4"/>
    <x v="20"/>
  </r>
  <r>
    <x v="141"/>
    <x v="0"/>
    <n v="23.1"/>
    <n v="0"/>
    <n v="2"/>
    <n v="0"/>
    <n v="0.5"/>
    <n v="4000"/>
    <n v="6900.2"/>
    <n v="1"/>
    <n v="0.5"/>
    <n v="4000.5"/>
    <x v="21"/>
  </r>
  <r>
    <x v="142"/>
    <x v="0"/>
    <n v="22.3"/>
    <n v="25.4"/>
    <n v="7.4"/>
    <n v="0"/>
    <n v="25.4"/>
    <n v="4000"/>
    <n v="4039.4"/>
    <n v="1"/>
    <n v="25.4"/>
    <n v="4025.4"/>
    <x v="22"/>
  </r>
  <r>
    <x v="143"/>
    <x v="0"/>
    <n v="21.9"/>
    <n v="41.6"/>
    <n v="0"/>
    <n v="0"/>
    <n v="0"/>
    <n v="4000"/>
    <n v="4369"/>
    <n v="1"/>
    <n v="0"/>
    <n v="4000"/>
    <x v="23"/>
  </r>
  <r>
    <x v="144"/>
    <x v="0"/>
    <n v="23.2"/>
    <n v="0"/>
    <n v="6.3"/>
    <n v="0"/>
    <n v="15.9"/>
    <n v="4000"/>
    <n v="4985.3"/>
    <n v="1"/>
    <n v="15.9"/>
    <n v="4015.9"/>
    <x v="0"/>
  </r>
  <r>
    <x v="145"/>
    <x v="0"/>
    <n v="21.6"/>
    <n v="37.700000000000003"/>
    <n v="8.5"/>
    <n v="0"/>
    <n v="39.9"/>
    <n v="4000"/>
    <n v="5000.8"/>
    <n v="1"/>
    <n v="39.9"/>
    <n v="4039.9"/>
    <x v="1"/>
  </r>
  <r>
    <x v="146"/>
    <x v="0"/>
    <n v="23.2"/>
    <n v="15.8"/>
    <n v="2.2999999999999998"/>
    <n v="0"/>
    <n v="0.8"/>
    <n v="4000"/>
    <n v="4977.3"/>
    <n v="1"/>
    <n v="0.8"/>
    <n v="4000.8"/>
    <x v="2"/>
  </r>
  <r>
    <x v="147"/>
    <x v="0"/>
    <n v="22.5"/>
    <n v="26.4"/>
    <n v="3"/>
    <n v="0"/>
    <n v="1.8"/>
    <n v="4000"/>
    <n v="5074.6000000000004"/>
    <n v="1"/>
    <n v="1.8"/>
    <n v="4001.8"/>
    <x v="3"/>
  </r>
  <r>
    <x v="148"/>
    <x v="0"/>
    <n v="25.5"/>
    <n v="45.8"/>
    <n v="3"/>
    <n v="0"/>
    <n v="1.7"/>
    <n v="4000"/>
    <n v="5021.8"/>
    <n v="1"/>
    <n v="1.7"/>
    <n v="4001.7"/>
    <x v="4"/>
  </r>
  <r>
    <x v="149"/>
    <x v="0"/>
    <n v="25"/>
    <n v="16.100000000000001"/>
    <n v="4.8"/>
    <n v="0"/>
    <n v="6.9"/>
    <n v="4000"/>
    <n v="4909.5"/>
    <n v="1"/>
    <n v="6.9"/>
    <n v="4006.9"/>
    <x v="5"/>
  </r>
  <r>
    <x v="150"/>
    <x v="0"/>
    <n v="26.6"/>
    <n v="42.4"/>
    <n v="6.7"/>
    <n v="469.5"/>
    <n v="19.3"/>
    <n v="4000"/>
    <n v="5063.5"/>
    <n v="1"/>
    <n v="488.8"/>
    <n v="4488.8"/>
    <x v="6"/>
  </r>
  <r>
    <x v="151"/>
    <x v="0"/>
    <n v="32.4"/>
    <n v="9.5"/>
    <n v="1.5"/>
    <n v="1214.9000000000001"/>
    <n v="0.2"/>
    <n v="3796.9"/>
    <n v="5012"/>
    <n v="0"/>
    <n v="1215.1000000000001"/>
    <n v="5012"/>
    <x v="7"/>
  </r>
  <r>
    <x v="152"/>
    <x v="0"/>
    <n v="33.200000000000003"/>
    <n v="38.1"/>
    <n v="3.9"/>
    <n v="1371.8"/>
    <n v="3.8"/>
    <n v="3307.6"/>
    <n v="4683.2"/>
    <n v="0"/>
    <n v="1375.6"/>
    <n v="4683.2"/>
    <x v="8"/>
  </r>
  <r>
    <x v="153"/>
    <x v="0"/>
    <n v="30.6"/>
    <n v="73.900000000000006"/>
    <n v="4.3"/>
    <n v="1131.9000000000001"/>
    <n v="4.9000000000000004"/>
    <n v="3855.2"/>
    <n v="4992"/>
    <n v="0"/>
    <n v="1136.8000000000002"/>
    <n v="4992"/>
    <x v="9"/>
  </r>
  <r>
    <x v="154"/>
    <x v="0"/>
    <n v="34.299999999999997"/>
    <n v="34.6"/>
    <n v="4.4000000000000004"/>
    <n v="2047.9"/>
    <n v="5.6"/>
    <n v="4000"/>
    <n v="7166.4"/>
    <n v="1"/>
    <n v="2053.5"/>
    <n v="6053.5"/>
    <x v="10"/>
  </r>
  <r>
    <x v="155"/>
    <x v="0"/>
    <n v="34.5"/>
    <n v="62.6"/>
    <n v="6.7"/>
    <n v="1642.3"/>
    <n v="19.2"/>
    <n v="4000"/>
    <n v="7031.4"/>
    <n v="1"/>
    <n v="1661.5"/>
    <n v="5661.5"/>
    <x v="11"/>
  </r>
  <r>
    <x v="156"/>
    <x v="0"/>
    <n v="33.200000000000003"/>
    <n v="5.2"/>
    <n v="3.7"/>
    <n v="2890.6"/>
    <n v="3.4"/>
    <n v="4000"/>
    <n v="7389"/>
    <n v="1"/>
    <n v="2894"/>
    <n v="6894"/>
    <x v="12"/>
  </r>
  <r>
    <x v="157"/>
    <x v="0"/>
    <n v="35.4"/>
    <n v="0"/>
    <n v="7.1"/>
    <n v="2924.8"/>
    <n v="22.5"/>
    <n v="4000"/>
    <n v="7158.4"/>
    <n v="1"/>
    <n v="2947.3"/>
    <n v="6947.3"/>
    <x v="13"/>
  </r>
  <r>
    <x v="158"/>
    <x v="0"/>
    <n v="32.6"/>
    <n v="4.8"/>
    <n v="0.7"/>
    <n v="2612.9"/>
    <n v="0"/>
    <n v="4000"/>
    <n v="7126.3"/>
    <n v="1"/>
    <n v="2612.9"/>
    <n v="6612.9"/>
    <x v="14"/>
  </r>
  <r>
    <x v="159"/>
    <x v="0"/>
    <n v="32.4"/>
    <n v="0"/>
    <n v="1.4"/>
    <n v="2345.5"/>
    <n v="0.2"/>
    <n v="2727.8"/>
    <n v="5073.5"/>
    <n v="0"/>
    <n v="2345.6999999999998"/>
    <n v="5073.5"/>
    <x v="15"/>
  </r>
  <r>
    <x v="160"/>
    <x v="0"/>
    <n v="33.5"/>
    <n v="19.8"/>
    <n v="1"/>
    <n v="1611.1"/>
    <n v="0.1"/>
    <n v="3288.4"/>
    <n v="4899.6000000000004"/>
    <n v="0"/>
    <n v="1611.1999999999998"/>
    <n v="4899.6000000000004"/>
    <x v="16"/>
  </r>
  <r>
    <x v="161"/>
    <x v="0"/>
    <n v="29.1"/>
    <n v="0"/>
    <n v="3.9"/>
    <n v="1301.7"/>
    <n v="3.8"/>
    <n v="3607.6"/>
    <n v="4913.1000000000004"/>
    <n v="0"/>
    <n v="1305.5"/>
    <n v="4913.1000000000004"/>
    <x v="17"/>
  </r>
  <r>
    <x v="162"/>
    <x v="0"/>
    <n v="29"/>
    <n v="62"/>
    <n v="6.3"/>
    <n v="377.9"/>
    <n v="15.6"/>
    <n v="4000"/>
    <n v="7665.4"/>
    <n v="1"/>
    <n v="393.5"/>
    <n v="4393.5"/>
    <x v="18"/>
  </r>
  <r>
    <x v="163"/>
    <x v="0"/>
    <n v="24.8"/>
    <n v="76.5"/>
    <n v="4.0999999999999996"/>
    <n v="0"/>
    <n v="4.5"/>
    <n v="4000"/>
    <n v="7659.7"/>
    <n v="1"/>
    <n v="4.5"/>
    <n v="4004.5"/>
    <x v="19"/>
  </r>
  <r>
    <x v="164"/>
    <x v="0"/>
    <n v="25"/>
    <n v="29"/>
    <n v="3.7"/>
    <n v="0"/>
    <n v="3.3"/>
    <n v="4000"/>
    <n v="7702.1"/>
    <n v="1"/>
    <n v="3.3"/>
    <n v="4003.3"/>
    <x v="20"/>
  </r>
  <r>
    <x v="165"/>
    <x v="0"/>
    <n v="22.9"/>
    <n v="24.3"/>
    <n v="2.9"/>
    <n v="0"/>
    <n v="1.6"/>
    <n v="4000"/>
    <n v="7614"/>
    <n v="1"/>
    <n v="1.6"/>
    <n v="4001.6"/>
    <x v="21"/>
  </r>
  <r>
    <x v="166"/>
    <x v="0"/>
    <n v="23"/>
    <n v="19.899999999999999"/>
    <n v="7"/>
    <n v="0"/>
    <n v="22"/>
    <n v="4000"/>
    <n v="4843.1000000000004"/>
    <n v="1"/>
    <n v="22"/>
    <n v="4022"/>
    <x v="22"/>
  </r>
  <r>
    <x v="167"/>
    <x v="0"/>
    <n v="23.8"/>
    <n v="49.9"/>
    <n v="0"/>
    <n v="0"/>
    <n v="0"/>
    <n v="4000"/>
    <n v="4552.3999999999996"/>
    <n v="1"/>
    <n v="0"/>
    <n v="4000"/>
    <x v="23"/>
  </r>
  <r>
    <x v="168"/>
    <x v="0"/>
    <n v="21.4"/>
    <n v="0"/>
    <n v="2.4"/>
    <n v="0"/>
    <n v="0.9"/>
    <n v="4000"/>
    <n v="4898.6000000000004"/>
    <n v="1"/>
    <n v="0.9"/>
    <n v="4000.9"/>
    <x v="0"/>
  </r>
  <r>
    <x v="169"/>
    <x v="0"/>
    <n v="24.8"/>
    <n v="43.7"/>
    <n v="6.5"/>
    <n v="0"/>
    <n v="17.899999999999999"/>
    <n v="4000"/>
    <n v="4783.3999999999996"/>
    <n v="1"/>
    <n v="17.899999999999999"/>
    <n v="4017.9"/>
    <x v="1"/>
  </r>
  <r>
    <x v="170"/>
    <x v="0"/>
    <n v="21.1"/>
    <n v="14.5"/>
    <n v="5"/>
    <n v="0"/>
    <n v="7.9"/>
    <n v="4000"/>
    <n v="5058.3"/>
    <n v="1"/>
    <n v="7.9"/>
    <n v="4007.9"/>
    <x v="2"/>
  </r>
  <r>
    <x v="171"/>
    <x v="0"/>
    <n v="24.8"/>
    <n v="20.2"/>
    <n v="3.3"/>
    <n v="0"/>
    <n v="2.2000000000000002"/>
    <n v="4000"/>
    <n v="4766.7"/>
    <n v="1"/>
    <n v="2.2000000000000002"/>
    <n v="4002.2"/>
    <x v="3"/>
  </r>
  <r>
    <x v="172"/>
    <x v="0"/>
    <n v="25.7"/>
    <n v="17.8"/>
    <n v="6.3"/>
    <n v="0"/>
    <n v="16.100000000000001"/>
    <n v="4000"/>
    <n v="5056.6000000000004"/>
    <n v="1"/>
    <n v="16.100000000000001"/>
    <n v="4016.1"/>
    <x v="4"/>
  </r>
  <r>
    <x v="173"/>
    <x v="0"/>
    <n v="27.4"/>
    <n v="36.9"/>
    <n v="3.4"/>
    <n v="0"/>
    <n v="2.5"/>
    <n v="4000"/>
    <n v="4787.8"/>
    <n v="1"/>
    <n v="2.5"/>
    <n v="4002.5"/>
    <x v="5"/>
  </r>
  <r>
    <x v="174"/>
    <x v="0"/>
    <n v="26.1"/>
    <n v="43.5"/>
    <n v="3.6"/>
    <n v="464.4"/>
    <n v="3.1"/>
    <n v="4000"/>
    <n v="4998.8999999999996"/>
    <n v="1"/>
    <n v="467.5"/>
    <n v="4467.5"/>
    <x v="6"/>
  </r>
  <r>
    <x v="175"/>
    <x v="0"/>
    <n v="31.1"/>
    <n v="10.9"/>
    <n v="1.2"/>
    <n v="1202.2"/>
    <n v="0.1"/>
    <n v="3669.3"/>
    <n v="4871.6000000000004"/>
    <n v="0"/>
    <n v="1202.3"/>
    <n v="4871.6000000000004"/>
    <x v="7"/>
  </r>
  <r>
    <x v="176"/>
    <x v="0"/>
    <n v="31.9"/>
    <n v="0"/>
    <n v="7.5"/>
    <n v="1870.5"/>
    <n v="27.1"/>
    <n v="2818.9"/>
    <n v="4716.5"/>
    <n v="0"/>
    <n v="1897.6"/>
    <n v="4716.5"/>
    <x v="8"/>
  </r>
  <r>
    <x v="177"/>
    <x v="0"/>
    <n v="34.799999999999997"/>
    <n v="29.2"/>
    <n v="3.8"/>
    <n v="1865.7"/>
    <n v="3.5"/>
    <n v="2768.5"/>
    <n v="4637.7"/>
    <n v="0"/>
    <n v="1869.2"/>
    <n v="4637.7"/>
    <x v="9"/>
  </r>
  <r>
    <x v="178"/>
    <x v="0"/>
    <n v="33.799999999999997"/>
    <n v="24.2"/>
    <n v="6.2"/>
    <n v="2244.1"/>
    <n v="15.3"/>
    <n v="4000"/>
    <n v="7068.3"/>
    <n v="1"/>
    <n v="2259.4"/>
    <n v="6259.4"/>
    <x v="10"/>
  </r>
  <r>
    <x v="179"/>
    <x v="0"/>
    <n v="34"/>
    <n v="17.7"/>
    <n v="3.9"/>
    <n v="2561.8000000000002"/>
    <n v="3.8"/>
    <n v="4000"/>
    <n v="7167.1"/>
    <n v="1"/>
    <n v="2565.6000000000004"/>
    <n v="6565.6"/>
    <x v="11"/>
  </r>
  <r>
    <x v="180"/>
    <x v="0"/>
    <n v="31.4"/>
    <n v="0"/>
    <n v="5.5"/>
    <n v="3000"/>
    <n v="10.6"/>
    <n v="4000"/>
    <n v="7196.2"/>
    <n v="1"/>
    <n v="3010.6"/>
    <n v="7010.6"/>
    <x v="12"/>
  </r>
  <r>
    <x v="181"/>
    <x v="0"/>
    <n v="33.5"/>
    <n v="25.4"/>
    <n v="4.7"/>
    <n v="2405.4"/>
    <n v="6.6"/>
    <n v="4000"/>
    <n v="7175.6"/>
    <n v="1"/>
    <n v="2412"/>
    <n v="6412"/>
    <x v="13"/>
  </r>
  <r>
    <x v="182"/>
    <x v="0"/>
    <n v="32"/>
    <n v="28.9"/>
    <n v="2"/>
    <n v="2155.8000000000002"/>
    <n v="0.5"/>
    <n v="4000"/>
    <n v="7069"/>
    <n v="1"/>
    <n v="2156.3000000000002"/>
    <n v="6156.3"/>
    <x v="14"/>
  </r>
  <r>
    <x v="183"/>
    <x v="0"/>
    <n v="29.7"/>
    <n v="45.6"/>
    <n v="4.9000000000000004"/>
    <n v="1597.1"/>
    <n v="7.7"/>
    <n v="3406.4"/>
    <n v="5011.2"/>
    <n v="0"/>
    <n v="1604.8"/>
    <n v="5011.2"/>
    <x v="15"/>
  </r>
  <r>
    <x v="184"/>
    <x v="0"/>
    <n v="32.5"/>
    <n v="58.3"/>
    <n v="6"/>
    <n v="1107"/>
    <n v="14"/>
    <n v="3867.4"/>
    <n v="4988.3999999999996"/>
    <n v="0"/>
    <n v="1121"/>
    <n v="4988.3999999999996"/>
    <x v="16"/>
  </r>
  <r>
    <x v="185"/>
    <x v="0"/>
    <n v="27.6"/>
    <n v="12.5"/>
    <n v="4.0999999999999996"/>
    <n v="1187.7"/>
    <n v="4.3"/>
    <n v="3481.9"/>
    <n v="4673.8999999999996"/>
    <n v="0"/>
    <n v="1192"/>
    <n v="4673.8999999999996"/>
    <x v="17"/>
  </r>
  <r>
    <x v="186"/>
    <x v="0"/>
    <n v="26.9"/>
    <n v="28.7"/>
    <n v="2.5"/>
    <n v="533.29999999999995"/>
    <n v="1"/>
    <n v="4000"/>
    <n v="7777.6"/>
    <n v="1"/>
    <n v="534.29999999999995"/>
    <n v="4534.3"/>
    <x v="18"/>
  </r>
  <r>
    <x v="187"/>
    <x v="0"/>
    <n v="24.3"/>
    <n v="6.5"/>
    <n v="1.3"/>
    <n v="0"/>
    <n v="0.1"/>
    <n v="4000"/>
    <n v="7608.3"/>
    <n v="1"/>
    <n v="0.1"/>
    <n v="4000.1"/>
    <x v="19"/>
  </r>
  <r>
    <x v="188"/>
    <x v="0"/>
    <n v="26.6"/>
    <n v="6"/>
    <n v="9.3000000000000007"/>
    <n v="0"/>
    <n v="50.9"/>
    <n v="4000"/>
    <n v="7553.6"/>
    <n v="1"/>
    <n v="50.9"/>
    <n v="4050.9"/>
    <x v="20"/>
  </r>
  <r>
    <x v="189"/>
    <x v="0"/>
    <n v="24"/>
    <n v="7.8"/>
    <n v="5.4"/>
    <n v="0"/>
    <n v="10.1"/>
    <n v="4000"/>
    <n v="7774"/>
    <n v="1"/>
    <n v="10.1"/>
    <n v="4010.1"/>
    <x v="21"/>
  </r>
  <r>
    <x v="190"/>
    <x v="0"/>
    <n v="23"/>
    <n v="76.2"/>
    <n v="3.8"/>
    <n v="0"/>
    <n v="3.5"/>
    <n v="4000"/>
    <n v="4863.7"/>
    <n v="1"/>
    <n v="3.5"/>
    <n v="4003.5"/>
    <x v="22"/>
  </r>
  <r>
    <x v="191"/>
    <x v="0"/>
    <n v="21.1"/>
    <n v="24.3"/>
    <n v="7.5"/>
    <n v="0"/>
    <n v="27.5"/>
    <n v="4000"/>
    <n v="5122.3999999999996"/>
    <n v="1"/>
    <n v="27.5"/>
    <n v="4027.5"/>
    <x v="23"/>
  </r>
  <r>
    <x v="192"/>
    <x v="0"/>
    <n v="24.7"/>
    <n v="39.200000000000003"/>
    <n v="2.9"/>
    <n v="0"/>
    <n v="1.5"/>
    <n v="4000"/>
    <n v="4856"/>
    <n v="1"/>
    <n v="1.5"/>
    <n v="4001.5"/>
    <x v="0"/>
  </r>
  <r>
    <x v="193"/>
    <x v="0"/>
    <n v="23.7"/>
    <n v="37.4"/>
    <n v="0.9"/>
    <n v="0"/>
    <n v="0"/>
    <n v="4000"/>
    <n v="5044.8999999999996"/>
    <n v="1"/>
    <n v="0"/>
    <n v="4000"/>
    <x v="1"/>
  </r>
  <r>
    <x v="194"/>
    <x v="0"/>
    <n v="22.4"/>
    <n v="23.5"/>
    <n v="5.2"/>
    <n v="0"/>
    <n v="9.1999999999999993"/>
    <n v="4000"/>
    <n v="4840.8999999999996"/>
    <n v="1"/>
    <n v="9.1999999999999993"/>
    <n v="4009.2"/>
    <x v="2"/>
  </r>
  <r>
    <x v="195"/>
    <x v="0"/>
    <n v="21.8"/>
    <n v="32.6"/>
    <n v="5.2"/>
    <n v="0"/>
    <n v="9.1"/>
    <n v="4000"/>
    <n v="4976.7"/>
    <n v="1"/>
    <n v="9.1"/>
    <n v="4009.1"/>
    <x v="3"/>
  </r>
  <r>
    <x v="196"/>
    <x v="0"/>
    <n v="26.6"/>
    <n v="41.7"/>
    <n v="4.9000000000000004"/>
    <n v="0"/>
    <n v="7.6"/>
    <n v="4000"/>
    <n v="5034"/>
    <n v="1"/>
    <n v="7.6"/>
    <n v="4007.6"/>
    <x v="4"/>
  </r>
  <r>
    <x v="197"/>
    <x v="0"/>
    <n v="24"/>
    <n v="33.6"/>
    <n v="4.4000000000000004"/>
    <n v="0"/>
    <n v="5.5"/>
    <n v="4000"/>
    <n v="4939.5"/>
    <n v="1"/>
    <n v="5.5"/>
    <n v="4005.5"/>
    <x v="5"/>
  </r>
  <r>
    <x v="198"/>
    <x v="0"/>
    <n v="26.1"/>
    <n v="3.4"/>
    <n v="6.1"/>
    <n v="651.79999999999995"/>
    <n v="14.6"/>
    <n v="4000"/>
    <n v="4990.7"/>
    <n v="1"/>
    <n v="666.4"/>
    <n v="4666.3999999999996"/>
    <x v="6"/>
  </r>
  <r>
    <x v="199"/>
    <x v="0"/>
    <n v="30.6"/>
    <n v="25.6"/>
    <n v="4.0999999999999996"/>
    <n v="1068.7"/>
    <n v="4.3"/>
    <n v="3871.1"/>
    <n v="4944.1000000000004"/>
    <n v="0"/>
    <n v="1073"/>
    <n v="4944.1000000000004"/>
    <x v="7"/>
  </r>
  <r>
    <x v="200"/>
    <x v="0"/>
    <n v="30.2"/>
    <n v="26.9"/>
    <n v="3.1"/>
    <n v="1518"/>
    <n v="1.9"/>
    <n v="3570.8"/>
    <n v="5090.7"/>
    <n v="0"/>
    <n v="1519.9"/>
    <n v="5090.7000000000007"/>
    <x v="8"/>
  </r>
  <r>
    <x v="201"/>
    <x v="0"/>
    <n v="31.8"/>
    <n v="29.4"/>
    <n v="3"/>
    <n v="1862.1"/>
    <n v="1.8"/>
    <n v="3020.9"/>
    <n v="4884.8"/>
    <n v="0"/>
    <n v="1863.8999999999999"/>
    <n v="4884.8"/>
    <x v="9"/>
  </r>
  <r>
    <x v="202"/>
    <x v="0"/>
    <n v="31.9"/>
    <n v="21.3"/>
    <n v="3.1"/>
    <n v="2300.6"/>
    <n v="1.9"/>
    <n v="4000"/>
    <n v="7338.4"/>
    <n v="1"/>
    <n v="2302.5"/>
    <n v="6302.5"/>
    <x v="10"/>
  </r>
  <r>
    <x v="203"/>
    <x v="0"/>
    <n v="34.1"/>
    <n v="45.6"/>
    <n v="1"/>
    <n v="1990.4"/>
    <n v="0.1"/>
    <n v="4000"/>
    <n v="7367"/>
    <n v="1"/>
    <n v="1990.5"/>
    <n v="5990.5"/>
    <x v="11"/>
  </r>
  <r>
    <x v="204"/>
    <x v="0"/>
    <n v="35.299999999999997"/>
    <n v="26.6"/>
    <n v="6.1"/>
    <n v="2440.4"/>
    <n v="14.7"/>
    <n v="4000"/>
    <n v="7190.1"/>
    <n v="1"/>
    <n v="2455.1"/>
    <n v="6455.1"/>
    <x v="12"/>
  </r>
  <r>
    <x v="205"/>
    <x v="0"/>
    <n v="35.9"/>
    <n v="71"/>
    <n v="3.3"/>
    <n v="1471.6"/>
    <n v="2.2000000000000002"/>
    <n v="4000"/>
    <n v="7072.4"/>
    <n v="1"/>
    <n v="1473.8"/>
    <n v="5473.8"/>
    <x v="13"/>
  </r>
  <r>
    <x v="206"/>
    <x v="0"/>
    <n v="35.4"/>
    <n v="56.6"/>
    <n v="3"/>
    <n v="1632.2"/>
    <n v="1.7"/>
    <n v="4000"/>
    <n v="7083.2"/>
    <n v="1"/>
    <n v="1633.9"/>
    <n v="5633.9"/>
    <x v="14"/>
  </r>
  <r>
    <x v="207"/>
    <x v="0"/>
    <n v="31.8"/>
    <n v="0"/>
    <n v="2.2000000000000002"/>
    <n v="2345.5"/>
    <n v="0.6"/>
    <n v="2540.9"/>
    <n v="4887"/>
    <n v="0"/>
    <n v="2346.1"/>
    <n v="4887"/>
    <x v="15"/>
  </r>
  <r>
    <x v="208"/>
    <x v="0"/>
    <n v="29.8"/>
    <n v="24.3"/>
    <n v="4.5"/>
    <n v="1552.2"/>
    <n v="5.7"/>
    <n v="3241.5"/>
    <n v="4799.3999999999996"/>
    <n v="0"/>
    <n v="1557.9"/>
    <n v="4799.3999999999996"/>
    <x v="16"/>
  </r>
  <r>
    <x v="209"/>
    <x v="0"/>
    <n v="28.1"/>
    <n v="44.7"/>
    <n v="3.6"/>
    <n v="894.5"/>
    <n v="2.9"/>
    <n v="4000"/>
    <n v="5182.6000000000004"/>
    <n v="1"/>
    <n v="897.4"/>
    <n v="4897.3999999999996"/>
    <x v="17"/>
  </r>
  <r>
    <x v="210"/>
    <x v="0"/>
    <n v="29"/>
    <n v="2.5"/>
    <n v="4.8"/>
    <n v="655.7"/>
    <n v="6.9"/>
    <n v="4000"/>
    <n v="7692.6"/>
    <n v="1"/>
    <n v="662.6"/>
    <n v="4662.6000000000004"/>
    <x v="18"/>
  </r>
  <r>
    <x v="211"/>
    <x v="0"/>
    <n v="27.2"/>
    <n v="30.8"/>
    <n v="8.9"/>
    <n v="0"/>
    <n v="45.3"/>
    <n v="4000"/>
    <n v="7725"/>
    <n v="1"/>
    <n v="45.3"/>
    <n v="4045.3"/>
    <x v="19"/>
  </r>
  <r>
    <x v="212"/>
    <x v="0"/>
    <n v="24.2"/>
    <n v="12.5"/>
    <n v="2.9"/>
    <n v="0"/>
    <n v="1.5"/>
    <n v="4000"/>
    <n v="7604.3"/>
    <n v="1"/>
    <n v="1.5"/>
    <n v="4001.5"/>
    <x v="20"/>
  </r>
  <r>
    <x v="213"/>
    <x v="0"/>
    <n v="25.5"/>
    <n v="53.4"/>
    <n v="2.9"/>
    <n v="0"/>
    <n v="1.5"/>
    <n v="4000"/>
    <n v="7604.4"/>
    <n v="1"/>
    <n v="1.5"/>
    <n v="4001.5"/>
    <x v="21"/>
  </r>
  <r>
    <x v="214"/>
    <x v="0"/>
    <n v="23.5"/>
    <n v="14"/>
    <n v="5.3"/>
    <n v="0"/>
    <n v="9.3000000000000007"/>
    <n v="4000"/>
    <n v="4825.1000000000004"/>
    <n v="1"/>
    <n v="9.3000000000000007"/>
    <n v="4009.3"/>
    <x v="22"/>
  </r>
  <r>
    <x v="215"/>
    <x v="0"/>
    <n v="19.899999999999999"/>
    <n v="56"/>
    <n v="7.6"/>
    <n v="0"/>
    <n v="28"/>
    <n v="4000"/>
    <n v="4980.3999999999996"/>
    <n v="1"/>
    <n v="28"/>
    <n v="4028"/>
    <x v="23"/>
  </r>
  <r>
    <x v="216"/>
    <x v="0"/>
    <n v="21.4"/>
    <n v="30.7"/>
    <n v="4.7"/>
    <n v="0"/>
    <n v="6.5"/>
    <n v="4000"/>
    <n v="4858.1000000000004"/>
    <n v="1"/>
    <n v="6.5"/>
    <n v="4006.5"/>
    <x v="0"/>
  </r>
  <r>
    <x v="217"/>
    <x v="0"/>
    <n v="25.2"/>
    <n v="21.5"/>
    <n v="2.4"/>
    <n v="0"/>
    <n v="0.9"/>
    <n v="4000"/>
    <n v="5048.8"/>
    <n v="1"/>
    <n v="0.9"/>
    <n v="4000.9"/>
    <x v="1"/>
  </r>
  <r>
    <x v="218"/>
    <x v="0"/>
    <n v="21.7"/>
    <n v="24.3"/>
    <n v="7.6"/>
    <n v="0"/>
    <n v="28"/>
    <n v="4000"/>
    <n v="4743.1000000000004"/>
    <n v="1"/>
    <n v="28"/>
    <n v="4028"/>
    <x v="2"/>
  </r>
  <r>
    <x v="219"/>
    <x v="0"/>
    <n v="24.1"/>
    <n v="24.7"/>
    <n v="6.4"/>
    <n v="0"/>
    <n v="16.600000000000001"/>
    <n v="4000"/>
    <n v="4872.3999999999996"/>
    <n v="1"/>
    <n v="16.600000000000001"/>
    <n v="4016.6"/>
    <x v="3"/>
  </r>
  <r>
    <x v="220"/>
    <x v="0"/>
    <n v="24.2"/>
    <n v="15.2"/>
    <n v="6.1"/>
    <n v="0"/>
    <n v="14.4"/>
    <n v="4000"/>
    <n v="5329"/>
    <n v="1"/>
    <n v="14.4"/>
    <n v="4014.4"/>
    <x v="4"/>
  </r>
  <r>
    <x v="221"/>
    <x v="0"/>
    <n v="29.2"/>
    <n v="36.700000000000003"/>
    <n v="3.3"/>
    <n v="0"/>
    <n v="2.2999999999999998"/>
    <n v="4000"/>
    <n v="5052.3"/>
    <n v="1"/>
    <n v="2.2999999999999998"/>
    <n v="4002.3"/>
    <x v="5"/>
  </r>
  <r>
    <x v="222"/>
    <x v="0"/>
    <n v="29.7"/>
    <n v="41.4"/>
    <n v="5"/>
    <n v="474.1"/>
    <n v="8.1"/>
    <n v="4000"/>
    <n v="5038.6000000000004"/>
    <n v="1"/>
    <n v="482.20000000000005"/>
    <n v="4482.2"/>
    <x v="6"/>
  </r>
  <r>
    <x v="223"/>
    <x v="0"/>
    <n v="31.3"/>
    <n v="52.6"/>
    <n v="5.3"/>
    <n v="822"/>
    <n v="9.5"/>
    <n v="4000"/>
    <n v="5110"/>
    <n v="1"/>
    <n v="831.5"/>
    <n v="4831.5"/>
    <x v="7"/>
  </r>
  <r>
    <x v="224"/>
    <x v="0"/>
    <n v="31.2"/>
    <n v="49.1"/>
    <n v="2.4"/>
    <n v="1227.2"/>
    <n v="0.8"/>
    <n v="3696.9"/>
    <n v="4924.8999999999996"/>
    <n v="0"/>
    <n v="1228"/>
    <n v="4924.8999999999996"/>
    <x v="8"/>
  </r>
  <r>
    <x v="225"/>
    <x v="0"/>
    <n v="31.7"/>
    <n v="25.6"/>
    <n v="6.6"/>
    <n v="1925.6"/>
    <n v="18"/>
    <n v="3061.7"/>
    <n v="5005.3"/>
    <n v="0"/>
    <n v="1943.6"/>
    <n v="5005.2999999999993"/>
    <x v="9"/>
  </r>
  <r>
    <x v="226"/>
    <x v="0"/>
    <n v="33.299999999999997"/>
    <n v="0"/>
    <n v="5.5"/>
    <n v="2702.9"/>
    <n v="10.6"/>
    <n v="4000"/>
    <n v="7178.7"/>
    <n v="1"/>
    <n v="2713.5"/>
    <n v="6713.5"/>
    <x v="10"/>
  </r>
  <r>
    <x v="227"/>
    <x v="0"/>
    <n v="37"/>
    <n v="18.8"/>
    <n v="4.4000000000000004"/>
    <n v="2539"/>
    <n v="5.6"/>
    <n v="4000"/>
    <n v="7246.8"/>
    <n v="1"/>
    <n v="2544.6"/>
    <n v="6544.6"/>
    <x v="11"/>
  </r>
  <r>
    <x v="228"/>
    <x v="0"/>
    <n v="36.4"/>
    <n v="23.1"/>
    <n v="4.5999999999999996"/>
    <n v="2515"/>
    <n v="6.1"/>
    <n v="4000"/>
    <n v="7187.4"/>
    <n v="1"/>
    <n v="2521.1"/>
    <n v="6521.1"/>
    <x v="12"/>
  </r>
  <r>
    <x v="229"/>
    <x v="0"/>
    <n v="34.1"/>
    <n v="16.100000000000001"/>
    <n v="4.4000000000000004"/>
    <n v="2595.6999999999998"/>
    <n v="5.4"/>
    <n v="4000"/>
    <n v="7241.2"/>
    <n v="1"/>
    <n v="2601.1"/>
    <n v="6601.1"/>
    <x v="13"/>
  </r>
  <r>
    <x v="230"/>
    <x v="0"/>
    <n v="31.7"/>
    <n v="27.7"/>
    <n v="2.6"/>
    <n v="2179.6"/>
    <n v="1.1000000000000001"/>
    <n v="4000"/>
    <n v="7311"/>
    <n v="1"/>
    <n v="2180.6999999999998"/>
    <n v="6180.7"/>
    <x v="14"/>
  </r>
  <r>
    <x v="231"/>
    <x v="0"/>
    <n v="30"/>
    <n v="13.8"/>
    <n v="4.8"/>
    <n v="2118.6"/>
    <n v="6.9"/>
    <n v="3003.8"/>
    <n v="5129.3"/>
    <n v="0"/>
    <n v="2125.5"/>
    <n v="5129.3"/>
    <x v="15"/>
  </r>
  <r>
    <x v="232"/>
    <x v="0"/>
    <n v="30.9"/>
    <n v="13.9"/>
    <n v="7.8"/>
    <n v="1688.5"/>
    <n v="29.9"/>
    <n v="3466.4"/>
    <n v="5184.8"/>
    <n v="0"/>
    <n v="1718.4"/>
    <n v="5184.8"/>
    <x v="16"/>
  </r>
  <r>
    <x v="233"/>
    <x v="0"/>
    <n v="26.3"/>
    <n v="33.799999999999997"/>
    <n v="3"/>
    <n v="993.7"/>
    <n v="1.7"/>
    <n v="3737.4"/>
    <n v="4732.8"/>
    <n v="0"/>
    <n v="995.40000000000009"/>
    <n v="4732.8"/>
    <x v="17"/>
  </r>
  <r>
    <x v="234"/>
    <x v="0"/>
    <n v="29.1"/>
    <n v="29.9"/>
    <n v="2.9"/>
    <n v="528"/>
    <n v="1.5"/>
    <n v="4000"/>
    <n v="7546.8"/>
    <n v="1"/>
    <n v="529.5"/>
    <n v="4529.5"/>
    <x v="18"/>
  </r>
  <r>
    <x v="235"/>
    <x v="0"/>
    <n v="27.8"/>
    <n v="38"/>
    <n v="3.8"/>
    <n v="0"/>
    <n v="3.5"/>
    <n v="4000"/>
    <n v="7508"/>
    <n v="1"/>
    <n v="3.5"/>
    <n v="4003.5"/>
    <x v="19"/>
  </r>
  <r>
    <x v="236"/>
    <x v="0"/>
    <n v="23.4"/>
    <n v="0"/>
    <n v="2.6"/>
    <n v="0"/>
    <n v="1.1000000000000001"/>
    <n v="4000"/>
    <n v="7977"/>
    <n v="1"/>
    <n v="1.1000000000000001"/>
    <n v="4001.1"/>
    <x v="20"/>
  </r>
  <r>
    <x v="237"/>
    <x v="0"/>
    <n v="24.1"/>
    <n v="20.2"/>
    <n v="4.7"/>
    <n v="0"/>
    <n v="6.7"/>
    <n v="4000"/>
    <n v="7693.2"/>
    <n v="1"/>
    <n v="6.7"/>
    <n v="4006.7"/>
    <x v="21"/>
  </r>
  <r>
    <x v="238"/>
    <x v="0"/>
    <n v="25"/>
    <n v="23.4"/>
    <n v="6.2"/>
    <n v="0"/>
    <n v="15.5"/>
    <n v="4000"/>
    <n v="4762.3"/>
    <n v="1"/>
    <n v="15.5"/>
    <n v="4015.5"/>
    <x v="22"/>
  </r>
  <r>
    <x v="239"/>
    <x v="0"/>
    <n v="22.9"/>
    <n v="36.4"/>
    <n v="4.9000000000000004"/>
    <n v="0"/>
    <n v="7.5"/>
    <n v="4000"/>
    <n v="5001.3999999999996"/>
    <n v="1"/>
    <n v="7.5"/>
    <n v="4007.5"/>
    <x v="23"/>
  </r>
  <r>
    <x v="240"/>
    <x v="0"/>
    <n v="24"/>
    <n v="28.9"/>
    <n v="5.4"/>
    <n v="0"/>
    <n v="10.199999999999999"/>
    <n v="4000"/>
    <n v="5046.3999999999996"/>
    <n v="1"/>
    <n v="10.199999999999999"/>
    <n v="4010.2"/>
    <x v="0"/>
  </r>
  <r>
    <x v="241"/>
    <x v="0"/>
    <n v="24.4"/>
    <n v="11.5"/>
    <n v="7.6"/>
    <n v="0"/>
    <n v="28.1"/>
    <n v="4000"/>
    <n v="4936.5"/>
    <n v="1"/>
    <n v="28.1"/>
    <n v="4028.1"/>
    <x v="1"/>
  </r>
  <r>
    <x v="242"/>
    <x v="0"/>
    <n v="20.7"/>
    <n v="27.6"/>
    <n v="2.6"/>
    <n v="0"/>
    <n v="1.2"/>
    <n v="4000"/>
    <n v="4944"/>
    <n v="1"/>
    <n v="1.2"/>
    <n v="4001.2"/>
    <x v="2"/>
  </r>
  <r>
    <x v="243"/>
    <x v="0"/>
    <n v="22.8"/>
    <n v="16.100000000000001"/>
    <n v="0.2"/>
    <n v="0"/>
    <n v="0"/>
    <n v="4000"/>
    <n v="5076.1000000000004"/>
    <n v="1"/>
    <n v="0"/>
    <n v="4000"/>
    <x v="3"/>
  </r>
  <r>
    <x v="244"/>
    <x v="0"/>
    <n v="21.4"/>
    <n v="0"/>
    <n v="5.5"/>
    <n v="0"/>
    <n v="10.8"/>
    <n v="4000"/>
    <n v="4882.2"/>
    <n v="1"/>
    <n v="10.8"/>
    <n v="4010.8"/>
    <x v="4"/>
  </r>
  <r>
    <x v="245"/>
    <x v="0"/>
    <n v="27.1"/>
    <n v="5.7"/>
    <n v="3.9"/>
    <n v="0"/>
    <n v="3.8"/>
    <n v="4000"/>
    <n v="5067.8999999999996"/>
    <n v="1"/>
    <n v="3.8"/>
    <n v="4003.8"/>
    <x v="5"/>
  </r>
  <r>
    <x v="246"/>
    <x v="0"/>
    <n v="26.3"/>
    <n v="55.1"/>
    <n v="5.8"/>
    <n v="410.2"/>
    <n v="12.2"/>
    <n v="4000"/>
    <n v="4949.5"/>
    <n v="1"/>
    <n v="422.4"/>
    <n v="4422.3999999999996"/>
    <x v="6"/>
  </r>
  <r>
    <x v="247"/>
    <x v="0"/>
    <n v="29.6"/>
    <n v="29.2"/>
    <n v="0"/>
    <n v="1035.9000000000001"/>
    <n v="0"/>
    <n v="3881"/>
    <n v="4916.8999999999996"/>
    <n v="0"/>
    <n v="1035.9000000000001"/>
    <n v="4916.8999999999996"/>
    <x v="7"/>
  </r>
  <r>
    <x v="248"/>
    <x v="0"/>
    <n v="30"/>
    <n v="5"/>
    <n v="3.4"/>
    <n v="1805.4"/>
    <n v="2.6"/>
    <n v="3104.9"/>
    <n v="4912.8999999999996"/>
    <n v="0"/>
    <n v="1808"/>
    <n v="4912.8999999999996"/>
    <x v="8"/>
  </r>
  <r>
    <x v="249"/>
    <x v="0"/>
    <n v="33.200000000000003"/>
    <n v="13.6"/>
    <n v="5.0999999999999996"/>
    <n v="2122.6"/>
    <n v="8.6999999999999993"/>
    <n v="3088.4"/>
    <n v="5219.7"/>
    <n v="0"/>
    <n v="2131.2999999999997"/>
    <n v="5219.7"/>
    <x v="9"/>
  </r>
  <r>
    <x v="250"/>
    <x v="0"/>
    <n v="34.6"/>
    <n v="26.2"/>
    <n v="2.7"/>
    <n v="2207.3000000000002"/>
    <n v="1.3"/>
    <n v="4000"/>
    <n v="7359.9"/>
    <n v="1"/>
    <n v="2208.6000000000004"/>
    <n v="6208.6"/>
    <x v="10"/>
  </r>
  <r>
    <x v="251"/>
    <x v="0"/>
    <n v="34.4"/>
    <n v="42.9"/>
    <n v="5.3"/>
    <n v="2046.4"/>
    <n v="9.4"/>
    <n v="4000"/>
    <n v="7254.7"/>
    <n v="1"/>
    <n v="2055.8000000000002"/>
    <n v="6055.8"/>
    <x v="11"/>
  </r>
  <r>
    <x v="252"/>
    <x v="0"/>
    <n v="33.200000000000003"/>
    <n v="51.3"/>
    <n v="4.4000000000000004"/>
    <n v="1921.7"/>
    <n v="5.4"/>
    <n v="4000"/>
    <n v="7307.4"/>
    <n v="1"/>
    <n v="1927.1000000000001"/>
    <n v="5927.1"/>
    <x v="12"/>
  </r>
  <r>
    <x v="253"/>
    <x v="0"/>
    <n v="32.799999999999997"/>
    <n v="59.7"/>
    <n v="4.4000000000000004"/>
    <n v="1702.1"/>
    <n v="5.4"/>
    <n v="4000"/>
    <n v="7461.3"/>
    <n v="1"/>
    <n v="1707.5"/>
    <n v="5707.5"/>
    <x v="13"/>
  </r>
  <r>
    <x v="254"/>
    <x v="0"/>
    <n v="32.5"/>
    <n v="18.600000000000001"/>
    <n v="4.8"/>
    <n v="2351.1"/>
    <n v="7.3"/>
    <n v="4000"/>
    <n v="7052.3"/>
    <n v="1"/>
    <n v="2358.4"/>
    <n v="6358.4"/>
    <x v="14"/>
  </r>
  <r>
    <x v="255"/>
    <x v="0"/>
    <n v="31.4"/>
    <n v="24.5"/>
    <n v="8.3000000000000007"/>
    <n v="1943"/>
    <n v="36.4"/>
    <n v="3049"/>
    <n v="5028.3999999999996"/>
    <n v="0"/>
    <n v="1979.4"/>
    <n v="5028.3999999999996"/>
    <x v="15"/>
  </r>
  <r>
    <x v="256"/>
    <x v="0"/>
    <n v="31.7"/>
    <n v="25.8"/>
    <n v="4.2"/>
    <n v="1533.2"/>
    <n v="4.9000000000000004"/>
    <n v="3671"/>
    <n v="5209.1000000000004"/>
    <n v="0"/>
    <n v="1538.1000000000001"/>
    <n v="5209.1000000000004"/>
    <x v="16"/>
  </r>
  <r>
    <x v="257"/>
    <x v="0"/>
    <n v="28"/>
    <n v="19.899999999999999"/>
    <n v="0.7"/>
    <n v="1120.8"/>
    <n v="0"/>
    <n v="3921.2"/>
    <n v="5042"/>
    <n v="0"/>
    <n v="1120.8"/>
    <n v="5042"/>
    <x v="17"/>
  </r>
  <r>
    <x v="258"/>
    <x v="0"/>
    <n v="29"/>
    <n v="15.3"/>
    <n v="7.1"/>
    <n v="595.9"/>
    <n v="23.4"/>
    <n v="4000"/>
    <n v="7759.9"/>
    <n v="1"/>
    <n v="619.29999999999995"/>
    <n v="4619.3"/>
    <x v="18"/>
  </r>
  <r>
    <x v="259"/>
    <x v="0"/>
    <n v="24.3"/>
    <n v="29.5"/>
    <n v="6.1"/>
    <n v="0"/>
    <n v="14.5"/>
    <n v="4000"/>
    <n v="7516.1"/>
    <n v="1"/>
    <n v="14.5"/>
    <n v="4014.5"/>
    <x v="19"/>
  </r>
  <r>
    <x v="260"/>
    <x v="0"/>
    <n v="24.3"/>
    <n v="46.6"/>
    <n v="3.9"/>
    <n v="0"/>
    <n v="3.9"/>
    <n v="4000"/>
    <n v="7952.6"/>
    <n v="1"/>
    <n v="3.9"/>
    <n v="4003.9"/>
    <x v="20"/>
  </r>
  <r>
    <x v="261"/>
    <x v="0"/>
    <n v="25.1"/>
    <n v="38"/>
    <n v="0.8"/>
    <n v="0"/>
    <n v="0"/>
    <n v="4000"/>
    <n v="7674.1"/>
    <n v="1"/>
    <n v="0"/>
    <n v="4000"/>
    <x v="21"/>
  </r>
  <r>
    <x v="262"/>
    <x v="0"/>
    <n v="24.9"/>
    <n v="12.5"/>
    <n v="4.8"/>
    <n v="0"/>
    <n v="7"/>
    <n v="4000"/>
    <n v="5171.5"/>
    <n v="1"/>
    <n v="7"/>
    <n v="4007"/>
    <x v="22"/>
  </r>
  <r>
    <x v="263"/>
    <x v="0"/>
    <n v="22.6"/>
    <n v="14"/>
    <n v="2.7"/>
    <n v="0"/>
    <n v="1.2"/>
    <n v="4000"/>
    <n v="5024.1000000000004"/>
    <n v="1"/>
    <n v="1.2"/>
    <n v="4001.2"/>
    <x v="23"/>
  </r>
  <r>
    <x v="264"/>
    <x v="0"/>
    <n v="23.8"/>
    <n v="35.9"/>
    <n v="3.3"/>
    <n v="0"/>
    <n v="2.2000000000000002"/>
    <n v="4000"/>
    <n v="4316.2"/>
    <n v="1"/>
    <n v="2.2000000000000002"/>
    <n v="4002.2"/>
    <x v="0"/>
  </r>
  <r>
    <x v="265"/>
    <x v="0"/>
    <n v="17.899999999999999"/>
    <n v="48"/>
    <n v="0.5"/>
    <n v="0"/>
    <n v="0"/>
    <n v="4000"/>
    <n v="4435.8"/>
    <n v="1"/>
    <n v="0"/>
    <n v="4000"/>
    <x v="1"/>
  </r>
  <r>
    <x v="266"/>
    <x v="0"/>
    <n v="21.1"/>
    <n v="0"/>
    <n v="6.3"/>
    <n v="0"/>
    <n v="16.2"/>
    <n v="4000"/>
    <n v="4265.6000000000004"/>
    <n v="1"/>
    <n v="16.2"/>
    <n v="4016.2"/>
    <x v="2"/>
  </r>
  <r>
    <x v="267"/>
    <x v="0"/>
    <n v="24.3"/>
    <n v="24.1"/>
    <n v="5"/>
    <n v="0"/>
    <n v="7.8"/>
    <n v="4000"/>
    <n v="4249.8"/>
    <n v="1"/>
    <n v="7.8"/>
    <n v="4007.8"/>
    <x v="3"/>
  </r>
  <r>
    <x v="268"/>
    <x v="0"/>
    <n v="23.1"/>
    <n v="44.9"/>
    <n v="3"/>
    <n v="0"/>
    <n v="1.7"/>
    <n v="4000"/>
    <n v="4331.5"/>
    <n v="1"/>
    <n v="1.7"/>
    <n v="4001.7"/>
    <x v="4"/>
  </r>
  <r>
    <x v="269"/>
    <x v="0"/>
    <n v="25.8"/>
    <n v="55"/>
    <n v="5.7"/>
    <n v="0"/>
    <n v="11.9"/>
    <n v="4000"/>
    <n v="4086.5"/>
    <n v="1"/>
    <n v="11.9"/>
    <n v="4011.9"/>
    <x v="5"/>
  </r>
  <r>
    <x v="270"/>
    <x v="0"/>
    <n v="27.5"/>
    <n v="18.600000000000001"/>
    <n v="8.1999999999999993"/>
    <n v="580.79999999999995"/>
    <n v="34.700000000000003"/>
    <n v="3652.2"/>
    <n v="4267.7"/>
    <n v="0"/>
    <n v="615.5"/>
    <n v="4267.7"/>
    <x v="6"/>
  </r>
  <r>
    <x v="271"/>
    <x v="0"/>
    <n v="30.2"/>
    <n v="45.6"/>
    <n v="4.5"/>
    <n v="886.1"/>
    <n v="5.7"/>
    <n v="3485.5"/>
    <n v="4377.3"/>
    <n v="0"/>
    <n v="891.80000000000007"/>
    <n v="4377.3"/>
    <x v="7"/>
  </r>
  <r>
    <x v="272"/>
    <x v="0"/>
    <n v="30.7"/>
    <n v="23.6"/>
    <n v="3.9"/>
    <n v="1561.9"/>
    <n v="3.9"/>
    <n v="2715.3"/>
    <n v="4281.1000000000004"/>
    <n v="0"/>
    <n v="1565.8000000000002"/>
    <n v="4281.1000000000004"/>
    <x v="8"/>
  </r>
  <r>
    <x v="273"/>
    <x v="0"/>
    <n v="32.299999999999997"/>
    <n v="39.700000000000003"/>
    <n v="3.8"/>
    <n v="1694.5"/>
    <n v="3.6"/>
    <n v="2731"/>
    <n v="4429.1000000000004"/>
    <n v="0"/>
    <n v="1698.1"/>
    <n v="4429.1000000000004"/>
    <x v="9"/>
  </r>
  <r>
    <x v="274"/>
    <x v="0"/>
    <n v="30.2"/>
    <n v="43.3"/>
    <n v="4.7"/>
    <n v="1883.2"/>
    <n v="6.6"/>
    <n v="4000"/>
    <n v="6251.8"/>
    <n v="1"/>
    <n v="1889.8"/>
    <n v="5889.8"/>
    <x v="10"/>
  </r>
  <r>
    <x v="275"/>
    <x v="0"/>
    <n v="29.5"/>
    <n v="66.8"/>
    <n v="3.7"/>
    <n v="1557.8"/>
    <n v="3.3"/>
    <n v="4000"/>
    <n v="6389.7"/>
    <n v="1"/>
    <n v="1561.1"/>
    <n v="5561.1"/>
    <x v="11"/>
  </r>
  <r>
    <x v="276"/>
    <x v="0"/>
    <n v="32.4"/>
    <n v="37.299999999999997"/>
    <n v="1.9"/>
    <n v="2217.6"/>
    <n v="0.4"/>
    <n v="4000"/>
    <n v="6406.2"/>
    <n v="1"/>
    <n v="2218"/>
    <n v="6218"/>
    <x v="12"/>
  </r>
  <r>
    <x v="277"/>
    <x v="0"/>
    <n v="36.700000000000003"/>
    <n v="21.2"/>
    <n v="4.4000000000000004"/>
    <n v="2491"/>
    <n v="5.6"/>
    <n v="3649.8"/>
    <n v="6146.4"/>
    <n v="0"/>
    <n v="2496.6"/>
    <n v="6146.4"/>
    <x v="13"/>
  </r>
  <r>
    <x v="278"/>
    <x v="0"/>
    <n v="33.9"/>
    <n v="28"/>
    <n v="4.7"/>
    <n v="2173"/>
    <n v="6.8"/>
    <n v="4000"/>
    <n v="6370.5"/>
    <n v="1"/>
    <n v="2179.8000000000002"/>
    <n v="6179.8"/>
    <x v="14"/>
  </r>
  <r>
    <x v="279"/>
    <x v="0"/>
    <n v="32.200000000000003"/>
    <n v="29"/>
    <n v="6.1"/>
    <n v="1869"/>
    <n v="14.5"/>
    <n v="2797"/>
    <n v="4680.5"/>
    <n v="0"/>
    <n v="1883.5"/>
    <n v="4680.5"/>
    <x v="15"/>
  </r>
  <r>
    <x v="280"/>
    <x v="0"/>
    <n v="32.799999999999997"/>
    <n v="37.799999999999997"/>
    <n v="1.7"/>
    <n v="1375.9"/>
    <n v="0.3"/>
    <n v="3109.6"/>
    <n v="4485.8"/>
    <n v="0"/>
    <n v="1376.2"/>
    <n v="4485.8"/>
    <x v="16"/>
  </r>
  <r>
    <x v="281"/>
    <x v="0"/>
    <n v="27.8"/>
    <n v="31.1"/>
    <n v="2.5"/>
    <n v="1018.7"/>
    <n v="1"/>
    <n v="3545.3"/>
    <n v="4565"/>
    <n v="0"/>
    <n v="1019.7"/>
    <n v="4565"/>
    <x v="17"/>
  </r>
  <r>
    <x v="282"/>
    <x v="0"/>
    <n v="28.5"/>
    <n v="31.4"/>
    <n v="4.8"/>
    <n v="520.70000000000005"/>
    <n v="7.3"/>
    <n v="4000"/>
    <n v="6710.4"/>
    <n v="1"/>
    <n v="528"/>
    <n v="4528"/>
    <x v="18"/>
  </r>
  <r>
    <x v="283"/>
    <x v="0"/>
    <n v="27.1"/>
    <n v="20.100000000000001"/>
    <n v="5.9"/>
    <n v="0"/>
    <n v="13.3"/>
    <n v="4000"/>
    <n v="6962.1"/>
    <n v="1"/>
    <n v="13.3"/>
    <n v="4013.3"/>
    <x v="19"/>
  </r>
  <r>
    <x v="284"/>
    <x v="0"/>
    <n v="23.2"/>
    <n v="36.9"/>
    <n v="5.4"/>
    <n v="0"/>
    <n v="10.1"/>
    <n v="4000"/>
    <n v="6898.4"/>
    <n v="1"/>
    <n v="10.1"/>
    <n v="4010.1"/>
    <x v="20"/>
  </r>
  <r>
    <x v="285"/>
    <x v="0"/>
    <n v="25.8"/>
    <n v="22"/>
    <n v="4.3"/>
    <n v="0"/>
    <n v="4.9000000000000004"/>
    <n v="4000"/>
    <n v="6675.4"/>
    <n v="1"/>
    <n v="4.9000000000000004"/>
    <n v="4004.9"/>
    <x v="21"/>
  </r>
  <r>
    <x v="286"/>
    <x v="0"/>
    <n v="22.8"/>
    <n v="3.1"/>
    <n v="1.1000000000000001"/>
    <n v="0"/>
    <n v="0.1"/>
    <n v="4000"/>
    <n v="4294"/>
    <n v="1"/>
    <n v="0.1"/>
    <n v="4000.1"/>
    <x v="22"/>
  </r>
  <r>
    <x v="287"/>
    <x v="0"/>
    <n v="20.9"/>
    <n v="5.2"/>
    <n v="0"/>
    <n v="0"/>
    <n v="0"/>
    <n v="4000"/>
    <n v="4559.2"/>
    <n v="1"/>
    <n v="0"/>
    <n v="4000"/>
    <x v="23"/>
  </r>
  <r>
    <x v="288"/>
    <x v="0"/>
    <n v="20"/>
    <n v="57.8"/>
    <n v="6"/>
    <n v="0"/>
    <n v="14"/>
    <n v="4000"/>
    <n v="4224.2"/>
    <n v="1"/>
    <n v="14"/>
    <n v="4014"/>
    <x v="0"/>
  </r>
  <r>
    <x v="289"/>
    <x v="0"/>
    <n v="25.6"/>
    <n v="44.6"/>
    <n v="3.4"/>
    <n v="0"/>
    <n v="2.4"/>
    <n v="4000"/>
    <n v="4216.8"/>
    <n v="1"/>
    <n v="2.4"/>
    <n v="4002.4"/>
    <x v="1"/>
  </r>
  <r>
    <x v="290"/>
    <x v="0"/>
    <n v="26.2"/>
    <n v="0"/>
    <n v="0.7"/>
    <n v="0"/>
    <n v="0"/>
    <n v="3945.1"/>
    <n v="3945.1"/>
    <n v="0"/>
    <n v="0"/>
    <n v="3945.1"/>
    <x v="2"/>
  </r>
  <r>
    <x v="291"/>
    <x v="0"/>
    <n v="27.4"/>
    <n v="52.7"/>
    <n v="5.0999999999999996"/>
    <n v="0"/>
    <n v="8.6"/>
    <n v="4000"/>
    <n v="4473.3999999999996"/>
    <n v="1"/>
    <n v="8.6"/>
    <n v="4008.6"/>
    <x v="3"/>
  </r>
  <r>
    <x v="292"/>
    <x v="0"/>
    <n v="26.3"/>
    <n v="40.200000000000003"/>
    <n v="4.5999999999999996"/>
    <n v="0"/>
    <n v="6.1"/>
    <n v="4000"/>
    <n v="4409.2"/>
    <n v="1"/>
    <n v="6.1"/>
    <n v="4006.1"/>
    <x v="4"/>
  </r>
  <r>
    <x v="293"/>
    <x v="0"/>
    <n v="26.4"/>
    <n v="9.9"/>
    <n v="3.4"/>
    <n v="0"/>
    <n v="2.6"/>
    <n v="4000"/>
    <n v="4335.6000000000004"/>
    <n v="1"/>
    <n v="2.6"/>
    <n v="4002.6"/>
    <x v="5"/>
  </r>
  <r>
    <x v="294"/>
    <x v="0"/>
    <n v="27.9"/>
    <n v="5.2"/>
    <n v="1.8"/>
    <n v="643.1"/>
    <n v="0.4"/>
    <n v="3422.6"/>
    <n v="4066.1"/>
    <n v="0"/>
    <n v="643.5"/>
    <n v="4066.1"/>
    <x v="6"/>
  </r>
  <r>
    <x v="295"/>
    <x v="0"/>
    <n v="31.6"/>
    <n v="43.4"/>
    <n v="0.9"/>
    <n v="906.5"/>
    <n v="0"/>
    <n v="3440.5"/>
    <n v="4347"/>
    <n v="0"/>
    <n v="906.5"/>
    <n v="4347"/>
    <x v="7"/>
  </r>
  <r>
    <x v="296"/>
    <x v="0"/>
    <n v="32.4"/>
    <n v="5.4"/>
    <n v="3.6"/>
    <n v="1800.4"/>
    <n v="2.9"/>
    <n v="2368.3000000000002"/>
    <n v="4171.6000000000004"/>
    <n v="0"/>
    <n v="1803.3000000000002"/>
    <n v="4171.6000000000004"/>
    <x v="8"/>
  </r>
  <r>
    <x v="297"/>
    <x v="0"/>
    <n v="30.8"/>
    <n v="27.1"/>
    <n v="1.3"/>
    <n v="1900.4"/>
    <n v="0.2"/>
    <n v="2501.9"/>
    <n v="4402.5"/>
    <n v="0"/>
    <n v="1900.6000000000001"/>
    <n v="4402.5"/>
    <x v="9"/>
  </r>
  <r>
    <x v="298"/>
    <x v="0"/>
    <n v="33.700000000000003"/>
    <n v="0"/>
    <n v="4.9000000000000004"/>
    <n v="2702.9"/>
    <n v="7.4"/>
    <n v="3439.5"/>
    <n v="6149.8"/>
    <n v="0"/>
    <n v="2710.3"/>
    <n v="6149.8"/>
    <x v="10"/>
  </r>
  <r>
    <x v="299"/>
    <x v="0"/>
    <n v="34.6"/>
    <n v="29.5"/>
    <n v="6.7"/>
    <n v="2321.3000000000002"/>
    <n v="19.5"/>
    <n v="3896.3"/>
    <n v="6237.1"/>
    <n v="0"/>
    <n v="2340.8000000000002"/>
    <n v="6237.1"/>
    <x v="11"/>
  </r>
  <r>
    <x v="300"/>
    <x v="0"/>
    <n v="33.4"/>
    <n v="27.4"/>
    <n v="5.0999999999999996"/>
    <n v="2423.6"/>
    <n v="8.4"/>
    <n v="3826.8"/>
    <n v="6258.8"/>
    <n v="0"/>
    <n v="2432"/>
    <n v="6258.8"/>
    <x v="12"/>
  </r>
  <r>
    <x v="301"/>
    <x v="0"/>
    <n v="33.9"/>
    <n v="11"/>
    <n v="2.7"/>
    <n v="2700.4"/>
    <n v="1.2"/>
    <n v="3545.7"/>
    <n v="6247.3"/>
    <n v="0"/>
    <n v="2701.6"/>
    <n v="6247.2999999999993"/>
    <x v="13"/>
  </r>
  <r>
    <x v="302"/>
    <x v="0"/>
    <n v="35.799999999999997"/>
    <n v="0.1"/>
    <n v="2.6"/>
    <n v="2700.6"/>
    <n v="1.1000000000000001"/>
    <n v="3327.9"/>
    <n v="6029.6"/>
    <n v="0"/>
    <n v="2701.7"/>
    <n v="6029.6"/>
    <x v="14"/>
  </r>
  <r>
    <x v="303"/>
    <x v="0"/>
    <n v="33.6"/>
    <n v="19.100000000000001"/>
    <n v="6.5"/>
    <n v="2031.9"/>
    <n v="17.5"/>
    <n v="2162.8000000000002"/>
    <n v="4212.2"/>
    <n v="0"/>
    <n v="2049.4"/>
    <n v="4212.2000000000007"/>
    <x v="15"/>
  </r>
  <r>
    <x v="304"/>
    <x v="0"/>
    <n v="31.4"/>
    <n v="8.3000000000000007"/>
    <n v="8.3000000000000007"/>
    <n v="1761.9"/>
    <n v="36.5"/>
    <n v="2420.6"/>
    <n v="4219"/>
    <n v="0"/>
    <n v="1798.4"/>
    <n v="4219"/>
    <x v="16"/>
  </r>
  <r>
    <x v="305"/>
    <x v="0"/>
    <n v="30"/>
    <n v="37.700000000000003"/>
    <n v="4.8"/>
    <n v="958.4"/>
    <n v="7.2"/>
    <n v="3176.3"/>
    <n v="4141.8999999999996"/>
    <n v="0"/>
    <n v="965.6"/>
    <n v="4141.9000000000005"/>
    <x v="17"/>
  </r>
  <r>
    <x v="306"/>
    <x v="0"/>
    <n v="27.8"/>
    <n v="25.9"/>
    <n v="3.7"/>
    <n v="546.6"/>
    <n v="3.3"/>
    <n v="4000"/>
    <n v="6692.2"/>
    <n v="1"/>
    <n v="549.9"/>
    <n v="4549.8999999999996"/>
    <x v="18"/>
  </r>
  <r>
    <x v="307"/>
    <x v="0"/>
    <n v="29.8"/>
    <n v="13.9"/>
    <n v="1.3"/>
    <n v="0"/>
    <n v="0.1"/>
    <n v="4000"/>
    <n v="6864.6"/>
    <n v="1"/>
    <n v="0.1"/>
    <n v="4000.1"/>
    <x v="19"/>
  </r>
  <r>
    <x v="308"/>
    <x v="0"/>
    <n v="28.9"/>
    <n v="8.9"/>
    <n v="7.3"/>
    <n v="0"/>
    <n v="24.7"/>
    <n v="4000"/>
    <n v="6706.8"/>
    <n v="1"/>
    <n v="24.7"/>
    <n v="4024.7"/>
    <x v="20"/>
  </r>
  <r>
    <x v="309"/>
    <x v="0"/>
    <n v="22.9"/>
    <n v="36.4"/>
    <n v="7.3"/>
    <n v="0"/>
    <n v="24.5"/>
    <n v="4000"/>
    <n v="6971.7"/>
    <n v="1"/>
    <n v="24.5"/>
    <n v="4024.5"/>
    <x v="21"/>
  </r>
  <r>
    <x v="310"/>
    <x v="0"/>
    <n v="22.5"/>
    <n v="13.4"/>
    <n v="2"/>
    <n v="0"/>
    <n v="0.5"/>
    <n v="4000"/>
    <n v="4263.1000000000004"/>
    <n v="1"/>
    <n v="0.5"/>
    <n v="4000.5"/>
    <x v="22"/>
  </r>
  <r>
    <x v="311"/>
    <x v="0"/>
    <n v="20.399999999999999"/>
    <n v="25.7"/>
    <n v="2.5"/>
    <n v="0"/>
    <n v="1"/>
    <n v="4000"/>
    <n v="4222.6000000000004"/>
    <n v="1"/>
    <n v="1"/>
    <n v="4001"/>
    <x v="23"/>
  </r>
  <r>
    <x v="312"/>
    <x v="0"/>
    <n v="19.7"/>
    <n v="31.6"/>
    <n v="5.7"/>
    <n v="0"/>
    <n v="11.6"/>
    <n v="4000"/>
    <n v="4985.1000000000004"/>
    <n v="1"/>
    <n v="11.6"/>
    <n v="4011.6"/>
    <x v="0"/>
  </r>
  <r>
    <x v="313"/>
    <x v="0"/>
    <n v="22.8"/>
    <n v="49.6"/>
    <n v="1.6"/>
    <n v="0"/>
    <n v="0.3"/>
    <n v="4000"/>
    <n v="4650.8999999999996"/>
    <n v="1"/>
    <n v="0.3"/>
    <n v="4000.3"/>
    <x v="1"/>
  </r>
  <r>
    <x v="314"/>
    <x v="0"/>
    <n v="23.4"/>
    <n v="10.9"/>
    <n v="3.9"/>
    <n v="0"/>
    <n v="3.8"/>
    <n v="4000"/>
    <n v="5200.8999999999996"/>
    <n v="1"/>
    <n v="3.8"/>
    <n v="4003.8"/>
    <x v="2"/>
  </r>
  <r>
    <x v="315"/>
    <x v="0"/>
    <n v="23.9"/>
    <n v="35.799999999999997"/>
    <n v="2.2000000000000002"/>
    <n v="0"/>
    <n v="0.6"/>
    <n v="4000"/>
    <n v="5033.7"/>
    <n v="1"/>
    <n v="0.6"/>
    <n v="4000.6"/>
    <x v="3"/>
  </r>
  <r>
    <x v="316"/>
    <x v="0"/>
    <n v="22.9"/>
    <n v="22.8"/>
    <n v="2.2000000000000002"/>
    <n v="0"/>
    <n v="0.7"/>
    <n v="4000"/>
    <n v="4975.3999999999996"/>
    <n v="1"/>
    <n v="0.7"/>
    <n v="4000.7"/>
    <x v="4"/>
  </r>
  <r>
    <x v="317"/>
    <x v="0"/>
    <n v="28.3"/>
    <n v="46.8"/>
    <n v="5.2"/>
    <n v="0"/>
    <n v="9.1"/>
    <n v="4000"/>
    <n v="4839.7"/>
    <n v="1"/>
    <n v="9.1"/>
    <n v="4009.1"/>
    <x v="5"/>
  </r>
  <r>
    <x v="318"/>
    <x v="0"/>
    <n v="27.5"/>
    <n v="49.3"/>
    <n v="4.3"/>
    <n v="437.4"/>
    <n v="5"/>
    <n v="4000"/>
    <n v="4786.2"/>
    <n v="1"/>
    <n v="442.4"/>
    <n v="4442.3999999999996"/>
    <x v="6"/>
  </r>
  <r>
    <x v="319"/>
    <x v="0"/>
    <n v="30.1"/>
    <n v="28.8"/>
    <n v="3.4"/>
    <n v="1038.9000000000001"/>
    <n v="2.5"/>
    <n v="4000"/>
    <n v="5297.9"/>
    <n v="1"/>
    <n v="1041.4000000000001"/>
    <n v="5041.3999999999996"/>
    <x v="7"/>
  </r>
  <r>
    <x v="320"/>
    <x v="0"/>
    <n v="30.8"/>
    <n v="39.200000000000003"/>
    <n v="5.9"/>
    <n v="1357.7"/>
    <n v="13.2"/>
    <n v="3599.1"/>
    <n v="4970"/>
    <n v="0"/>
    <n v="1370.9"/>
    <n v="4970"/>
    <x v="8"/>
  </r>
  <r>
    <x v="321"/>
    <x v="0"/>
    <n v="30.2"/>
    <n v="0"/>
    <n v="5"/>
    <n v="2345.5"/>
    <n v="8.1"/>
    <n v="2478.5"/>
    <n v="4832.1000000000004"/>
    <n v="0"/>
    <n v="2353.6"/>
    <n v="4832.1000000000004"/>
    <x v="9"/>
  </r>
  <r>
    <x v="322"/>
    <x v="0"/>
    <n v="30"/>
    <n v="32.799999999999997"/>
    <n v="9"/>
    <n v="2082.9"/>
    <n v="46.4"/>
    <n v="4000"/>
    <n v="6984.5"/>
    <n v="1"/>
    <n v="2129.3000000000002"/>
    <n v="6129.3"/>
    <x v="10"/>
  </r>
  <r>
    <x v="323"/>
    <x v="0"/>
    <n v="35.1"/>
    <n v="26.6"/>
    <n v="3.8"/>
    <n v="2379.4"/>
    <n v="3.5"/>
    <n v="4000"/>
    <n v="7149.1"/>
    <n v="1"/>
    <n v="2382.9"/>
    <n v="6382.9"/>
    <x v="11"/>
  </r>
  <r>
    <x v="324"/>
    <x v="0"/>
    <n v="33.6"/>
    <n v="30.3"/>
    <n v="4.5999999999999996"/>
    <n v="2362.6999999999998"/>
    <n v="6.4"/>
    <n v="4000"/>
    <n v="7287.9"/>
    <n v="1"/>
    <n v="2369.1"/>
    <n v="6369.1"/>
    <x v="12"/>
  </r>
  <r>
    <x v="325"/>
    <x v="0"/>
    <n v="35.299999999999997"/>
    <n v="21.5"/>
    <n v="2.5"/>
    <n v="2484.6"/>
    <n v="1"/>
    <n v="4000"/>
    <n v="7049.8"/>
    <n v="1"/>
    <n v="2485.6"/>
    <n v="6485.6"/>
    <x v="13"/>
  </r>
  <r>
    <x v="326"/>
    <x v="0"/>
    <n v="31.8"/>
    <n v="25.6"/>
    <n v="4"/>
    <n v="2219.1999999999998"/>
    <n v="4"/>
    <n v="4000"/>
    <n v="7230.5"/>
    <n v="1"/>
    <n v="2223.1999999999998"/>
    <n v="6223.2"/>
    <x v="14"/>
  </r>
  <r>
    <x v="327"/>
    <x v="0"/>
    <n v="33"/>
    <n v="24.5"/>
    <n v="5.6"/>
    <n v="1943.3"/>
    <n v="11.5"/>
    <n v="3158.1"/>
    <n v="5112.8999999999996"/>
    <n v="0"/>
    <n v="1954.8"/>
    <n v="5112.8999999999996"/>
    <x v="15"/>
  </r>
  <r>
    <x v="328"/>
    <x v="0"/>
    <n v="31.8"/>
    <n v="25.2"/>
    <n v="1.4"/>
    <n v="1540.4"/>
    <n v="0.2"/>
    <n v="3617.9"/>
    <n v="5158.5"/>
    <n v="0"/>
    <n v="1540.6000000000001"/>
    <n v="5158.5"/>
    <x v="16"/>
  </r>
  <r>
    <x v="329"/>
    <x v="0"/>
    <n v="29.1"/>
    <n v="12.8"/>
    <n v="3.6"/>
    <n v="1184.9000000000001"/>
    <n v="3.1"/>
    <n v="3602.2"/>
    <n v="4790.2"/>
    <n v="0"/>
    <n v="1188"/>
    <n v="4790.2"/>
    <x v="17"/>
  </r>
  <r>
    <x v="330"/>
    <x v="0"/>
    <n v="28.8"/>
    <n v="23.6"/>
    <n v="5"/>
    <n v="557.29999999999995"/>
    <n v="7.9"/>
    <n v="4000"/>
    <n v="7708.5"/>
    <n v="1"/>
    <n v="565.19999999999993"/>
    <n v="4565.2"/>
    <x v="18"/>
  </r>
  <r>
    <x v="331"/>
    <x v="0"/>
    <n v="23.5"/>
    <n v="6.2"/>
    <n v="3.7"/>
    <n v="0"/>
    <n v="3.3"/>
    <n v="4000"/>
    <n v="7709.7"/>
    <n v="1"/>
    <n v="3.3"/>
    <n v="4003.3"/>
    <x v="19"/>
  </r>
  <r>
    <x v="332"/>
    <x v="0"/>
    <n v="25.9"/>
    <n v="55.6"/>
    <n v="6.4"/>
    <n v="0"/>
    <n v="17.100000000000001"/>
    <n v="4000"/>
    <n v="7518.5"/>
    <n v="1"/>
    <n v="17.100000000000001"/>
    <n v="4017.1"/>
    <x v="20"/>
  </r>
  <r>
    <x v="333"/>
    <x v="0"/>
    <n v="26"/>
    <n v="28"/>
    <n v="3.3"/>
    <n v="0"/>
    <n v="2.4"/>
    <n v="4000"/>
    <n v="7668"/>
    <n v="1"/>
    <n v="2.4"/>
    <n v="4002.4"/>
    <x v="21"/>
  </r>
  <r>
    <x v="334"/>
    <x v="0"/>
    <n v="22.4"/>
    <n v="17.2"/>
    <n v="4.3"/>
    <n v="0"/>
    <n v="5.2"/>
    <n v="4000"/>
    <n v="4858"/>
    <n v="1"/>
    <n v="5.2"/>
    <n v="4005.2"/>
    <x v="22"/>
  </r>
  <r>
    <x v="335"/>
    <x v="0"/>
    <n v="22.2"/>
    <n v="33.700000000000003"/>
    <n v="6.4"/>
    <n v="0"/>
    <n v="16.600000000000001"/>
    <n v="4000"/>
    <n v="4974.1000000000004"/>
    <n v="1"/>
    <n v="16.600000000000001"/>
    <n v="4016.6"/>
    <x v="23"/>
  </r>
  <r>
    <x v="0"/>
    <x v="1"/>
    <n v="18.5"/>
    <n v="0"/>
    <n v="16.7"/>
    <n v="0"/>
    <n v="741.4"/>
    <n v="4000"/>
    <n v="5092.3999999999996"/>
    <n v="1"/>
    <n v="741.4"/>
    <n v="4741.3999999999996"/>
    <x v="0"/>
  </r>
  <r>
    <x v="1"/>
    <x v="1"/>
    <n v="19.899999999999999"/>
    <n v="15.7"/>
    <n v="3"/>
    <n v="0"/>
    <n v="4.3"/>
    <n v="4000"/>
    <n v="4745"/>
    <n v="1"/>
    <n v="4.3"/>
    <n v="4004.3"/>
    <x v="1"/>
  </r>
  <r>
    <x v="2"/>
    <x v="1"/>
    <n v="21.3"/>
    <n v="30.6"/>
    <n v="0"/>
    <n v="0"/>
    <n v="0"/>
    <n v="4000"/>
    <n v="5031.2"/>
    <n v="1"/>
    <n v="0"/>
    <n v="4000"/>
    <x v="2"/>
  </r>
  <r>
    <x v="3"/>
    <x v="1"/>
    <n v="21.6"/>
    <n v="8"/>
    <n v="12.9"/>
    <n v="0"/>
    <n v="344.8"/>
    <n v="4000"/>
    <n v="4868.1000000000004"/>
    <n v="1"/>
    <n v="344.8"/>
    <n v="4344.8"/>
    <x v="3"/>
  </r>
  <r>
    <x v="4"/>
    <x v="1"/>
    <n v="22.6"/>
    <n v="48"/>
    <n v="7.1"/>
    <n v="0"/>
    <n v="58.1"/>
    <n v="4000"/>
    <n v="4947.7"/>
    <n v="1"/>
    <n v="58.1"/>
    <n v="4058.1"/>
    <x v="4"/>
  </r>
  <r>
    <x v="5"/>
    <x v="1"/>
    <n v="22.8"/>
    <n v="44.3"/>
    <n v="7.3"/>
    <n v="0"/>
    <n v="63.1"/>
    <n v="4000"/>
    <n v="5129.5"/>
    <n v="1"/>
    <n v="63.1"/>
    <n v="4063.1"/>
    <x v="5"/>
  </r>
  <r>
    <x v="6"/>
    <x v="1"/>
    <n v="23.1"/>
    <n v="40.700000000000003"/>
    <n v="20.6"/>
    <n v="252.3"/>
    <n v="1390.3"/>
    <n v="3240.9"/>
    <n v="4883.5"/>
    <n v="0"/>
    <n v="1642.6"/>
    <n v="4883.5"/>
    <x v="6"/>
  </r>
  <r>
    <x v="7"/>
    <x v="1"/>
    <n v="23.4"/>
    <n v="81.8"/>
    <n v="11"/>
    <n v="331.5"/>
    <n v="210.3"/>
    <n v="4000"/>
    <n v="4744.2"/>
    <n v="1"/>
    <n v="541.79999999999995"/>
    <n v="4541.8"/>
    <x v="7"/>
  </r>
  <r>
    <x v="8"/>
    <x v="1"/>
    <n v="27"/>
    <n v="29.9"/>
    <n v="21.1"/>
    <n v="767.7"/>
    <n v="1509.5"/>
    <n v="2572.4"/>
    <n v="4849.6000000000004"/>
    <n v="0"/>
    <n v="2277.1999999999998"/>
    <n v="4849.6000000000004"/>
    <x v="8"/>
  </r>
  <r>
    <x v="9"/>
    <x v="1"/>
    <n v="26.3"/>
    <n v="98.9"/>
    <n v="9"/>
    <n v="476.6"/>
    <n v="115.5"/>
    <n v="4000"/>
    <n v="5051.7"/>
    <n v="1"/>
    <n v="592.1"/>
    <n v="4592.1000000000004"/>
    <x v="9"/>
  </r>
  <r>
    <x v="10"/>
    <x v="1"/>
    <n v="27.8"/>
    <n v="77.5"/>
    <n v="19.8"/>
    <n v="722.7"/>
    <n v="1243.4000000000001"/>
    <n v="4000"/>
    <n v="7261.3"/>
    <n v="1"/>
    <n v="1966.1000000000001"/>
    <n v="5966.1"/>
    <x v="10"/>
  </r>
  <r>
    <x v="11"/>
    <x v="1"/>
    <n v="27.1"/>
    <n v="56.5"/>
    <n v="8.6"/>
    <n v="966.6"/>
    <n v="102.2"/>
    <n v="4000"/>
    <n v="7154.8"/>
    <n v="1"/>
    <n v="1068.8"/>
    <n v="5068.8"/>
    <x v="11"/>
  </r>
  <r>
    <x v="12"/>
    <x v="1"/>
    <n v="28.1"/>
    <n v="35.9"/>
    <n v="12.9"/>
    <n v="1177.2"/>
    <n v="345.3"/>
    <n v="4000"/>
    <n v="7452"/>
    <n v="1"/>
    <n v="1522.5"/>
    <n v="5522.5"/>
    <x v="12"/>
  </r>
  <r>
    <x v="13"/>
    <x v="1"/>
    <n v="26.9"/>
    <n v="75"/>
    <n v="8.6999999999999993"/>
    <n v="804.2"/>
    <n v="105.9"/>
    <n v="4000"/>
    <n v="6947.9"/>
    <n v="1"/>
    <n v="910.1"/>
    <n v="4910.1000000000004"/>
    <x v="13"/>
  </r>
  <r>
    <x v="14"/>
    <x v="1"/>
    <n v="28"/>
    <n v="74.599999999999994"/>
    <n v="15.6"/>
    <n v="746.2"/>
    <n v="606.79999999999995"/>
    <n v="4000"/>
    <n v="6993"/>
    <n v="1"/>
    <n v="1353"/>
    <n v="5353"/>
    <x v="14"/>
  </r>
  <r>
    <x v="15"/>
    <x v="1"/>
    <n v="26.1"/>
    <n v="9.5"/>
    <n v="19.5"/>
    <n v="1106.2"/>
    <n v="1187.5999999999999"/>
    <n v="2805.6"/>
    <n v="5099.3999999999996"/>
    <n v="0"/>
    <n v="2293.8000000000002"/>
    <n v="5099.3999999999996"/>
    <x v="15"/>
  </r>
  <r>
    <x v="16"/>
    <x v="1"/>
    <n v="25.7"/>
    <n v="78.2"/>
    <n v="14.8"/>
    <n v="496.4"/>
    <n v="516.70000000000005"/>
    <n v="3888.5"/>
    <n v="4901.6000000000004"/>
    <n v="0"/>
    <n v="1013.1"/>
    <n v="4901.6000000000004"/>
    <x v="16"/>
  </r>
  <r>
    <x v="17"/>
    <x v="1"/>
    <n v="27.2"/>
    <n v="28.9"/>
    <n v="16.600000000000001"/>
    <n v="537.9"/>
    <n v="737.1"/>
    <n v="3743.4"/>
    <n v="5018.3999999999996"/>
    <n v="0"/>
    <n v="1275"/>
    <n v="5018.3999999999996"/>
    <x v="17"/>
  </r>
  <r>
    <x v="18"/>
    <x v="1"/>
    <n v="24.3"/>
    <n v="83.2"/>
    <n v="14.5"/>
    <n v="167.1"/>
    <n v="491.7"/>
    <n v="4000"/>
    <n v="7708.6"/>
    <n v="1"/>
    <n v="658.8"/>
    <n v="4658.8"/>
    <x v="18"/>
  </r>
  <r>
    <x v="19"/>
    <x v="1"/>
    <n v="24"/>
    <n v="35.9"/>
    <n v="7.8"/>
    <n v="0"/>
    <n v="76"/>
    <n v="4000"/>
    <n v="7780.7"/>
    <n v="1"/>
    <n v="76"/>
    <n v="4076"/>
    <x v="19"/>
  </r>
  <r>
    <x v="20"/>
    <x v="1"/>
    <n v="20"/>
    <n v="96.4"/>
    <n v="6.5"/>
    <n v="0"/>
    <n v="43.6"/>
    <n v="4000"/>
    <n v="7543.3"/>
    <n v="1"/>
    <n v="43.6"/>
    <n v="4043.6"/>
    <x v="20"/>
  </r>
  <r>
    <x v="21"/>
    <x v="1"/>
    <n v="20.9"/>
    <n v="52.7"/>
    <n v="16.100000000000001"/>
    <n v="0"/>
    <n v="665.1"/>
    <n v="4000"/>
    <n v="7666.8"/>
    <n v="1"/>
    <n v="665.1"/>
    <n v="4665.1000000000004"/>
    <x v="21"/>
  </r>
  <r>
    <x v="22"/>
    <x v="1"/>
    <n v="20"/>
    <n v="40.799999999999997"/>
    <n v="13.4"/>
    <n v="0"/>
    <n v="386.1"/>
    <n v="4000"/>
    <n v="5079.1000000000004"/>
    <n v="1"/>
    <n v="386.1"/>
    <n v="4386.1000000000004"/>
    <x v="22"/>
  </r>
  <r>
    <x v="23"/>
    <x v="1"/>
    <n v="21.7"/>
    <n v="57.3"/>
    <n v="15.7"/>
    <n v="0"/>
    <n v="616.20000000000005"/>
    <n v="4000"/>
    <n v="4912.7"/>
    <n v="1"/>
    <n v="616.20000000000005"/>
    <n v="4616.2"/>
    <x v="23"/>
  </r>
  <r>
    <x v="24"/>
    <x v="1"/>
    <n v="21.2"/>
    <n v="49.5"/>
    <n v="5.5"/>
    <n v="0"/>
    <n v="26.9"/>
    <n v="4000"/>
    <n v="5049.3999999999996"/>
    <n v="1"/>
    <n v="26.9"/>
    <n v="4026.9"/>
    <x v="0"/>
  </r>
  <r>
    <x v="25"/>
    <x v="1"/>
    <n v="19.5"/>
    <n v="31.8"/>
    <n v="14.9"/>
    <n v="0"/>
    <n v="532.70000000000005"/>
    <n v="4000"/>
    <n v="5010"/>
    <n v="1"/>
    <n v="532.70000000000005"/>
    <n v="4532.7"/>
    <x v="1"/>
  </r>
  <r>
    <x v="26"/>
    <x v="1"/>
    <n v="20.6"/>
    <n v="52.7"/>
    <n v="20.5"/>
    <n v="0"/>
    <n v="1380.7"/>
    <n v="3755"/>
    <n v="5135.7"/>
    <n v="0"/>
    <n v="1380.7"/>
    <n v="5135.7"/>
    <x v="2"/>
  </r>
  <r>
    <x v="27"/>
    <x v="1"/>
    <n v="23.8"/>
    <n v="59.1"/>
    <n v="3.2"/>
    <n v="0"/>
    <n v="5.2"/>
    <n v="4000"/>
    <n v="4986.1000000000004"/>
    <n v="1"/>
    <n v="5.2"/>
    <n v="4005.2"/>
    <x v="3"/>
  </r>
  <r>
    <x v="28"/>
    <x v="1"/>
    <n v="22.4"/>
    <n v="77.2"/>
    <n v="15.4"/>
    <n v="0"/>
    <n v="580.5"/>
    <n v="4000"/>
    <n v="5063"/>
    <n v="1"/>
    <n v="580.5"/>
    <n v="4580.5"/>
    <x v="4"/>
  </r>
  <r>
    <x v="29"/>
    <x v="1"/>
    <n v="21.7"/>
    <n v="39.799999999999997"/>
    <n v="7.7"/>
    <n v="0"/>
    <n v="74.400000000000006"/>
    <n v="4000"/>
    <n v="4929.2"/>
    <n v="1"/>
    <n v="74.400000000000006"/>
    <n v="4074.4"/>
    <x v="5"/>
  </r>
  <r>
    <x v="30"/>
    <x v="1"/>
    <n v="24.6"/>
    <n v="86.7"/>
    <n v="14"/>
    <n v="160.1"/>
    <n v="436.5"/>
    <n v="4000"/>
    <n v="4862.8999999999996"/>
    <n v="1"/>
    <n v="596.6"/>
    <n v="4596.6000000000004"/>
    <x v="6"/>
  </r>
  <r>
    <x v="31"/>
    <x v="1"/>
    <n v="25.5"/>
    <n v="74.900000000000006"/>
    <n v="9"/>
    <n v="358.3"/>
    <n v="114.7"/>
    <n v="4000"/>
    <n v="4770.6000000000004"/>
    <n v="1"/>
    <n v="473"/>
    <n v="4473"/>
    <x v="7"/>
  </r>
  <r>
    <x v="32"/>
    <x v="1"/>
    <n v="26"/>
    <n v="25.4"/>
    <n v="15.2"/>
    <n v="792.8"/>
    <n v="566.5"/>
    <n v="3570.6"/>
    <n v="4929.8999999999996"/>
    <n v="0"/>
    <n v="1359.3"/>
    <n v="4929.8999999999996"/>
    <x v="8"/>
  </r>
  <r>
    <x v="33"/>
    <x v="1"/>
    <n v="27.2"/>
    <n v="22.8"/>
    <n v="9.8000000000000007"/>
    <n v="1012.2"/>
    <n v="151.19999999999999"/>
    <n v="3768.5"/>
    <n v="4931.8999999999996"/>
    <n v="0"/>
    <n v="1163.4000000000001"/>
    <n v="4931.8999999999996"/>
    <x v="9"/>
  </r>
  <r>
    <x v="34"/>
    <x v="1"/>
    <n v="27.1"/>
    <n v="88.2"/>
    <n v="10"/>
    <n v="636.5"/>
    <n v="160.1"/>
    <n v="4000"/>
    <n v="7258.4"/>
    <n v="1"/>
    <n v="796.6"/>
    <n v="4796.6000000000004"/>
    <x v="10"/>
  </r>
  <r>
    <x v="35"/>
    <x v="1"/>
    <n v="28.8"/>
    <n v="9.5"/>
    <n v="3.2"/>
    <n v="1378.7"/>
    <n v="5.2"/>
    <n v="4000"/>
    <n v="7183.7"/>
    <n v="1"/>
    <n v="1383.9"/>
    <n v="5383.9"/>
    <x v="11"/>
  </r>
  <r>
    <x v="36"/>
    <x v="1"/>
    <n v="29.3"/>
    <n v="31.2"/>
    <n v="24.8"/>
    <n v="1219.2"/>
    <n v="2437.8000000000002"/>
    <n v="3264.2"/>
    <n v="6921.2"/>
    <n v="0"/>
    <n v="3657"/>
    <n v="6921.2"/>
    <x v="12"/>
  </r>
  <r>
    <x v="37"/>
    <x v="1"/>
    <n v="28"/>
    <n v="83.6"/>
    <n v="22"/>
    <n v="729.3"/>
    <n v="1710.8"/>
    <n v="4000"/>
    <n v="7065.4"/>
    <n v="1"/>
    <n v="2440.1"/>
    <n v="6440.1"/>
    <x v="13"/>
  </r>
  <r>
    <x v="38"/>
    <x v="1"/>
    <n v="28.7"/>
    <n v="70.599999999999994"/>
    <n v="15"/>
    <n v="779"/>
    <n v="536"/>
    <n v="4000"/>
    <n v="7459.2"/>
    <n v="1"/>
    <n v="1315"/>
    <n v="5315"/>
    <x v="14"/>
  </r>
  <r>
    <x v="39"/>
    <x v="1"/>
    <n v="26.3"/>
    <n v="24.5"/>
    <n v="12"/>
    <n v="1000"/>
    <n v="275.3"/>
    <n v="3791.5"/>
    <n v="5066.8"/>
    <n v="0"/>
    <n v="1275.3"/>
    <n v="5066.8"/>
    <x v="15"/>
  </r>
  <r>
    <x v="40"/>
    <x v="1"/>
    <n v="25.5"/>
    <n v="62.4"/>
    <n v="16.8"/>
    <n v="585"/>
    <n v="755.5"/>
    <n v="3584"/>
    <n v="4924.5"/>
    <n v="0"/>
    <n v="1340.5"/>
    <n v="4924.5"/>
    <x v="16"/>
  </r>
  <r>
    <x v="41"/>
    <x v="1"/>
    <n v="26.5"/>
    <n v="16.5"/>
    <n v="11"/>
    <n v="586.6"/>
    <n v="214.8"/>
    <n v="4000"/>
    <n v="4963.3"/>
    <n v="1"/>
    <n v="801.40000000000009"/>
    <n v="4801.3999999999996"/>
    <x v="17"/>
  </r>
  <r>
    <x v="42"/>
    <x v="1"/>
    <n v="22.1"/>
    <n v="42.9"/>
    <n v="11.4"/>
    <n v="247.8"/>
    <n v="236.5"/>
    <n v="4000"/>
    <n v="7592.5"/>
    <n v="1"/>
    <n v="484.3"/>
    <n v="4484.3"/>
    <x v="18"/>
  </r>
  <r>
    <x v="43"/>
    <x v="1"/>
    <n v="23.6"/>
    <n v="19.399999999999999"/>
    <n v="21.3"/>
    <n v="0"/>
    <n v="1539.8"/>
    <n v="4000"/>
    <n v="7927"/>
    <n v="1"/>
    <n v="1539.8"/>
    <n v="5539.8"/>
    <x v="19"/>
  </r>
  <r>
    <x v="44"/>
    <x v="1"/>
    <n v="22.6"/>
    <n v="39.299999999999997"/>
    <n v="7.2"/>
    <n v="0"/>
    <n v="59.8"/>
    <n v="4000"/>
    <n v="7883.2"/>
    <n v="1"/>
    <n v="59.8"/>
    <n v="4059.8"/>
    <x v="20"/>
  </r>
  <r>
    <x v="45"/>
    <x v="1"/>
    <n v="22.3"/>
    <n v="92.1"/>
    <n v="19.7"/>
    <n v="0"/>
    <n v="1226.3"/>
    <n v="4000"/>
    <n v="7644.2"/>
    <n v="1"/>
    <n v="1226.3"/>
    <n v="5226.3"/>
    <x v="21"/>
  </r>
  <r>
    <x v="46"/>
    <x v="1"/>
    <n v="19.399999999999999"/>
    <n v="48.5"/>
    <n v="3.2"/>
    <n v="0"/>
    <n v="5"/>
    <n v="4000"/>
    <n v="4876.7"/>
    <n v="1"/>
    <n v="5"/>
    <n v="4005"/>
    <x v="22"/>
  </r>
  <r>
    <x v="47"/>
    <x v="1"/>
    <n v="20"/>
    <n v="33.299999999999997"/>
    <n v="4"/>
    <n v="0"/>
    <n v="10.4"/>
    <n v="4000"/>
    <n v="4998.5"/>
    <n v="1"/>
    <n v="10.4"/>
    <n v="4010.4"/>
    <x v="23"/>
  </r>
  <r>
    <x v="48"/>
    <x v="1"/>
    <n v="19.5"/>
    <n v="15.8"/>
    <n v="0"/>
    <n v="0"/>
    <n v="0"/>
    <n v="4000"/>
    <n v="5027"/>
    <n v="1"/>
    <n v="0"/>
    <n v="4000"/>
    <x v="0"/>
  </r>
  <r>
    <x v="49"/>
    <x v="1"/>
    <n v="21.9"/>
    <n v="86.5"/>
    <n v="9.6999999999999993"/>
    <n v="0"/>
    <n v="146.69999999999999"/>
    <n v="4000"/>
    <n v="4945.8999999999996"/>
    <n v="1"/>
    <n v="146.69999999999999"/>
    <n v="4146.7"/>
    <x v="1"/>
  </r>
  <r>
    <x v="50"/>
    <x v="1"/>
    <n v="21"/>
    <n v="20"/>
    <n v="13.5"/>
    <n v="0"/>
    <n v="394.4"/>
    <n v="4000"/>
    <n v="4859.7"/>
    <n v="1"/>
    <n v="394.4"/>
    <n v="4394.3999999999996"/>
    <x v="2"/>
  </r>
  <r>
    <x v="51"/>
    <x v="1"/>
    <n v="22.4"/>
    <n v="42.5"/>
    <n v="11"/>
    <n v="0"/>
    <n v="211.9"/>
    <n v="4000"/>
    <n v="5064.8999999999996"/>
    <n v="1"/>
    <n v="211.9"/>
    <n v="4211.8999999999996"/>
    <x v="3"/>
  </r>
  <r>
    <x v="52"/>
    <x v="1"/>
    <n v="21.2"/>
    <n v="39.299999999999997"/>
    <n v="13.8"/>
    <n v="0"/>
    <n v="423.9"/>
    <n v="4000"/>
    <n v="4818.3"/>
    <n v="1"/>
    <n v="423.9"/>
    <n v="4423.8999999999996"/>
    <x v="4"/>
  </r>
  <r>
    <x v="53"/>
    <x v="1"/>
    <n v="22.2"/>
    <n v="82.3"/>
    <n v="10.6"/>
    <n v="0"/>
    <n v="193"/>
    <n v="4000"/>
    <n v="5087"/>
    <n v="1"/>
    <n v="193"/>
    <n v="4193"/>
    <x v="5"/>
  </r>
  <r>
    <x v="54"/>
    <x v="1"/>
    <n v="23.3"/>
    <n v="0"/>
    <n v="16.399999999999999"/>
    <n v="333.8"/>
    <n v="708.4"/>
    <n v="3904.6"/>
    <n v="4946.8"/>
    <n v="0"/>
    <n v="1042.2"/>
    <n v="4946.8"/>
    <x v="6"/>
  </r>
  <r>
    <x v="55"/>
    <x v="1"/>
    <n v="24.8"/>
    <n v="46.7"/>
    <n v="14.6"/>
    <n v="468.6"/>
    <n v="495.9"/>
    <n v="4000"/>
    <n v="5060.5"/>
    <n v="1"/>
    <n v="964.5"/>
    <n v="4964.5"/>
    <x v="7"/>
  </r>
  <r>
    <x v="56"/>
    <x v="1"/>
    <n v="25.5"/>
    <n v="64.900000000000006"/>
    <n v="5.7"/>
    <n v="571.29999999999995"/>
    <n v="30.1"/>
    <n v="4000"/>
    <n v="4715.6000000000004"/>
    <n v="1"/>
    <n v="601.4"/>
    <n v="4601.3999999999996"/>
    <x v="8"/>
  </r>
  <r>
    <x v="57"/>
    <x v="1"/>
    <n v="25.5"/>
    <n v="56.7"/>
    <n v="11.8"/>
    <n v="774.1"/>
    <n v="264.3"/>
    <n v="3955.6"/>
    <n v="4994"/>
    <n v="0"/>
    <n v="1038.4000000000001"/>
    <n v="4994"/>
    <x v="9"/>
  </r>
  <r>
    <x v="58"/>
    <x v="1"/>
    <n v="28.6"/>
    <n v="26.6"/>
    <n v="7.9"/>
    <n v="1135.5"/>
    <n v="80.400000000000006"/>
    <n v="4000"/>
    <n v="6907.7"/>
    <n v="1"/>
    <n v="1215.9000000000001"/>
    <n v="5215.8999999999996"/>
    <x v="10"/>
  </r>
  <r>
    <x v="59"/>
    <x v="1"/>
    <n v="29"/>
    <n v="19.600000000000001"/>
    <n v="12.3"/>
    <n v="1290.4000000000001"/>
    <n v="298.3"/>
    <n v="4000"/>
    <n v="7180.1"/>
    <n v="1"/>
    <n v="1588.7"/>
    <n v="5588.7"/>
    <x v="11"/>
  </r>
  <r>
    <x v="60"/>
    <x v="1"/>
    <n v="28.7"/>
    <n v="49.4"/>
    <n v="10.199999999999999"/>
    <n v="1055.3"/>
    <n v="168"/>
    <n v="4000"/>
    <n v="7214.3"/>
    <n v="1"/>
    <n v="1223.3"/>
    <n v="5223.3"/>
    <x v="12"/>
  </r>
  <r>
    <x v="61"/>
    <x v="1"/>
    <n v="27.9"/>
    <n v="18.2"/>
    <n v="0"/>
    <n v="1302.7"/>
    <n v="0"/>
    <n v="4000"/>
    <n v="7025.9"/>
    <n v="1"/>
    <n v="1302.7"/>
    <n v="5302.7"/>
    <x v="13"/>
  </r>
  <r>
    <x v="62"/>
    <x v="1"/>
    <n v="28.4"/>
    <n v="0"/>
    <n v="7"/>
    <n v="1351.5"/>
    <n v="53.7"/>
    <n v="4000"/>
    <n v="7215.5"/>
    <n v="1"/>
    <n v="1405.2"/>
    <n v="5405.2"/>
    <x v="14"/>
  </r>
  <r>
    <x v="63"/>
    <x v="1"/>
    <n v="28.9"/>
    <n v="45.5"/>
    <n v="8.4"/>
    <n v="852.4"/>
    <n v="93.5"/>
    <n v="4000"/>
    <n v="5042.8999999999996"/>
    <n v="1"/>
    <n v="945.9"/>
    <n v="4945.8999999999996"/>
    <x v="15"/>
  </r>
  <r>
    <x v="64"/>
    <x v="1"/>
    <n v="27.4"/>
    <n v="28.9"/>
    <n v="8"/>
    <n v="773.3"/>
    <n v="82"/>
    <n v="4000"/>
    <n v="4922.6000000000004"/>
    <n v="1"/>
    <n v="855.3"/>
    <n v="4855.3"/>
    <x v="16"/>
  </r>
  <r>
    <x v="65"/>
    <x v="1"/>
    <n v="24.1"/>
    <n v="48.1"/>
    <n v="20.100000000000001"/>
    <n v="463.1"/>
    <n v="1303.8"/>
    <n v="3110.7"/>
    <n v="4877.6000000000004"/>
    <n v="0"/>
    <n v="1766.9"/>
    <n v="4877.6000000000004"/>
    <x v="17"/>
  </r>
  <r>
    <x v="66"/>
    <x v="1"/>
    <n v="23.7"/>
    <n v="37.700000000000003"/>
    <n v="4.2"/>
    <n v="258.3"/>
    <n v="11.7"/>
    <n v="4000"/>
    <n v="7748.5"/>
    <n v="1"/>
    <n v="270"/>
    <n v="4270"/>
    <x v="18"/>
  </r>
  <r>
    <x v="67"/>
    <x v="1"/>
    <n v="22.9"/>
    <n v="40.5"/>
    <n v="28"/>
    <n v="0"/>
    <n v="0"/>
    <n v="4000"/>
    <n v="7832.5"/>
    <n v="1"/>
    <n v="0"/>
    <n v="4000"/>
    <x v="19"/>
  </r>
  <r>
    <x v="68"/>
    <x v="1"/>
    <n v="21.2"/>
    <n v="34.299999999999997"/>
    <n v="17.7"/>
    <n v="0"/>
    <n v="893.6"/>
    <n v="4000"/>
    <n v="7744.8"/>
    <n v="1"/>
    <n v="893.6"/>
    <n v="4893.6000000000004"/>
    <x v="20"/>
  </r>
  <r>
    <x v="69"/>
    <x v="1"/>
    <n v="19.7"/>
    <n v="68"/>
    <n v="8.6999999999999993"/>
    <n v="0"/>
    <n v="103.9"/>
    <n v="4000"/>
    <n v="7717"/>
    <n v="1"/>
    <n v="103.9"/>
    <n v="4103.8999999999996"/>
    <x v="21"/>
  </r>
  <r>
    <x v="70"/>
    <x v="1"/>
    <n v="21.6"/>
    <n v="33.799999999999997"/>
    <n v="18.399999999999999"/>
    <n v="0"/>
    <n v="997.5"/>
    <n v="4000"/>
    <n v="5231"/>
    <n v="1"/>
    <n v="997.5"/>
    <n v="4997.5"/>
    <x v="22"/>
  </r>
  <r>
    <x v="71"/>
    <x v="1"/>
    <n v="21"/>
    <n v="57.1"/>
    <n v="7.8"/>
    <n v="0"/>
    <n v="75"/>
    <n v="4000"/>
    <n v="4960.2"/>
    <n v="1"/>
    <n v="75"/>
    <n v="4075"/>
    <x v="23"/>
  </r>
  <r>
    <x v="72"/>
    <x v="1"/>
    <n v="21"/>
    <n v="36.6"/>
    <n v="10"/>
    <n v="0"/>
    <n v="159.1"/>
    <n v="4000"/>
    <n v="4853.5"/>
    <n v="1"/>
    <n v="159.1"/>
    <n v="4159.1000000000004"/>
    <x v="0"/>
  </r>
  <r>
    <x v="73"/>
    <x v="1"/>
    <n v="20.6"/>
    <n v="96.6"/>
    <n v="6.7"/>
    <n v="0"/>
    <n v="47.3"/>
    <n v="4000"/>
    <n v="4806.7"/>
    <n v="1"/>
    <n v="47.3"/>
    <n v="4047.3"/>
    <x v="1"/>
  </r>
  <r>
    <x v="74"/>
    <x v="1"/>
    <n v="21.9"/>
    <n v="43"/>
    <n v="14.3"/>
    <n v="0"/>
    <n v="464.1"/>
    <n v="4000"/>
    <n v="4953.6000000000004"/>
    <n v="1"/>
    <n v="464.1"/>
    <n v="4464.1000000000004"/>
    <x v="2"/>
  </r>
  <r>
    <x v="75"/>
    <x v="1"/>
    <n v="21.6"/>
    <n v="40.299999999999997"/>
    <n v="16.899999999999999"/>
    <n v="0"/>
    <n v="776.2"/>
    <n v="4000"/>
    <n v="4790.6000000000004"/>
    <n v="1"/>
    <n v="776.2"/>
    <n v="4776.2"/>
    <x v="3"/>
  </r>
  <r>
    <x v="76"/>
    <x v="1"/>
    <n v="24.6"/>
    <n v="59.5"/>
    <n v="13.6"/>
    <n v="0"/>
    <n v="405.1"/>
    <n v="4000"/>
    <n v="5128.1000000000004"/>
    <n v="1"/>
    <n v="405.1"/>
    <n v="4405.1000000000004"/>
    <x v="4"/>
  </r>
  <r>
    <x v="77"/>
    <x v="1"/>
    <n v="22.6"/>
    <n v="53.5"/>
    <n v="10.5"/>
    <n v="0"/>
    <n v="186.4"/>
    <n v="4000"/>
    <n v="4979.2"/>
    <n v="1"/>
    <n v="186.4"/>
    <n v="4186.3999999999996"/>
    <x v="5"/>
  </r>
  <r>
    <x v="78"/>
    <x v="1"/>
    <n v="25.3"/>
    <n v="19.8"/>
    <n v="17.7"/>
    <n v="294.10000000000002"/>
    <n v="887.1"/>
    <n v="3794.1"/>
    <n v="4975.3"/>
    <n v="0"/>
    <n v="1181.2"/>
    <n v="4975.3"/>
    <x v="6"/>
  </r>
  <r>
    <x v="79"/>
    <x v="1"/>
    <n v="24.9"/>
    <n v="0"/>
    <n v="9"/>
    <n v="650.79999999999995"/>
    <n v="115.1"/>
    <n v="4000"/>
    <n v="5147.6000000000004"/>
    <n v="1"/>
    <n v="765.9"/>
    <n v="4765.8999999999996"/>
    <x v="7"/>
  </r>
  <r>
    <x v="80"/>
    <x v="1"/>
    <n v="26"/>
    <n v="20"/>
    <n v="9.5"/>
    <n v="822.9"/>
    <n v="136.1"/>
    <n v="4000"/>
    <n v="5144.5"/>
    <n v="1"/>
    <n v="959"/>
    <n v="4959"/>
    <x v="8"/>
  </r>
  <r>
    <x v="81"/>
    <x v="1"/>
    <n v="27.4"/>
    <n v="39"/>
    <n v="10.199999999999999"/>
    <n v="898.1"/>
    <n v="168.1"/>
    <n v="4000"/>
    <n v="5076.1000000000004"/>
    <n v="1"/>
    <n v="1066.2"/>
    <n v="5066.2"/>
    <x v="9"/>
  </r>
  <r>
    <x v="82"/>
    <x v="1"/>
    <n v="26.5"/>
    <n v="85.4"/>
    <n v="10.4"/>
    <n v="659.1"/>
    <n v="179.4"/>
    <n v="4000"/>
    <n v="7091.2"/>
    <n v="1"/>
    <n v="838.5"/>
    <n v="4838.5"/>
    <x v="10"/>
  </r>
  <r>
    <x v="83"/>
    <x v="1"/>
    <n v="29.4"/>
    <n v="70"/>
    <n v="9.8000000000000007"/>
    <n v="848.6"/>
    <n v="152.5"/>
    <n v="4000"/>
    <n v="7332.6"/>
    <n v="1"/>
    <n v="1001.1"/>
    <n v="5001.1000000000004"/>
    <x v="11"/>
  </r>
  <r>
    <x v="84"/>
    <x v="1"/>
    <n v="28"/>
    <n v="22.4"/>
    <n v="13.6"/>
    <n v="1298.3"/>
    <n v="404.4"/>
    <n v="4000"/>
    <n v="7210.6"/>
    <n v="1"/>
    <n v="1702.6999999999998"/>
    <n v="5702.7"/>
    <x v="12"/>
  </r>
  <r>
    <x v="85"/>
    <x v="1"/>
    <n v="29.1"/>
    <n v="33.4"/>
    <n v="13"/>
    <n v="1169.5"/>
    <n v="352"/>
    <n v="4000"/>
    <n v="6973.1"/>
    <n v="1"/>
    <n v="1521.5"/>
    <n v="5521.5"/>
    <x v="13"/>
  </r>
  <r>
    <x v="86"/>
    <x v="1"/>
    <n v="27.2"/>
    <n v="59.7"/>
    <n v="9.6"/>
    <n v="867.6"/>
    <n v="142.69999999999999"/>
    <n v="4000"/>
    <n v="7192.5"/>
    <n v="1"/>
    <n v="1010.3"/>
    <n v="5010.3"/>
    <x v="14"/>
  </r>
  <r>
    <x v="87"/>
    <x v="1"/>
    <n v="25.5"/>
    <n v="48.2"/>
    <n v="21.7"/>
    <n v="833.9"/>
    <n v="1633.7"/>
    <n v="2613.1"/>
    <n v="5080.7"/>
    <n v="0"/>
    <n v="2467.6"/>
    <n v="5080.7"/>
    <x v="15"/>
  </r>
  <r>
    <x v="88"/>
    <x v="1"/>
    <n v="25.3"/>
    <n v="57.8"/>
    <n v="12.9"/>
    <n v="610.6"/>
    <n v="343.3"/>
    <n v="3846.1"/>
    <n v="4800"/>
    <n v="0"/>
    <n v="953.90000000000009"/>
    <n v="4800"/>
    <x v="16"/>
  </r>
  <r>
    <x v="89"/>
    <x v="1"/>
    <n v="25.5"/>
    <n v="60.9"/>
    <n v="17.5"/>
    <n v="413.1"/>
    <n v="864.6"/>
    <n v="3724.9"/>
    <n v="5002.6000000000004"/>
    <n v="0"/>
    <n v="1277.7"/>
    <n v="5002.6000000000004"/>
    <x v="17"/>
  </r>
  <r>
    <x v="90"/>
    <x v="1"/>
    <n v="23.8"/>
    <n v="61.8"/>
    <n v="21.5"/>
    <n v="210"/>
    <n v="1590"/>
    <n v="4000"/>
    <n v="7761.5"/>
    <n v="1"/>
    <n v="1800"/>
    <n v="5800"/>
    <x v="18"/>
  </r>
  <r>
    <x v="91"/>
    <x v="1"/>
    <n v="22"/>
    <n v="72.7"/>
    <n v="11.4"/>
    <n v="0"/>
    <n v="236.9"/>
    <n v="4000"/>
    <n v="7680.1"/>
    <n v="1"/>
    <n v="236.9"/>
    <n v="4236.8999999999996"/>
    <x v="19"/>
  </r>
  <r>
    <x v="92"/>
    <x v="1"/>
    <n v="22.8"/>
    <n v="31.6"/>
    <n v="11.5"/>
    <n v="0"/>
    <n v="246.4"/>
    <n v="4000"/>
    <n v="7374.1"/>
    <n v="1"/>
    <n v="246.4"/>
    <n v="4246.3999999999996"/>
    <x v="20"/>
  </r>
  <r>
    <x v="93"/>
    <x v="1"/>
    <n v="21.4"/>
    <n v="62.7"/>
    <n v="9.8000000000000007"/>
    <n v="0"/>
    <n v="151.6"/>
    <n v="4000"/>
    <n v="7749.8"/>
    <n v="1"/>
    <n v="151.6"/>
    <n v="4151.6000000000004"/>
    <x v="21"/>
  </r>
  <r>
    <x v="94"/>
    <x v="1"/>
    <n v="20.3"/>
    <n v="63.5"/>
    <n v="15.1"/>
    <n v="0"/>
    <n v="548.29999999999995"/>
    <n v="4000"/>
    <n v="5027"/>
    <n v="1"/>
    <n v="548.29999999999995"/>
    <n v="4548.3"/>
    <x v="22"/>
  </r>
  <r>
    <x v="95"/>
    <x v="1"/>
    <n v="21.2"/>
    <n v="31.6"/>
    <n v="16"/>
    <n v="0"/>
    <n v="660.3"/>
    <n v="4000"/>
    <n v="4809.7"/>
    <n v="1"/>
    <n v="660.3"/>
    <n v="4660.3"/>
    <x v="23"/>
  </r>
  <r>
    <x v="96"/>
    <x v="1"/>
    <n v="21.8"/>
    <n v="39.4"/>
    <n v="10.3"/>
    <n v="0"/>
    <n v="172.5"/>
    <n v="4000"/>
    <n v="4375.1000000000004"/>
    <n v="1"/>
    <n v="172.5"/>
    <n v="4172.5"/>
    <x v="0"/>
  </r>
  <r>
    <x v="97"/>
    <x v="1"/>
    <n v="19.8"/>
    <n v="65"/>
    <n v="3.9"/>
    <n v="0"/>
    <n v="9.6"/>
    <n v="4000"/>
    <n v="4317.1000000000004"/>
    <n v="1"/>
    <n v="9.6"/>
    <n v="4009.6"/>
    <x v="1"/>
  </r>
  <r>
    <x v="98"/>
    <x v="1"/>
    <n v="19.5"/>
    <n v="68.8"/>
    <n v="20.6"/>
    <n v="0"/>
    <n v="1389.2"/>
    <n v="2772.7"/>
    <n v="4161.8999999999996"/>
    <n v="0"/>
    <n v="1389.2"/>
    <n v="4161.8999999999996"/>
    <x v="2"/>
  </r>
  <r>
    <x v="99"/>
    <x v="1"/>
    <n v="21"/>
    <n v="46.8"/>
    <n v="17.8"/>
    <n v="0"/>
    <n v="903.8"/>
    <n v="3400.5"/>
    <n v="4304.3"/>
    <n v="0"/>
    <n v="903.8"/>
    <n v="4304.3"/>
    <x v="3"/>
  </r>
  <r>
    <x v="100"/>
    <x v="1"/>
    <n v="22.2"/>
    <n v="69.400000000000006"/>
    <n v="14.5"/>
    <n v="0"/>
    <n v="488.3"/>
    <n v="3692.6"/>
    <n v="4180.8999999999996"/>
    <n v="0"/>
    <n v="488.3"/>
    <n v="4180.8999999999996"/>
    <x v="4"/>
  </r>
  <r>
    <x v="101"/>
    <x v="1"/>
    <n v="24"/>
    <n v="0"/>
    <n v="15.4"/>
    <n v="0"/>
    <n v="583.20000000000005"/>
    <n v="3765.2"/>
    <n v="4348.3999999999996"/>
    <n v="0"/>
    <n v="583.20000000000005"/>
    <n v="4348.3999999999996"/>
    <x v="5"/>
  </r>
  <r>
    <x v="102"/>
    <x v="1"/>
    <n v="22.2"/>
    <n v="57.8"/>
    <n v="18.899999999999999"/>
    <n v="218.1"/>
    <n v="1074.8"/>
    <n v="2929"/>
    <n v="4221.8999999999996"/>
    <n v="0"/>
    <n v="1292.8999999999999"/>
    <n v="4221.8999999999996"/>
    <x v="6"/>
  </r>
  <r>
    <x v="103"/>
    <x v="1"/>
    <n v="26"/>
    <n v="85.3"/>
    <n v="18.600000000000001"/>
    <n v="317.7"/>
    <n v="1025.4000000000001"/>
    <n v="2956.3"/>
    <n v="4299.3999999999996"/>
    <n v="0"/>
    <n v="1343.1000000000001"/>
    <n v="4299.4000000000005"/>
    <x v="7"/>
  </r>
  <r>
    <x v="104"/>
    <x v="1"/>
    <n v="26.7"/>
    <n v="46.9"/>
    <n v="4"/>
    <n v="672.1"/>
    <n v="10.199999999999999"/>
    <n v="3883.7"/>
    <n v="4566"/>
    <n v="0"/>
    <n v="682.30000000000007"/>
    <n v="4566"/>
    <x v="8"/>
  </r>
  <r>
    <x v="105"/>
    <x v="1"/>
    <n v="26"/>
    <n v="99.3"/>
    <n v="11.1"/>
    <n v="474.2"/>
    <n v="220"/>
    <n v="3588.9"/>
    <n v="4283.1000000000004"/>
    <n v="0"/>
    <n v="694.2"/>
    <n v="4283.1000000000004"/>
    <x v="9"/>
  </r>
  <r>
    <x v="106"/>
    <x v="1"/>
    <n v="28"/>
    <n v="46.1"/>
    <n v="20.5"/>
    <n v="977.7"/>
    <n v="1373.4"/>
    <n v="3907.4"/>
    <n v="6258.5"/>
    <n v="0"/>
    <n v="2351.1000000000004"/>
    <n v="6258.5"/>
    <x v="10"/>
  </r>
  <r>
    <x v="107"/>
    <x v="1"/>
    <n v="28.1"/>
    <n v="26.4"/>
    <n v="5.4"/>
    <n v="1230.4000000000001"/>
    <n v="25.2"/>
    <n v="4000"/>
    <n v="6146.6"/>
    <n v="1"/>
    <n v="1255.6000000000001"/>
    <n v="5255.6"/>
    <x v="11"/>
  </r>
  <r>
    <x v="108"/>
    <x v="1"/>
    <n v="28"/>
    <n v="34.299999999999997"/>
    <n v="8.5"/>
    <n v="1191.5999999999999"/>
    <n v="99.6"/>
    <n v="4000"/>
    <n v="6148.2"/>
    <n v="1"/>
    <n v="1291.1999999999998"/>
    <n v="5291.2"/>
    <x v="12"/>
  </r>
  <r>
    <x v="109"/>
    <x v="1"/>
    <n v="27.8"/>
    <n v="7.4"/>
    <n v="15.8"/>
    <n v="1397.6"/>
    <n v="631.1"/>
    <n v="4000"/>
    <n v="6029.1"/>
    <n v="1"/>
    <n v="2028.6999999999998"/>
    <n v="6028.7"/>
    <x v="13"/>
  </r>
  <r>
    <x v="110"/>
    <x v="1"/>
    <n v="26"/>
    <n v="37.299999999999997"/>
    <n v="8.1999999999999993"/>
    <n v="1049.2"/>
    <n v="89.5"/>
    <n v="4000"/>
    <n v="6252.4"/>
    <n v="1"/>
    <n v="1138.7"/>
    <n v="5138.7"/>
    <x v="14"/>
  </r>
  <r>
    <x v="111"/>
    <x v="1"/>
    <n v="28.2"/>
    <n v="0"/>
    <n v="12.6"/>
    <n v="1172.7"/>
    <n v="318.2"/>
    <n v="2877"/>
    <n v="4367.8999999999996"/>
    <n v="0"/>
    <n v="1490.9"/>
    <n v="4367.8999999999996"/>
    <x v="15"/>
  </r>
  <r>
    <x v="112"/>
    <x v="1"/>
    <n v="26.7"/>
    <n v="50.3"/>
    <n v="8.1999999999999993"/>
    <n v="652.79999999999995"/>
    <n v="89.5"/>
    <n v="3553.7"/>
    <n v="4296"/>
    <n v="0"/>
    <n v="742.3"/>
    <n v="4296"/>
    <x v="16"/>
  </r>
  <r>
    <x v="113"/>
    <x v="1"/>
    <n v="24.2"/>
    <n v="71.900000000000006"/>
    <n v="12.1"/>
    <n v="370.1"/>
    <n v="283.89999999999998"/>
    <n v="3618.1"/>
    <n v="4272.1000000000004"/>
    <n v="0"/>
    <n v="654"/>
    <n v="4272.1000000000004"/>
    <x v="17"/>
  </r>
  <r>
    <x v="114"/>
    <x v="1"/>
    <n v="23.9"/>
    <n v="27.3"/>
    <n v="4.4000000000000004"/>
    <n v="279.10000000000002"/>
    <n v="13.9"/>
    <n v="4000"/>
    <n v="7005.2"/>
    <n v="1"/>
    <n v="293"/>
    <n v="4293"/>
    <x v="18"/>
  </r>
  <r>
    <x v="115"/>
    <x v="1"/>
    <n v="21.4"/>
    <n v="51.7"/>
    <n v="14.5"/>
    <n v="0"/>
    <n v="492.2"/>
    <n v="4000"/>
    <n v="6449.5"/>
    <n v="1"/>
    <n v="492.2"/>
    <n v="4492.2"/>
    <x v="19"/>
  </r>
  <r>
    <x v="116"/>
    <x v="1"/>
    <n v="22.9"/>
    <n v="32.9"/>
    <n v="12.7"/>
    <n v="0"/>
    <n v="330.4"/>
    <n v="4000"/>
    <n v="6482.8"/>
    <n v="1"/>
    <n v="330.4"/>
    <n v="4330.3999999999996"/>
    <x v="20"/>
  </r>
  <r>
    <x v="117"/>
    <x v="1"/>
    <n v="22.1"/>
    <n v="38.299999999999997"/>
    <n v="7.5"/>
    <n v="0"/>
    <n v="68.7"/>
    <n v="4000"/>
    <n v="6961.8"/>
    <n v="1"/>
    <n v="68.7"/>
    <n v="4068.7"/>
    <x v="21"/>
  </r>
  <r>
    <x v="118"/>
    <x v="1"/>
    <n v="19.8"/>
    <n v="39.700000000000003"/>
    <n v="7.1"/>
    <n v="0"/>
    <n v="56.4"/>
    <n v="3940.8"/>
    <n v="3997.2"/>
    <n v="0"/>
    <n v="56.4"/>
    <n v="3997.2000000000003"/>
    <x v="22"/>
  </r>
  <r>
    <x v="119"/>
    <x v="1"/>
    <n v="20.2"/>
    <n v="39.4"/>
    <n v="8.6999999999999993"/>
    <n v="0"/>
    <n v="107.2"/>
    <n v="4000"/>
    <n v="4300.3"/>
    <n v="1"/>
    <n v="107.2"/>
    <n v="4107.2"/>
    <x v="23"/>
  </r>
  <r>
    <x v="120"/>
    <x v="1"/>
    <n v="20.399999999999999"/>
    <n v="17.7"/>
    <n v="19.100000000000001"/>
    <n v="0"/>
    <n v="1106.9000000000001"/>
    <n v="3238.4"/>
    <n v="4345.3"/>
    <n v="0"/>
    <n v="1106.9000000000001"/>
    <n v="4345.3"/>
    <x v="0"/>
  </r>
  <r>
    <x v="121"/>
    <x v="1"/>
    <n v="20.2"/>
    <n v="62.7"/>
    <n v="13.2"/>
    <n v="0"/>
    <n v="365.2"/>
    <n v="3940"/>
    <n v="4305.2"/>
    <n v="0"/>
    <n v="365.2"/>
    <n v="4305.2"/>
    <x v="1"/>
  </r>
  <r>
    <x v="122"/>
    <x v="1"/>
    <n v="20.8"/>
    <n v="29.7"/>
    <n v="13.8"/>
    <n v="0"/>
    <n v="421.2"/>
    <n v="4000"/>
    <n v="4463"/>
    <n v="1"/>
    <n v="421.2"/>
    <n v="4421.2"/>
    <x v="2"/>
  </r>
  <r>
    <x v="123"/>
    <x v="1"/>
    <n v="21.3"/>
    <n v="44.2"/>
    <n v="11"/>
    <n v="0"/>
    <n v="210.6"/>
    <n v="3937.8"/>
    <n v="4148.3999999999996"/>
    <n v="0"/>
    <n v="210.6"/>
    <n v="4148.4000000000005"/>
    <x v="3"/>
  </r>
  <r>
    <x v="124"/>
    <x v="1"/>
    <n v="20.100000000000001"/>
    <n v="31.3"/>
    <n v="12.5"/>
    <n v="0"/>
    <n v="309.8"/>
    <n v="3990.9"/>
    <n v="4300.7"/>
    <n v="0"/>
    <n v="309.8"/>
    <n v="4300.7"/>
    <x v="4"/>
  </r>
  <r>
    <x v="125"/>
    <x v="1"/>
    <n v="21.9"/>
    <n v="76.599999999999994"/>
    <n v="7.7"/>
    <n v="0"/>
    <n v="72.2"/>
    <n v="4000"/>
    <n v="4344"/>
    <n v="1"/>
    <n v="72.2"/>
    <n v="4072.2"/>
    <x v="5"/>
  </r>
  <r>
    <x v="126"/>
    <x v="1"/>
    <n v="24.4"/>
    <n v="28.8"/>
    <n v="20.9"/>
    <n v="276"/>
    <n v="1455.8"/>
    <n v="2733.6"/>
    <n v="4465.3999999999996"/>
    <n v="0"/>
    <n v="1731.8"/>
    <n v="4465.3999999999996"/>
    <x v="6"/>
  </r>
  <r>
    <x v="127"/>
    <x v="1"/>
    <n v="26"/>
    <n v="70"/>
    <n v="8.6"/>
    <n v="377.4"/>
    <n v="103.4"/>
    <n v="3660.2"/>
    <n v="4141"/>
    <n v="0"/>
    <n v="480.79999999999995"/>
    <n v="4141"/>
    <x v="7"/>
  </r>
  <r>
    <x v="128"/>
    <x v="1"/>
    <n v="25.7"/>
    <n v="52.2"/>
    <n v="13.3"/>
    <n v="642.20000000000005"/>
    <n v="376.6"/>
    <n v="3510.1"/>
    <n v="4528.8999999999996"/>
    <n v="0"/>
    <n v="1018.8000000000001"/>
    <n v="4528.8999999999996"/>
    <x v="8"/>
  </r>
  <r>
    <x v="129"/>
    <x v="1"/>
    <n v="27.6"/>
    <n v="64.8"/>
    <n v="3.3"/>
    <n v="716.5"/>
    <n v="5.5"/>
    <n v="3577.9"/>
    <n v="4299.8999999999996"/>
    <n v="0"/>
    <n v="722"/>
    <n v="4299.8999999999996"/>
    <x v="9"/>
  </r>
  <r>
    <x v="130"/>
    <x v="1"/>
    <n v="25.8"/>
    <n v="70.8"/>
    <n v="17.600000000000001"/>
    <n v="777.2"/>
    <n v="877.3"/>
    <n v="4000"/>
    <n v="6435.7"/>
    <n v="1"/>
    <n v="1654.5"/>
    <n v="5654.5"/>
    <x v="10"/>
  </r>
  <r>
    <x v="131"/>
    <x v="1"/>
    <n v="27.5"/>
    <n v="17.399999999999999"/>
    <n v="10.9"/>
    <n v="1310.0999999999999"/>
    <n v="208.7"/>
    <n v="4000"/>
    <n v="6076.4"/>
    <n v="1"/>
    <n v="1518.8"/>
    <n v="5518.8"/>
    <x v="11"/>
  </r>
  <r>
    <x v="132"/>
    <x v="1"/>
    <n v="28.8"/>
    <n v="77.8"/>
    <n v="19"/>
    <n v="800.2"/>
    <n v="1093.7"/>
    <n v="4000"/>
    <n v="6193.8"/>
    <n v="1"/>
    <n v="1893.9"/>
    <n v="5893.9"/>
    <x v="12"/>
  </r>
  <r>
    <x v="133"/>
    <x v="1"/>
    <n v="27.7"/>
    <n v="2.9"/>
    <n v="8"/>
    <n v="1436.8"/>
    <n v="81"/>
    <n v="4000"/>
    <n v="6155.7"/>
    <n v="1"/>
    <n v="1517.8"/>
    <n v="5517.8"/>
    <x v="13"/>
  </r>
  <r>
    <x v="134"/>
    <x v="1"/>
    <n v="29.1"/>
    <n v="14.1"/>
    <n v="9"/>
    <n v="1236.8"/>
    <n v="118.1"/>
    <n v="4000"/>
    <n v="6384.7"/>
    <n v="1"/>
    <n v="1354.8999999999999"/>
    <n v="5354.9"/>
    <x v="14"/>
  </r>
  <r>
    <x v="135"/>
    <x v="1"/>
    <n v="27.1"/>
    <n v="24.8"/>
    <n v="14.1"/>
    <n v="998.5"/>
    <n v="450.5"/>
    <n v="2867"/>
    <n v="4316"/>
    <n v="0"/>
    <n v="1449"/>
    <n v="4316"/>
    <x v="15"/>
  </r>
  <r>
    <x v="136"/>
    <x v="1"/>
    <n v="26"/>
    <n v="58.7"/>
    <n v="12"/>
    <n v="606.1"/>
    <n v="278.7"/>
    <n v="3364.1"/>
    <n v="4248.8999999999996"/>
    <n v="0"/>
    <n v="884.8"/>
    <n v="4248.8999999999996"/>
    <x v="16"/>
  </r>
  <r>
    <x v="137"/>
    <x v="1"/>
    <n v="24.9"/>
    <n v="42.8"/>
    <n v="10.1"/>
    <n v="483.7"/>
    <n v="167.3"/>
    <n v="3603.5"/>
    <n v="4254.5"/>
    <n v="0"/>
    <n v="651"/>
    <n v="4254.5"/>
    <x v="17"/>
  </r>
  <r>
    <x v="138"/>
    <x v="1"/>
    <n v="25.6"/>
    <n v="59"/>
    <n v="10.5"/>
    <n v="215.6"/>
    <n v="186.4"/>
    <n v="4000"/>
    <n v="6681.2"/>
    <n v="1"/>
    <n v="402"/>
    <n v="4402"/>
    <x v="18"/>
  </r>
  <r>
    <x v="139"/>
    <x v="1"/>
    <n v="22.6"/>
    <n v="74.3"/>
    <n v="13.8"/>
    <n v="0"/>
    <n v="424.9"/>
    <n v="4000"/>
    <n v="6824.5"/>
    <n v="1"/>
    <n v="424.9"/>
    <n v="4424.8999999999996"/>
    <x v="19"/>
  </r>
  <r>
    <x v="140"/>
    <x v="1"/>
    <n v="22.4"/>
    <n v="5.7"/>
    <n v="6.4"/>
    <n v="0"/>
    <n v="41.3"/>
    <n v="4000"/>
    <n v="6703.9"/>
    <n v="1"/>
    <n v="41.3"/>
    <n v="4041.3"/>
    <x v="20"/>
  </r>
  <r>
    <x v="141"/>
    <x v="1"/>
    <n v="21.3"/>
    <n v="88.3"/>
    <n v="23.2"/>
    <n v="0"/>
    <n v="1986.7"/>
    <n v="4000"/>
    <n v="6540.9"/>
    <n v="1"/>
    <n v="1986.7"/>
    <n v="5986.7"/>
    <x v="21"/>
  </r>
  <r>
    <x v="142"/>
    <x v="1"/>
    <n v="21"/>
    <n v="0"/>
    <n v="9.3000000000000007"/>
    <n v="0"/>
    <n v="128.1"/>
    <n v="4000"/>
    <n v="4415.7"/>
    <n v="1"/>
    <n v="128.1"/>
    <n v="4128.1000000000004"/>
    <x v="22"/>
  </r>
  <r>
    <x v="143"/>
    <x v="1"/>
    <n v="19.5"/>
    <n v="40.799999999999997"/>
    <n v="9.6"/>
    <n v="0"/>
    <n v="143.30000000000001"/>
    <n v="4000"/>
    <n v="4201.8"/>
    <n v="1"/>
    <n v="143.30000000000001"/>
    <n v="4143.3"/>
    <x v="23"/>
  </r>
  <r>
    <x v="144"/>
    <x v="1"/>
    <n v="20.7"/>
    <n v="18.2"/>
    <n v="13.2"/>
    <n v="0"/>
    <n v="367.7"/>
    <n v="4000"/>
    <n v="4653.1000000000004"/>
    <n v="1"/>
    <n v="367.7"/>
    <n v="4367.7"/>
    <x v="0"/>
  </r>
  <r>
    <x v="145"/>
    <x v="1"/>
    <n v="19.2"/>
    <n v="0"/>
    <n v="10.6"/>
    <n v="0"/>
    <n v="188.9"/>
    <n v="4000"/>
    <n v="5261.1"/>
    <n v="1"/>
    <n v="188.9"/>
    <n v="4188.8999999999996"/>
    <x v="1"/>
  </r>
  <r>
    <x v="146"/>
    <x v="1"/>
    <n v="22.5"/>
    <n v="14.3"/>
    <n v="14.5"/>
    <n v="0"/>
    <n v="486.1"/>
    <n v="4000"/>
    <n v="5115.1000000000004"/>
    <n v="1"/>
    <n v="486.1"/>
    <n v="4486.1000000000004"/>
    <x v="2"/>
  </r>
  <r>
    <x v="147"/>
    <x v="1"/>
    <n v="21.1"/>
    <n v="100"/>
    <n v="4.5"/>
    <n v="0"/>
    <n v="14.4"/>
    <n v="4000"/>
    <n v="4880.2"/>
    <n v="1"/>
    <n v="14.4"/>
    <n v="4014.4"/>
    <x v="3"/>
  </r>
  <r>
    <x v="148"/>
    <x v="1"/>
    <n v="22.5"/>
    <n v="72.099999999999994"/>
    <n v="12.5"/>
    <n v="0"/>
    <n v="311.7"/>
    <n v="4000"/>
    <n v="4988.1000000000004"/>
    <n v="1"/>
    <n v="311.7"/>
    <n v="4311.7"/>
    <x v="4"/>
  </r>
  <r>
    <x v="149"/>
    <x v="1"/>
    <n v="22.6"/>
    <n v="51.7"/>
    <n v="10.3"/>
    <n v="0"/>
    <n v="174"/>
    <n v="4000"/>
    <n v="4996.2"/>
    <n v="1"/>
    <n v="174"/>
    <n v="4174"/>
    <x v="5"/>
  </r>
  <r>
    <x v="150"/>
    <x v="1"/>
    <n v="23.6"/>
    <n v="54.4"/>
    <n v="11.9"/>
    <n v="224.8"/>
    <n v="266.5"/>
    <n v="4000"/>
    <n v="5043.2"/>
    <n v="1"/>
    <n v="491.3"/>
    <n v="4491.3"/>
    <x v="6"/>
  </r>
  <r>
    <x v="151"/>
    <x v="1"/>
    <n v="25"/>
    <n v="0.7"/>
    <n v="18.3"/>
    <n v="648.20000000000005"/>
    <n v="982.1"/>
    <n v="3488.6"/>
    <n v="5118.8999999999996"/>
    <n v="0"/>
    <n v="1630.3000000000002"/>
    <n v="5118.8999999999996"/>
    <x v="7"/>
  </r>
  <r>
    <x v="152"/>
    <x v="1"/>
    <n v="25.3"/>
    <n v="30.1"/>
    <n v="18.899999999999999"/>
    <n v="766.3"/>
    <n v="1075.4000000000001"/>
    <n v="2972.4"/>
    <n v="4814.1000000000004"/>
    <n v="0"/>
    <n v="1841.7"/>
    <n v="4814.1000000000004"/>
    <x v="8"/>
  </r>
  <r>
    <x v="153"/>
    <x v="1"/>
    <n v="30"/>
    <n v="71.400000000000006"/>
    <n v="13.1"/>
    <n v="670.3"/>
    <n v="361"/>
    <n v="3598.3"/>
    <n v="4629.6000000000004"/>
    <n v="0"/>
    <n v="1031.3"/>
    <n v="4629.6000000000004"/>
    <x v="9"/>
  </r>
  <r>
    <x v="154"/>
    <x v="1"/>
    <n v="27.7"/>
    <n v="58"/>
    <n v="15.2"/>
    <n v="880.9"/>
    <n v="564.79999999999995"/>
    <n v="4000"/>
    <n v="7141.8"/>
    <n v="1"/>
    <n v="1445.6999999999998"/>
    <n v="5445.7"/>
    <x v="10"/>
  </r>
  <r>
    <x v="155"/>
    <x v="1"/>
    <n v="28"/>
    <n v="40.1"/>
    <n v="11.2"/>
    <n v="1110.8"/>
    <n v="227.4"/>
    <n v="4000"/>
    <n v="7233.3"/>
    <n v="1"/>
    <n v="1338.2"/>
    <n v="5338.2"/>
    <x v="11"/>
  </r>
  <r>
    <x v="156"/>
    <x v="1"/>
    <n v="29.1"/>
    <n v="59.8"/>
    <n v="0"/>
    <n v="961.4"/>
    <n v="0"/>
    <n v="4000"/>
    <n v="7120.8"/>
    <n v="1"/>
    <n v="961.4"/>
    <n v="4961.3999999999996"/>
    <x v="12"/>
  </r>
  <r>
    <x v="157"/>
    <x v="1"/>
    <n v="28.1"/>
    <n v="44.5"/>
    <n v="10.1"/>
    <n v="1071.5999999999999"/>
    <n v="162.80000000000001"/>
    <n v="4000"/>
    <n v="7248.4"/>
    <n v="1"/>
    <n v="1234.3999999999999"/>
    <n v="5234.3999999999996"/>
    <x v="13"/>
  </r>
  <r>
    <x v="158"/>
    <x v="1"/>
    <n v="28.4"/>
    <n v="25.7"/>
    <n v="14"/>
    <n v="1143.2"/>
    <n v="442.4"/>
    <n v="4000"/>
    <n v="7318.6"/>
    <n v="1"/>
    <n v="1585.6"/>
    <n v="5585.6"/>
    <x v="14"/>
  </r>
  <r>
    <x v="159"/>
    <x v="1"/>
    <n v="25.4"/>
    <n v="29.3"/>
    <n v="16.3"/>
    <n v="966.4"/>
    <n v="694.4"/>
    <n v="3143.5"/>
    <n v="4804.3"/>
    <n v="0"/>
    <n v="1660.8"/>
    <n v="4804.3"/>
    <x v="15"/>
  </r>
  <r>
    <x v="160"/>
    <x v="1"/>
    <n v="26.5"/>
    <n v="63.1"/>
    <n v="14.6"/>
    <n v="581"/>
    <n v="496"/>
    <n v="4000"/>
    <n v="5093"/>
    <n v="1"/>
    <n v="1077"/>
    <n v="5077"/>
    <x v="16"/>
  </r>
  <r>
    <x v="161"/>
    <x v="1"/>
    <n v="25.5"/>
    <n v="65"/>
    <n v="15.8"/>
    <n v="397"/>
    <n v="627.70000000000005"/>
    <n v="3829.1"/>
    <n v="4853.8"/>
    <n v="0"/>
    <n v="1024.7"/>
    <n v="4853.8"/>
    <x v="17"/>
  </r>
  <r>
    <x v="162"/>
    <x v="1"/>
    <n v="24.7"/>
    <n v="53.8"/>
    <n v="17.399999999999999"/>
    <n v="226.1"/>
    <n v="835.7"/>
    <n v="4000"/>
    <n v="7878.3"/>
    <n v="1"/>
    <n v="1061.8"/>
    <n v="5061.8"/>
    <x v="18"/>
  </r>
  <r>
    <x v="163"/>
    <x v="1"/>
    <n v="22.1"/>
    <n v="40.9"/>
    <n v="8.3000000000000007"/>
    <n v="0"/>
    <n v="90.7"/>
    <n v="4000"/>
    <n v="7696"/>
    <n v="1"/>
    <n v="90.7"/>
    <n v="4090.7"/>
    <x v="19"/>
  </r>
  <r>
    <x v="164"/>
    <x v="1"/>
    <n v="21.9"/>
    <n v="25.2"/>
    <n v="10.5"/>
    <n v="0"/>
    <n v="183.1"/>
    <n v="4000"/>
    <n v="7598.7"/>
    <n v="1"/>
    <n v="183.1"/>
    <n v="4183.1000000000004"/>
    <x v="20"/>
  </r>
  <r>
    <x v="165"/>
    <x v="1"/>
    <n v="21.4"/>
    <n v="45"/>
    <n v="7.9"/>
    <n v="0"/>
    <n v="79.3"/>
    <n v="4000"/>
    <n v="7416"/>
    <n v="1"/>
    <n v="79.3"/>
    <n v="4079.3"/>
    <x v="21"/>
  </r>
  <r>
    <x v="166"/>
    <x v="1"/>
    <n v="21.5"/>
    <n v="4.8"/>
    <n v="8.1999999999999993"/>
    <n v="0"/>
    <n v="87.8"/>
    <n v="4000"/>
    <n v="5048.8999999999996"/>
    <n v="1"/>
    <n v="87.8"/>
    <n v="4087.8"/>
    <x v="22"/>
  </r>
  <r>
    <x v="167"/>
    <x v="1"/>
    <n v="19.2"/>
    <n v="65.7"/>
    <n v="11"/>
    <n v="0"/>
    <n v="214.8"/>
    <n v="4000"/>
    <n v="4834.6000000000004"/>
    <n v="1"/>
    <n v="214.8"/>
    <n v="4214.8"/>
    <x v="23"/>
  </r>
  <r>
    <x v="168"/>
    <x v="1"/>
    <n v="18"/>
    <n v="60.9"/>
    <n v="5.8"/>
    <n v="0"/>
    <n v="31.3"/>
    <n v="4000"/>
    <n v="4910.3"/>
    <n v="1"/>
    <n v="31.3"/>
    <n v="4031.3"/>
    <x v="0"/>
  </r>
  <r>
    <x v="169"/>
    <x v="1"/>
    <n v="20.399999999999999"/>
    <n v="79"/>
    <n v="5.5"/>
    <n v="0"/>
    <n v="26"/>
    <n v="4000"/>
    <n v="4959"/>
    <n v="1"/>
    <n v="26"/>
    <n v="4026"/>
    <x v="1"/>
  </r>
  <r>
    <x v="170"/>
    <x v="1"/>
    <n v="20.7"/>
    <n v="90"/>
    <n v="18.2"/>
    <n v="0"/>
    <n v="963.7"/>
    <n v="3533.4"/>
    <n v="4497.1000000000004"/>
    <n v="0"/>
    <n v="963.7"/>
    <n v="4497.1000000000004"/>
    <x v="2"/>
  </r>
  <r>
    <x v="171"/>
    <x v="1"/>
    <n v="20.7"/>
    <n v="65.2"/>
    <n v="7.1"/>
    <n v="0"/>
    <n v="58.1"/>
    <n v="4000"/>
    <n v="4981.3999999999996"/>
    <n v="1"/>
    <n v="58.1"/>
    <n v="4058.1"/>
    <x v="3"/>
  </r>
  <r>
    <x v="172"/>
    <x v="1"/>
    <n v="22.5"/>
    <n v="71.5"/>
    <n v="25.8"/>
    <n v="0"/>
    <n v="0"/>
    <n v="4000"/>
    <n v="5021.5"/>
    <n v="1"/>
    <n v="0"/>
    <n v="4000"/>
    <x v="4"/>
  </r>
  <r>
    <x v="173"/>
    <x v="1"/>
    <n v="22.5"/>
    <n v="44.4"/>
    <n v="3.2"/>
    <n v="0"/>
    <n v="5"/>
    <n v="4000"/>
    <n v="5008.8999999999996"/>
    <n v="1"/>
    <n v="5"/>
    <n v="4005"/>
    <x v="5"/>
  </r>
  <r>
    <x v="174"/>
    <x v="1"/>
    <n v="23.6"/>
    <n v="31.9"/>
    <n v="12.8"/>
    <n v="269.89999999999998"/>
    <n v="332.5"/>
    <n v="4000"/>
    <n v="4845.8"/>
    <n v="1"/>
    <n v="602.4"/>
    <n v="4602.3999999999996"/>
    <x v="6"/>
  </r>
  <r>
    <x v="175"/>
    <x v="1"/>
    <n v="26.2"/>
    <n v="45"/>
    <n v="12"/>
    <n v="475.1"/>
    <n v="273.3"/>
    <n v="4000"/>
    <n v="4826.6000000000004"/>
    <n v="1"/>
    <n v="748.40000000000009"/>
    <n v="4748.3999999999996"/>
    <x v="7"/>
  </r>
  <r>
    <x v="176"/>
    <x v="1"/>
    <n v="26.2"/>
    <n v="65.599999999999994"/>
    <n v="7.7"/>
    <n v="567"/>
    <n v="72"/>
    <n v="4000"/>
    <n v="4900.8"/>
    <n v="1"/>
    <n v="639"/>
    <n v="4639"/>
    <x v="8"/>
  </r>
  <r>
    <x v="177"/>
    <x v="1"/>
    <n v="26.5"/>
    <n v="11.4"/>
    <n v="7.9"/>
    <n v="1092.9000000000001"/>
    <n v="79"/>
    <n v="3679.4"/>
    <n v="4851.3"/>
    <n v="0"/>
    <n v="1171.9000000000001"/>
    <n v="4851.3"/>
    <x v="9"/>
  </r>
  <r>
    <x v="178"/>
    <x v="1"/>
    <n v="28.3"/>
    <n v="51.6"/>
    <n v="13"/>
    <n v="933.3"/>
    <n v="348.9"/>
    <n v="4000"/>
    <n v="7078.6"/>
    <n v="1"/>
    <n v="1282.1999999999998"/>
    <n v="5282.2"/>
    <x v="10"/>
  </r>
  <r>
    <x v="179"/>
    <x v="1"/>
    <n v="27.7"/>
    <n v="54.8"/>
    <n v="11.5"/>
    <n v="981.9"/>
    <n v="242.3"/>
    <n v="4000"/>
    <n v="7277.6"/>
    <n v="1"/>
    <n v="1224.2"/>
    <n v="5224.2"/>
    <x v="11"/>
  </r>
  <r>
    <x v="180"/>
    <x v="1"/>
    <n v="27.4"/>
    <n v="0"/>
    <n v="11.3"/>
    <n v="1500"/>
    <n v="232.6"/>
    <n v="4000"/>
    <n v="7189.8"/>
    <n v="1"/>
    <n v="1732.6"/>
    <n v="5732.6"/>
    <x v="12"/>
  </r>
  <r>
    <x v="181"/>
    <x v="1"/>
    <n v="28.8"/>
    <n v="69.099999999999994"/>
    <n v="18.2"/>
    <n v="855.8"/>
    <n v="961.5"/>
    <n v="4000"/>
    <n v="7363.4"/>
    <n v="1"/>
    <n v="1817.3"/>
    <n v="5817.3"/>
    <x v="13"/>
  </r>
  <r>
    <x v="182"/>
    <x v="1"/>
    <n v="27.7"/>
    <n v="29.6"/>
    <n v="10.4"/>
    <n v="1111.8"/>
    <n v="181"/>
    <n v="4000"/>
    <n v="7163.3"/>
    <n v="1"/>
    <n v="1292.8"/>
    <n v="5292.8"/>
    <x v="14"/>
  </r>
  <r>
    <x v="183"/>
    <x v="1"/>
    <n v="28"/>
    <n v="41.5"/>
    <n v="9.6999999999999993"/>
    <n v="880.6"/>
    <n v="148.30000000000001"/>
    <n v="4000"/>
    <n v="5042.3999999999996"/>
    <n v="1"/>
    <n v="1028.9000000000001"/>
    <n v="5028.8999999999996"/>
    <x v="15"/>
  </r>
  <r>
    <x v="184"/>
    <x v="1"/>
    <n v="26.6"/>
    <n v="8.9"/>
    <n v="0.5"/>
    <n v="885.3"/>
    <n v="0"/>
    <n v="4000"/>
    <n v="4950.1000000000004"/>
    <n v="1"/>
    <n v="885.3"/>
    <n v="4885.3"/>
    <x v="16"/>
  </r>
  <r>
    <x v="185"/>
    <x v="1"/>
    <n v="23.8"/>
    <n v="32.299999999999997"/>
    <n v="11.3"/>
    <n v="524.70000000000005"/>
    <n v="228.5"/>
    <n v="4000"/>
    <n v="4867.3999999999996"/>
    <n v="1"/>
    <n v="753.2"/>
    <n v="4753.2"/>
    <x v="17"/>
  </r>
  <r>
    <x v="186"/>
    <x v="1"/>
    <n v="25.5"/>
    <n v="53.2"/>
    <n v="13.5"/>
    <n v="227.3"/>
    <n v="393.9"/>
    <n v="4000"/>
    <n v="7632"/>
    <n v="1"/>
    <n v="621.20000000000005"/>
    <n v="4621.2"/>
    <x v="18"/>
  </r>
  <r>
    <x v="187"/>
    <x v="1"/>
    <n v="21.8"/>
    <n v="71"/>
    <n v="11.6"/>
    <n v="0"/>
    <n v="251.1"/>
    <n v="4000"/>
    <n v="7793.3"/>
    <n v="1"/>
    <n v="251.1"/>
    <n v="4251.1000000000004"/>
    <x v="19"/>
  </r>
  <r>
    <x v="188"/>
    <x v="1"/>
    <n v="20.9"/>
    <n v="6.2"/>
    <n v="16.100000000000001"/>
    <n v="0"/>
    <n v="666.4"/>
    <n v="4000"/>
    <n v="7800.6"/>
    <n v="1"/>
    <n v="666.4"/>
    <n v="4666.3999999999996"/>
    <x v="20"/>
  </r>
  <r>
    <x v="189"/>
    <x v="1"/>
    <n v="20.3"/>
    <n v="23.3"/>
    <n v="17.600000000000001"/>
    <n v="0"/>
    <n v="876.3"/>
    <n v="4000"/>
    <n v="7756.5"/>
    <n v="1"/>
    <n v="876.3"/>
    <n v="4876.3"/>
    <x v="21"/>
  </r>
  <r>
    <x v="190"/>
    <x v="1"/>
    <n v="22.2"/>
    <n v="22.5"/>
    <n v="15.2"/>
    <n v="0"/>
    <n v="561"/>
    <n v="4000"/>
    <n v="4771.6000000000004"/>
    <n v="1"/>
    <n v="561"/>
    <n v="4561"/>
    <x v="22"/>
  </r>
  <r>
    <x v="191"/>
    <x v="1"/>
    <n v="20.7"/>
    <n v="31.4"/>
    <n v="11.2"/>
    <n v="0"/>
    <n v="223.9"/>
    <n v="4000"/>
    <n v="4900.7"/>
    <n v="1"/>
    <n v="223.9"/>
    <n v="4223.8999999999996"/>
    <x v="23"/>
  </r>
  <r>
    <x v="192"/>
    <x v="1"/>
    <n v="19"/>
    <n v="63.5"/>
    <n v="9.4"/>
    <n v="0"/>
    <n v="134.30000000000001"/>
    <n v="4000"/>
    <n v="4956.1000000000004"/>
    <n v="1"/>
    <n v="134.30000000000001"/>
    <n v="4134.3"/>
    <x v="0"/>
  </r>
  <r>
    <x v="193"/>
    <x v="1"/>
    <n v="19.100000000000001"/>
    <n v="0"/>
    <n v="11"/>
    <n v="0"/>
    <n v="215.6"/>
    <n v="4000"/>
    <n v="4915.7"/>
    <n v="1"/>
    <n v="215.6"/>
    <n v="4215.6000000000004"/>
    <x v="1"/>
  </r>
  <r>
    <x v="194"/>
    <x v="1"/>
    <n v="21.3"/>
    <n v="44.5"/>
    <n v="10.7"/>
    <n v="0"/>
    <n v="195.2"/>
    <n v="4000"/>
    <n v="5311.9"/>
    <n v="1"/>
    <n v="195.2"/>
    <n v="4195.2"/>
    <x v="2"/>
  </r>
  <r>
    <x v="195"/>
    <x v="1"/>
    <n v="21.7"/>
    <n v="15.5"/>
    <n v="17.600000000000001"/>
    <n v="0"/>
    <n v="868.1"/>
    <n v="4000"/>
    <n v="4953.3999999999996"/>
    <n v="1"/>
    <n v="868.1"/>
    <n v="4868.1000000000004"/>
    <x v="3"/>
  </r>
  <r>
    <x v="196"/>
    <x v="1"/>
    <n v="22.7"/>
    <n v="56"/>
    <n v="12.1"/>
    <n v="0"/>
    <n v="283.3"/>
    <n v="4000"/>
    <n v="5057.3"/>
    <n v="1"/>
    <n v="283.3"/>
    <n v="4283.3"/>
    <x v="4"/>
  </r>
  <r>
    <x v="197"/>
    <x v="1"/>
    <n v="23.6"/>
    <n v="36.1"/>
    <n v="9.1"/>
    <n v="0"/>
    <n v="121.8"/>
    <n v="4000"/>
    <n v="5050.8999999999996"/>
    <n v="1"/>
    <n v="121.8"/>
    <n v="4121.8"/>
    <x v="5"/>
  </r>
  <r>
    <x v="198"/>
    <x v="1"/>
    <n v="25.5"/>
    <n v="14"/>
    <n v="4.7"/>
    <n v="305.7"/>
    <n v="16.2"/>
    <n v="4000"/>
    <n v="4965.3"/>
    <n v="1"/>
    <n v="321.89999999999998"/>
    <n v="4321.8999999999996"/>
    <x v="6"/>
  </r>
  <r>
    <x v="199"/>
    <x v="1"/>
    <n v="25.1"/>
    <n v="49.3"/>
    <n v="13.2"/>
    <n v="458.2"/>
    <n v="369.7"/>
    <n v="4000"/>
    <n v="4974.7"/>
    <n v="1"/>
    <n v="827.9"/>
    <n v="4827.8999999999996"/>
    <x v="7"/>
  </r>
  <r>
    <x v="200"/>
    <x v="1"/>
    <n v="27.5"/>
    <n v="5"/>
    <n v="7.9"/>
    <n v="907.3"/>
    <n v="77.599999999999994"/>
    <n v="3931.6"/>
    <n v="4916.5"/>
    <n v="0"/>
    <n v="984.9"/>
    <n v="4916.5"/>
    <x v="8"/>
  </r>
  <r>
    <x v="201"/>
    <x v="1"/>
    <n v="25.2"/>
    <n v="40.6"/>
    <n v="20.3"/>
    <n v="887"/>
    <n v="1339.9"/>
    <n v="2707.6"/>
    <n v="4934.5"/>
    <n v="0"/>
    <n v="2226.9"/>
    <n v="4934.5"/>
    <x v="9"/>
  </r>
  <r>
    <x v="202"/>
    <x v="1"/>
    <n v="27.7"/>
    <n v="13.5"/>
    <n v="8.9"/>
    <n v="1242"/>
    <n v="113.5"/>
    <n v="4000"/>
    <n v="7153.1"/>
    <n v="1"/>
    <n v="1355.5"/>
    <n v="5355.5"/>
    <x v="10"/>
  </r>
  <r>
    <x v="203"/>
    <x v="1"/>
    <n v="27.5"/>
    <n v="77"/>
    <n v="14.8"/>
    <n v="786.4"/>
    <n v="517.5"/>
    <n v="4000"/>
    <n v="7093.7"/>
    <n v="1"/>
    <n v="1303.9000000000001"/>
    <n v="5303.9"/>
    <x v="11"/>
  </r>
  <r>
    <x v="204"/>
    <x v="1"/>
    <n v="28.2"/>
    <n v="57.5"/>
    <n v="17.7"/>
    <n v="982.9"/>
    <n v="887.3"/>
    <n v="4000"/>
    <n v="6983.3"/>
    <n v="1"/>
    <n v="1870.1999999999998"/>
    <n v="5870.2"/>
    <x v="12"/>
  </r>
  <r>
    <x v="205"/>
    <x v="1"/>
    <n v="26.8"/>
    <n v="24.7"/>
    <n v="5.7"/>
    <n v="1245.4000000000001"/>
    <n v="29.8"/>
    <n v="4000"/>
    <n v="7387.1"/>
    <n v="1"/>
    <n v="1275.2"/>
    <n v="5275.2"/>
    <x v="13"/>
  </r>
  <r>
    <x v="206"/>
    <x v="1"/>
    <n v="27.9"/>
    <n v="69.7"/>
    <n v="11.6"/>
    <n v="786.4"/>
    <n v="251.1"/>
    <n v="4000"/>
    <n v="7114.9"/>
    <n v="1"/>
    <n v="1037.5"/>
    <n v="5037.5"/>
    <x v="14"/>
  </r>
  <r>
    <x v="207"/>
    <x v="1"/>
    <n v="27"/>
    <n v="24.1"/>
    <n v="22.4"/>
    <n v="1003"/>
    <n v="1809.8"/>
    <n v="2089.1999999999998"/>
    <n v="4902"/>
    <n v="0"/>
    <n v="2812.8"/>
    <n v="4902"/>
    <x v="15"/>
  </r>
  <r>
    <x v="208"/>
    <x v="1"/>
    <n v="26.2"/>
    <n v="95.6"/>
    <n v="12"/>
    <n v="398.8"/>
    <n v="278.8"/>
    <n v="4000"/>
    <n v="4708.8999999999996"/>
    <n v="1"/>
    <n v="677.6"/>
    <n v="4677.6000000000004"/>
    <x v="16"/>
  </r>
  <r>
    <x v="209"/>
    <x v="1"/>
    <n v="24.7"/>
    <n v="40.5"/>
    <n v="18.899999999999999"/>
    <n v="492.7"/>
    <n v="1074.0999999999999"/>
    <n v="3354.7"/>
    <n v="4921.5"/>
    <n v="0"/>
    <n v="1566.8"/>
    <n v="4921.5"/>
    <x v="17"/>
  </r>
  <r>
    <x v="210"/>
    <x v="1"/>
    <n v="25.5"/>
    <n v="9.4"/>
    <n v="10.7"/>
    <n v="315"/>
    <n v="194.2"/>
    <n v="4000"/>
    <n v="7368.2"/>
    <n v="1"/>
    <n v="509.2"/>
    <n v="4509.2"/>
    <x v="18"/>
  </r>
  <r>
    <x v="211"/>
    <x v="1"/>
    <n v="23.6"/>
    <n v="5"/>
    <n v="14.3"/>
    <n v="0"/>
    <n v="468.9"/>
    <n v="4000"/>
    <n v="7635.6"/>
    <n v="1"/>
    <n v="468.9"/>
    <n v="4468.8999999999996"/>
    <x v="19"/>
  </r>
  <r>
    <x v="212"/>
    <x v="1"/>
    <n v="20.6"/>
    <n v="49.7"/>
    <n v="8.6999999999999993"/>
    <n v="0"/>
    <n v="105"/>
    <n v="4000"/>
    <n v="8003.6"/>
    <n v="1"/>
    <n v="105"/>
    <n v="4105"/>
    <x v="20"/>
  </r>
  <r>
    <x v="213"/>
    <x v="1"/>
    <n v="21.2"/>
    <n v="29"/>
    <n v="14.4"/>
    <n v="0"/>
    <n v="481.7"/>
    <n v="4000"/>
    <n v="7763.9"/>
    <n v="1"/>
    <n v="481.7"/>
    <n v="4481.7"/>
    <x v="21"/>
  </r>
  <r>
    <x v="214"/>
    <x v="1"/>
    <n v="20.3"/>
    <n v="63"/>
    <n v="5.5"/>
    <n v="0"/>
    <n v="27.1"/>
    <n v="4000"/>
    <n v="5220.7"/>
    <n v="1"/>
    <n v="27.1"/>
    <n v="4027.1"/>
    <x v="22"/>
  </r>
  <r>
    <x v="215"/>
    <x v="1"/>
    <n v="20.6"/>
    <n v="82.1"/>
    <n v="13.8"/>
    <n v="0"/>
    <n v="418.5"/>
    <n v="4000"/>
    <n v="4806.5"/>
    <n v="1"/>
    <n v="418.5"/>
    <n v="4418.5"/>
    <x v="23"/>
  </r>
  <r>
    <x v="216"/>
    <x v="1"/>
    <n v="20"/>
    <n v="13.7"/>
    <n v="15"/>
    <n v="0"/>
    <n v="542.4"/>
    <n v="4000"/>
    <n v="4903"/>
    <n v="1"/>
    <n v="542.4"/>
    <n v="4542.3999999999996"/>
    <x v="0"/>
  </r>
  <r>
    <x v="217"/>
    <x v="1"/>
    <n v="19.7"/>
    <n v="33.200000000000003"/>
    <n v="13.3"/>
    <n v="0"/>
    <n v="378.9"/>
    <n v="4000"/>
    <n v="5082.3"/>
    <n v="1"/>
    <n v="378.9"/>
    <n v="4378.8999999999996"/>
    <x v="1"/>
  </r>
  <r>
    <x v="218"/>
    <x v="1"/>
    <n v="20.5"/>
    <n v="97.5"/>
    <n v="10.8"/>
    <n v="0"/>
    <n v="199.6"/>
    <n v="4000"/>
    <n v="4884.5"/>
    <n v="1"/>
    <n v="199.6"/>
    <n v="4199.6000000000004"/>
    <x v="2"/>
  </r>
  <r>
    <x v="219"/>
    <x v="1"/>
    <n v="20.5"/>
    <n v="63.6"/>
    <n v="11.1"/>
    <n v="0"/>
    <n v="218.5"/>
    <n v="4000"/>
    <n v="4896.2"/>
    <n v="1"/>
    <n v="218.5"/>
    <n v="4218.5"/>
    <x v="3"/>
  </r>
  <r>
    <x v="220"/>
    <x v="1"/>
    <n v="23.3"/>
    <n v="80.5"/>
    <n v="9"/>
    <n v="0"/>
    <n v="116.6"/>
    <n v="4000"/>
    <n v="4852.6000000000004"/>
    <n v="1"/>
    <n v="116.6"/>
    <n v="4116.6000000000004"/>
    <x v="4"/>
  </r>
  <r>
    <x v="221"/>
    <x v="1"/>
    <n v="24"/>
    <n v="27.9"/>
    <n v="16"/>
    <n v="0"/>
    <n v="649.6"/>
    <n v="4000"/>
    <n v="4670"/>
    <n v="1"/>
    <n v="649.6"/>
    <n v="4649.6000000000004"/>
    <x v="5"/>
  </r>
  <r>
    <x v="222"/>
    <x v="1"/>
    <n v="24.9"/>
    <n v="14.7"/>
    <n v="15.7"/>
    <n v="304.3"/>
    <n v="613.70000000000005"/>
    <n v="3736.5"/>
    <n v="4654.5"/>
    <n v="0"/>
    <n v="918"/>
    <n v="4654.5"/>
    <x v="6"/>
  </r>
  <r>
    <x v="223"/>
    <x v="1"/>
    <n v="24.1"/>
    <n v="34.799999999999997"/>
    <n v="15.4"/>
    <n v="514.79999999999995"/>
    <n v="588"/>
    <n v="3849.3"/>
    <n v="4952.1000000000004"/>
    <n v="0"/>
    <n v="1102.8"/>
    <n v="4952.1000000000004"/>
    <x v="7"/>
  </r>
  <r>
    <x v="224"/>
    <x v="1"/>
    <n v="26.6"/>
    <n v="94.4"/>
    <n v="4.2"/>
    <n v="405.5"/>
    <n v="11.7"/>
    <n v="4000"/>
    <n v="4965.8999999999996"/>
    <n v="1"/>
    <n v="417.2"/>
    <n v="4417.2"/>
    <x v="8"/>
  </r>
  <r>
    <x v="225"/>
    <x v="1"/>
    <n v="26.9"/>
    <n v="22.5"/>
    <n v="5.3"/>
    <n v="1014.2"/>
    <n v="24.5"/>
    <n v="4000"/>
    <n v="5192.6000000000004"/>
    <n v="1"/>
    <n v="1038.7"/>
    <n v="5038.7"/>
    <x v="9"/>
  </r>
  <r>
    <x v="226"/>
    <x v="1"/>
    <n v="28.4"/>
    <n v="41.8"/>
    <n v="19.600000000000001"/>
    <n v="1012.4"/>
    <n v="1196.5999999999999"/>
    <n v="4000"/>
    <n v="7121.6"/>
    <n v="1"/>
    <n v="2209"/>
    <n v="6209"/>
    <x v="10"/>
  </r>
  <r>
    <x v="227"/>
    <x v="1"/>
    <n v="27.9"/>
    <n v="13.7"/>
    <n v="13.8"/>
    <n v="1342.3"/>
    <n v="422.2"/>
    <n v="4000"/>
    <n v="6932.3"/>
    <n v="1"/>
    <n v="1764.5"/>
    <n v="5764.5"/>
    <x v="11"/>
  </r>
  <r>
    <x v="228"/>
    <x v="1"/>
    <n v="27.6"/>
    <n v="0"/>
    <n v="13"/>
    <n v="1500"/>
    <n v="351.1"/>
    <n v="4000"/>
    <n v="7283"/>
    <n v="1"/>
    <n v="1851.1"/>
    <n v="5851.1"/>
    <x v="12"/>
  </r>
  <r>
    <x v="229"/>
    <x v="1"/>
    <n v="28.3"/>
    <n v="75.900000000000006"/>
    <n v="6.6"/>
    <n v="796.5"/>
    <n v="46.9"/>
    <n v="4000"/>
    <n v="7215.5"/>
    <n v="1"/>
    <n v="843.4"/>
    <n v="4843.3999999999996"/>
    <x v="13"/>
  </r>
  <r>
    <x v="230"/>
    <x v="1"/>
    <n v="28.7"/>
    <n v="0.5"/>
    <n v="13.6"/>
    <n v="1347.1"/>
    <n v="402.3"/>
    <n v="4000"/>
    <n v="7252"/>
    <n v="1"/>
    <n v="1749.3999999999999"/>
    <n v="5749.4"/>
    <x v="14"/>
  </r>
  <r>
    <x v="231"/>
    <x v="1"/>
    <n v="26.7"/>
    <n v="53.7"/>
    <n v="9.6"/>
    <n v="794.9"/>
    <n v="140"/>
    <n v="3939.5"/>
    <n v="4874.3999999999996"/>
    <n v="0"/>
    <n v="934.9"/>
    <n v="4874.3999999999996"/>
    <x v="15"/>
  </r>
  <r>
    <x v="232"/>
    <x v="1"/>
    <n v="26"/>
    <n v="17.8"/>
    <n v="6.6"/>
    <n v="835.2"/>
    <n v="45.4"/>
    <n v="3968"/>
    <n v="4848.6000000000004"/>
    <n v="0"/>
    <n v="880.6"/>
    <n v="4848.6000000000004"/>
    <x v="16"/>
  </r>
  <r>
    <x v="233"/>
    <x v="1"/>
    <n v="23.9"/>
    <n v="61.7"/>
    <n v="14.3"/>
    <n v="410.1"/>
    <n v="469.1"/>
    <n v="4000"/>
    <n v="5051.8999999999996"/>
    <n v="1"/>
    <n v="879.2"/>
    <n v="4879.2"/>
    <x v="17"/>
  </r>
  <r>
    <x v="234"/>
    <x v="1"/>
    <n v="23.3"/>
    <n v="74.900000000000006"/>
    <n v="7.1"/>
    <n v="183.9"/>
    <n v="57.1"/>
    <n v="4000"/>
    <n v="7441.1"/>
    <n v="1"/>
    <n v="241"/>
    <n v="4241"/>
    <x v="18"/>
  </r>
  <r>
    <x v="235"/>
    <x v="1"/>
    <n v="23.4"/>
    <n v="64.599999999999994"/>
    <n v="10.7"/>
    <n v="0"/>
    <n v="198.3"/>
    <n v="4000"/>
    <n v="7630.3"/>
    <n v="1"/>
    <n v="198.3"/>
    <n v="4198.3"/>
    <x v="19"/>
  </r>
  <r>
    <x v="236"/>
    <x v="1"/>
    <n v="23.4"/>
    <n v="88.5"/>
    <n v="16.899999999999999"/>
    <n v="0"/>
    <n v="771.5"/>
    <n v="4000"/>
    <n v="7610.4"/>
    <n v="1"/>
    <n v="771.5"/>
    <n v="4771.5"/>
    <x v="20"/>
  </r>
  <r>
    <x v="237"/>
    <x v="1"/>
    <n v="20.399999999999999"/>
    <n v="24.2"/>
    <n v="14.6"/>
    <n v="0"/>
    <n v="499.2"/>
    <n v="4000"/>
    <n v="7712.8"/>
    <n v="1"/>
    <n v="499.2"/>
    <n v="4499.2"/>
    <x v="21"/>
  </r>
  <r>
    <x v="238"/>
    <x v="1"/>
    <n v="21.9"/>
    <n v="61.3"/>
    <n v="4.5"/>
    <n v="0"/>
    <n v="14.4"/>
    <n v="4000"/>
    <n v="5012.8"/>
    <n v="1"/>
    <n v="14.4"/>
    <n v="4014.4"/>
    <x v="22"/>
  </r>
  <r>
    <x v="239"/>
    <x v="1"/>
    <n v="19.100000000000001"/>
    <n v="35.4"/>
    <n v="13.3"/>
    <n v="0"/>
    <n v="372.3"/>
    <n v="4000"/>
    <n v="5107.8"/>
    <n v="1"/>
    <n v="372.3"/>
    <n v="4372.3"/>
    <x v="23"/>
  </r>
  <r>
    <x v="240"/>
    <x v="1"/>
    <n v="23.1"/>
    <n v="60.2"/>
    <n v="11.1"/>
    <n v="0"/>
    <n v="217.9"/>
    <n v="4000"/>
    <n v="5249.4"/>
    <n v="1"/>
    <n v="217.9"/>
    <n v="4217.8999999999996"/>
    <x v="0"/>
  </r>
  <r>
    <x v="241"/>
    <x v="1"/>
    <n v="21"/>
    <n v="37"/>
    <n v="21"/>
    <n v="0"/>
    <n v="1476.7"/>
    <n v="3553.5"/>
    <n v="5030.2"/>
    <n v="0"/>
    <n v="1476.7"/>
    <n v="5030.2"/>
    <x v="1"/>
  </r>
  <r>
    <x v="242"/>
    <x v="1"/>
    <n v="21"/>
    <n v="61.6"/>
    <n v="14.1"/>
    <n v="0"/>
    <n v="449.3"/>
    <n v="4000"/>
    <n v="4984.5"/>
    <n v="1"/>
    <n v="449.3"/>
    <n v="4449.3"/>
    <x v="2"/>
  </r>
  <r>
    <x v="243"/>
    <x v="1"/>
    <n v="20.6"/>
    <n v="31"/>
    <n v="6.5"/>
    <n v="0"/>
    <n v="43.9"/>
    <n v="4000"/>
    <n v="5075.8"/>
    <n v="1"/>
    <n v="43.9"/>
    <n v="4043.9"/>
    <x v="3"/>
  </r>
  <r>
    <x v="244"/>
    <x v="1"/>
    <n v="22.8"/>
    <n v="56.4"/>
    <n v="20.399999999999999"/>
    <n v="0"/>
    <n v="1352.9"/>
    <n v="3663"/>
    <n v="5015.8999999999996"/>
    <n v="0"/>
    <n v="1352.9"/>
    <n v="5015.8999999999996"/>
    <x v="4"/>
  </r>
  <r>
    <x v="245"/>
    <x v="1"/>
    <n v="23.6"/>
    <n v="17.7"/>
    <n v="10.1"/>
    <n v="0"/>
    <n v="163.1"/>
    <n v="4000"/>
    <n v="4949.2"/>
    <n v="1"/>
    <n v="163.1"/>
    <n v="4163.1000000000004"/>
    <x v="5"/>
  </r>
  <r>
    <x v="246"/>
    <x v="1"/>
    <n v="24.8"/>
    <n v="37.700000000000003"/>
    <n v="11.6"/>
    <n v="258.39999999999998"/>
    <n v="252.5"/>
    <n v="4000"/>
    <n v="5054.3"/>
    <n v="1"/>
    <n v="510.9"/>
    <n v="4510.8999999999996"/>
    <x v="6"/>
  </r>
  <r>
    <x v="247"/>
    <x v="1"/>
    <n v="24.7"/>
    <n v="67.3"/>
    <n v="14.9"/>
    <n v="388.2"/>
    <n v="526.70000000000005"/>
    <n v="3807.4"/>
    <n v="4722.3"/>
    <n v="0"/>
    <n v="914.90000000000009"/>
    <n v="4722.3"/>
    <x v="7"/>
  </r>
  <r>
    <x v="248"/>
    <x v="1"/>
    <n v="26"/>
    <n v="45.2"/>
    <n v="8.6999999999999993"/>
    <n v="681.7"/>
    <n v="105.3"/>
    <n v="4000"/>
    <n v="5025.1000000000004"/>
    <n v="1"/>
    <n v="787"/>
    <n v="4787"/>
    <x v="8"/>
  </r>
  <r>
    <x v="249"/>
    <x v="1"/>
    <n v="27.2"/>
    <n v="57.3"/>
    <n v="9.4"/>
    <n v="769.6"/>
    <n v="131.6"/>
    <n v="4000"/>
    <n v="5054.8"/>
    <n v="1"/>
    <n v="901.2"/>
    <n v="4901.2"/>
    <x v="9"/>
  </r>
  <r>
    <x v="250"/>
    <x v="1"/>
    <n v="28.6"/>
    <n v="33"/>
    <n v="7.7"/>
    <n v="1083.5999999999999"/>
    <n v="72.7"/>
    <n v="4000"/>
    <n v="6827"/>
    <n v="1"/>
    <n v="1156.3"/>
    <n v="5156.3"/>
    <x v="10"/>
  </r>
  <r>
    <x v="251"/>
    <x v="1"/>
    <n v="27.5"/>
    <n v="71.5"/>
    <n v="15.1"/>
    <n v="835"/>
    <n v="549.20000000000005"/>
    <n v="4000"/>
    <n v="7254"/>
    <n v="1"/>
    <n v="1384.2"/>
    <n v="5384.2"/>
    <x v="11"/>
  </r>
  <r>
    <x v="252"/>
    <x v="1"/>
    <n v="26.6"/>
    <n v="75.3"/>
    <n v="13.3"/>
    <n v="822.3"/>
    <n v="377"/>
    <n v="4000"/>
    <n v="7252.5"/>
    <n v="1"/>
    <n v="1199.3"/>
    <n v="5199.3"/>
    <x v="12"/>
  </r>
  <r>
    <x v="253"/>
    <x v="1"/>
    <n v="28"/>
    <n v="0.6"/>
    <n v="14"/>
    <n v="1457.2"/>
    <n v="443.1"/>
    <n v="4000"/>
    <n v="7094.6"/>
    <n v="1"/>
    <n v="1900.3000000000002"/>
    <n v="5900.3"/>
    <x v="13"/>
  </r>
  <r>
    <x v="254"/>
    <x v="1"/>
    <n v="26.1"/>
    <n v="6.9"/>
    <n v="17.600000000000001"/>
    <n v="1295.2"/>
    <n v="866.9"/>
    <n v="4000"/>
    <n v="6995.6"/>
    <n v="1"/>
    <n v="2162.1"/>
    <n v="6162.1"/>
    <x v="14"/>
  </r>
  <r>
    <x v="255"/>
    <x v="1"/>
    <n v="28.4"/>
    <n v="31.6"/>
    <n v="3.5"/>
    <n v="950.4"/>
    <n v="6.6"/>
    <n v="3898.6"/>
    <n v="4855.6000000000004"/>
    <n v="0"/>
    <n v="957"/>
    <n v="4855.6000000000004"/>
    <x v="15"/>
  </r>
  <r>
    <x v="256"/>
    <x v="1"/>
    <n v="27.2"/>
    <n v="41.1"/>
    <n v="9.3000000000000007"/>
    <n v="704.6"/>
    <n v="127"/>
    <n v="3950.9"/>
    <n v="4782.5"/>
    <n v="0"/>
    <n v="831.6"/>
    <n v="4782.5"/>
    <x v="16"/>
  </r>
  <r>
    <x v="257"/>
    <x v="1"/>
    <n v="25.5"/>
    <n v="72.900000000000006"/>
    <n v="19.2"/>
    <n v="366"/>
    <n v="1140"/>
    <n v="3468"/>
    <n v="4974"/>
    <n v="0"/>
    <n v="1506"/>
    <n v="4974"/>
    <x v="17"/>
  </r>
  <r>
    <x v="258"/>
    <x v="1"/>
    <n v="22.7"/>
    <n v="34.700000000000003"/>
    <n v="13.3"/>
    <n v="264.39999999999998"/>
    <n v="376.5"/>
    <n v="4000"/>
    <n v="7646"/>
    <n v="1"/>
    <n v="640.9"/>
    <n v="4640.8999999999996"/>
    <x v="18"/>
  </r>
  <r>
    <x v="259"/>
    <x v="1"/>
    <n v="22"/>
    <n v="53.6"/>
    <n v="11.8"/>
    <n v="0"/>
    <n v="260"/>
    <n v="4000"/>
    <n v="7555.4"/>
    <n v="1"/>
    <n v="260"/>
    <n v="4260"/>
    <x v="19"/>
  </r>
  <r>
    <x v="260"/>
    <x v="1"/>
    <n v="21.2"/>
    <n v="39.200000000000003"/>
    <n v="7.4"/>
    <n v="0"/>
    <n v="64.3"/>
    <n v="4000"/>
    <n v="7704.9"/>
    <n v="1"/>
    <n v="64.3"/>
    <n v="4064.3"/>
    <x v="20"/>
  </r>
  <r>
    <x v="261"/>
    <x v="1"/>
    <n v="22.2"/>
    <n v="0"/>
    <n v="7.4"/>
    <n v="0"/>
    <n v="63.6"/>
    <n v="4000"/>
    <n v="7833.5"/>
    <n v="1"/>
    <n v="63.6"/>
    <n v="4063.6"/>
    <x v="21"/>
  </r>
  <r>
    <x v="262"/>
    <x v="1"/>
    <n v="19.899999999999999"/>
    <n v="42.9"/>
    <n v="4.8"/>
    <n v="0"/>
    <n v="17.2"/>
    <n v="4000"/>
    <n v="4725.5"/>
    <n v="1"/>
    <n v="17.2"/>
    <n v="4017.2"/>
    <x v="22"/>
  </r>
  <r>
    <x v="263"/>
    <x v="1"/>
    <n v="19.100000000000001"/>
    <n v="50.2"/>
    <n v="12.3"/>
    <n v="0"/>
    <n v="301.10000000000002"/>
    <n v="4000"/>
    <n v="4811.7"/>
    <n v="1"/>
    <n v="301.10000000000002"/>
    <n v="4301.1000000000004"/>
    <x v="23"/>
  </r>
  <r>
    <x v="264"/>
    <x v="1"/>
    <n v="20.2"/>
    <n v="31.3"/>
    <n v="10.6"/>
    <n v="0"/>
    <n v="192.8"/>
    <n v="4000"/>
    <n v="4211.7"/>
    <n v="1"/>
    <n v="192.8"/>
    <n v="4192.8"/>
    <x v="0"/>
  </r>
  <r>
    <x v="265"/>
    <x v="1"/>
    <n v="21.5"/>
    <n v="12.5"/>
    <n v="16.100000000000001"/>
    <n v="0"/>
    <n v="673.8"/>
    <n v="3897.2"/>
    <n v="4571"/>
    <n v="0"/>
    <n v="673.8"/>
    <n v="4571"/>
    <x v="1"/>
  </r>
  <r>
    <x v="266"/>
    <x v="1"/>
    <n v="19.399999999999999"/>
    <n v="65.5"/>
    <n v="19.7"/>
    <n v="0"/>
    <n v="1221.3"/>
    <n v="3220.4"/>
    <n v="4441.7"/>
    <n v="0"/>
    <n v="1221.3"/>
    <n v="4441.7"/>
    <x v="2"/>
  </r>
  <r>
    <x v="267"/>
    <x v="1"/>
    <n v="20.3"/>
    <n v="70.400000000000006"/>
    <n v="13.4"/>
    <n v="0"/>
    <n v="381.3"/>
    <n v="3770.3"/>
    <n v="4151.6000000000004"/>
    <n v="0"/>
    <n v="381.3"/>
    <n v="4151.6000000000004"/>
    <x v="3"/>
  </r>
  <r>
    <x v="268"/>
    <x v="1"/>
    <n v="22.3"/>
    <n v="54.8"/>
    <n v="5.4"/>
    <n v="0"/>
    <n v="24.7"/>
    <n v="4000"/>
    <n v="4402.7"/>
    <n v="1"/>
    <n v="24.7"/>
    <n v="4024.7"/>
    <x v="4"/>
  </r>
  <r>
    <x v="269"/>
    <x v="1"/>
    <n v="24.1"/>
    <n v="39.299999999999997"/>
    <n v="11.8"/>
    <n v="0"/>
    <n v="261.7"/>
    <n v="4000"/>
    <n v="4477.1000000000004"/>
    <n v="1"/>
    <n v="261.7"/>
    <n v="4261.7"/>
    <x v="5"/>
  </r>
  <r>
    <x v="270"/>
    <x v="1"/>
    <n v="24.5"/>
    <n v="59.3"/>
    <n v="11.7"/>
    <n v="215"/>
    <n v="255.5"/>
    <n v="3619.8"/>
    <n v="4090.3"/>
    <n v="0"/>
    <n v="470.5"/>
    <n v="4090.3"/>
    <x v="6"/>
  </r>
  <r>
    <x v="271"/>
    <x v="1"/>
    <n v="24.7"/>
    <n v="59.1"/>
    <n v="6.9"/>
    <n v="420"/>
    <n v="52.6"/>
    <n v="4000"/>
    <n v="4488.7"/>
    <n v="1"/>
    <n v="472.6"/>
    <n v="4472.6000000000004"/>
    <x v="7"/>
  </r>
  <r>
    <x v="272"/>
    <x v="1"/>
    <n v="25.8"/>
    <n v="50.6"/>
    <n v="10.199999999999999"/>
    <n v="651.1"/>
    <n v="167.4"/>
    <n v="3498"/>
    <n v="4316.5"/>
    <n v="0"/>
    <n v="818.5"/>
    <n v="4316.5"/>
    <x v="8"/>
  </r>
  <r>
    <x v="273"/>
    <x v="1"/>
    <n v="27.7"/>
    <n v="34.1"/>
    <n v="4"/>
    <n v="932.9"/>
    <n v="10"/>
    <n v="3357.4"/>
    <n v="4300.3"/>
    <n v="0"/>
    <n v="942.9"/>
    <n v="4300.3"/>
    <x v="9"/>
  </r>
  <r>
    <x v="274"/>
    <x v="1"/>
    <n v="28.8"/>
    <n v="12.7"/>
    <n v="15.4"/>
    <n v="1248.5"/>
    <n v="589.9"/>
    <n v="4000"/>
    <n v="6502.4"/>
    <n v="1"/>
    <n v="1838.4"/>
    <n v="5838.4"/>
    <x v="10"/>
  </r>
  <r>
    <x v="275"/>
    <x v="1"/>
    <n v="28.1"/>
    <n v="52.4"/>
    <n v="10.8"/>
    <n v="1003"/>
    <n v="203.1"/>
    <n v="4000"/>
    <n v="6164.6"/>
    <n v="1"/>
    <n v="1206.0999999999999"/>
    <n v="5206.1000000000004"/>
    <x v="11"/>
  </r>
  <r>
    <x v="276"/>
    <x v="1"/>
    <n v="27.3"/>
    <n v="22.1"/>
    <n v="7.8"/>
    <n v="1301.0999999999999"/>
    <n v="77.099999999999994"/>
    <n v="4000"/>
    <n v="6122.4"/>
    <n v="1"/>
    <n v="1378.1999999999998"/>
    <n v="5378.2"/>
    <x v="12"/>
  </r>
  <r>
    <x v="277"/>
    <x v="1"/>
    <n v="27.1"/>
    <n v="62.1"/>
    <n v="19.399999999999999"/>
    <n v="917.9"/>
    <n v="1174.8"/>
    <n v="4000"/>
    <n v="6229.9"/>
    <n v="1"/>
    <n v="2092.6999999999998"/>
    <n v="6092.7"/>
    <x v="13"/>
  </r>
  <r>
    <x v="278"/>
    <x v="1"/>
    <n v="27.7"/>
    <n v="57.5"/>
    <n v="14.4"/>
    <n v="885.3"/>
    <n v="473.8"/>
    <n v="4000"/>
    <n v="6153"/>
    <n v="1"/>
    <n v="1359.1"/>
    <n v="5359.1"/>
    <x v="14"/>
  </r>
  <r>
    <x v="279"/>
    <x v="1"/>
    <n v="27.6"/>
    <n v="57.1"/>
    <n v="5.8"/>
    <n v="771.3"/>
    <n v="31.4"/>
    <n v="3528.7"/>
    <n v="4331.3999999999996"/>
    <n v="0"/>
    <n v="802.69999999999993"/>
    <n v="4331.3999999999996"/>
    <x v="15"/>
  </r>
  <r>
    <x v="280"/>
    <x v="1"/>
    <n v="26.9"/>
    <n v="25.9"/>
    <n v="12.2"/>
    <n v="789.8"/>
    <n v="289.8"/>
    <n v="3370.8"/>
    <n v="4450.3999999999996"/>
    <n v="0"/>
    <n v="1079.5999999999999"/>
    <n v="4450.3999999999996"/>
    <x v="16"/>
  </r>
  <r>
    <x v="281"/>
    <x v="1"/>
    <n v="24.8"/>
    <n v="71.8"/>
    <n v="23.8"/>
    <n v="370.4"/>
    <n v="2162.3000000000002"/>
    <n v="1889.8"/>
    <n v="4422.5"/>
    <n v="0"/>
    <n v="2532.7000000000003"/>
    <n v="4422.5"/>
    <x v="17"/>
  </r>
  <r>
    <x v="282"/>
    <x v="1"/>
    <n v="22.6"/>
    <n v="52.6"/>
    <n v="15.6"/>
    <n v="228.4"/>
    <n v="608.29999999999995"/>
    <n v="4000"/>
    <n v="6602.1"/>
    <n v="1"/>
    <n v="836.69999999999993"/>
    <n v="4836.7"/>
    <x v="18"/>
  </r>
  <r>
    <x v="283"/>
    <x v="1"/>
    <n v="24.4"/>
    <n v="11.5"/>
    <n v="15.5"/>
    <n v="0"/>
    <n v="591.70000000000005"/>
    <n v="4000"/>
    <n v="6685.4"/>
    <n v="1"/>
    <n v="591.70000000000005"/>
    <n v="4591.7"/>
    <x v="19"/>
  </r>
  <r>
    <x v="284"/>
    <x v="1"/>
    <n v="23.7"/>
    <n v="94.8"/>
    <n v="8.1999999999999993"/>
    <n v="0"/>
    <n v="87.1"/>
    <n v="4000"/>
    <n v="6629.1"/>
    <n v="1"/>
    <n v="87.1"/>
    <n v="4087.1"/>
    <x v="20"/>
  </r>
  <r>
    <x v="285"/>
    <x v="1"/>
    <n v="22"/>
    <n v="35.299999999999997"/>
    <n v="11.8"/>
    <n v="0"/>
    <n v="261.10000000000002"/>
    <n v="4000"/>
    <n v="6637.6"/>
    <n v="1"/>
    <n v="261.10000000000002"/>
    <n v="4261.1000000000004"/>
    <x v="21"/>
  </r>
  <r>
    <x v="286"/>
    <x v="1"/>
    <n v="18.600000000000001"/>
    <n v="44.7"/>
    <n v="8.6"/>
    <n v="0"/>
    <n v="100.1"/>
    <n v="4000"/>
    <n v="4323.8"/>
    <n v="1"/>
    <n v="100.1"/>
    <n v="4100.1000000000004"/>
    <x v="22"/>
  </r>
  <r>
    <x v="287"/>
    <x v="1"/>
    <n v="21.6"/>
    <n v="13.6"/>
    <n v="16.100000000000001"/>
    <n v="0"/>
    <n v="663.5"/>
    <n v="3582.5"/>
    <n v="4246"/>
    <n v="0"/>
    <n v="663.5"/>
    <n v="4246"/>
    <x v="23"/>
  </r>
  <r>
    <x v="288"/>
    <x v="1"/>
    <n v="19.7"/>
    <n v="64.8"/>
    <n v="13.7"/>
    <n v="0"/>
    <n v="411.4"/>
    <n v="3866.8"/>
    <n v="4278.2"/>
    <n v="0"/>
    <n v="411.4"/>
    <n v="4278.2"/>
    <x v="0"/>
  </r>
  <r>
    <x v="289"/>
    <x v="1"/>
    <n v="21.1"/>
    <n v="36.700000000000003"/>
    <n v="8.9"/>
    <n v="0"/>
    <n v="114.3"/>
    <n v="4000"/>
    <n v="4405.6000000000004"/>
    <n v="1"/>
    <n v="114.3"/>
    <n v="4114.3"/>
    <x v="1"/>
  </r>
  <r>
    <x v="290"/>
    <x v="1"/>
    <n v="19.7"/>
    <n v="100"/>
    <n v="18.2"/>
    <n v="0"/>
    <n v="968.3"/>
    <n v="3188.9"/>
    <n v="4157.2"/>
    <n v="0"/>
    <n v="968.3"/>
    <n v="4157.2"/>
    <x v="2"/>
  </r>
  <r>
    <x v="291"/>
    <x v="1"/>
    <n v="19.8"/>
    <n v="57"/>
    <n v="14.7"/>
    <n v="0"/>
    <n v="512"/>
    <n v="3605.3"/>
    <n v="4117.3"/>
    <n v="0"/>
    <n v="512"/>
    <n v="4117.3"/>
    <x v="3"/>
  </r>
  <r>
    <x v="292"/>
    <x v="1"/>
    <n v="21.7"/>
    <n v="41.9"/>
    <n v="13.6"/>
    <n v="0"/>
    <n v="406"/>
    <n v="3996.3"/>
    <n v="4402.3"/>
    <n v="0"/>
    <n v="406"/>
    <n v="4402.3"/>
    <x v="4"/>
  </r>
  <r>
    <x v="293"/>
    <x v="1"/>
    <n v="20.7"/>
    <n v="39.299999999999997"/>
    <n v="7.7"/>
    <n v="0"/>
    <n v="74.3"/>
    <n v="4000"/>
    <n v="4332.8999999999996"/>
    <n v="1"/>
    <n v="74.3"/>
    <n v="4074.3"/>
    <x v="5"/>
  </r>
  <r>
    <x v="294"/>
    <x v="1"/>
    <n v="27"/>
    <n v="54.2"/>
    <n v="10.4"/>
    <n v="225.3"/>
    <n v="181.7"/>
    <n v="3939.3"/>
    <n v="4346.3"/>
    <n v="0"/>
    <n v="407"/>
    <n v="4346.3"/>
    <x v="6"/>
  </r>
  <r>
    <x v="295"/>
    <x v="1"/>
    <n v="25.5"/>
    <n v="55.5"/>
    <n v="15"/>
    <n v="434.1"/>
    <n v="543.70000000000005"/>
    <n v="3480.5"/>
    <n v="4458.3"/>
    <n v="0"/>
    <n v="977.80000000000007"/>
    <n v="4458.3"/>
    <x v="7"/>
  </r>
  <r>
    <x v="296"/>
    <x v="1"/>
    <n v="24.9"/>
    <n v="56.8"/>
    <n v="7.4"/>
    <n v="616.29999999999995"/>
    <n v="64"/>
    <n v="3948.2"/>
    <n v="4628.5"/>
    <n v="0"/>
    <n v="680.3"/>
    <n v="4628.5"/>
    <x v="8"/>
  </r>
  <r>
    <x v="297"/>
    <x v="1"/>
    <n v="25.9"/>
    <n v="34.6"/>
    <n v="10.5"/>
    <n v="929.5"/>
    <n v="186.5"/>
    <n v="3287.3"/>
    <n v="4403.3"/>
    <n v="0"/>
    <n v="1116"/>
    <n v="4403.3"/>
    <x v="9"/>
  </r>
  <r>
    <x v="298"/>
    <x v="1"/>
    <n v="28.4"/>
    <n v="13.9"/>
    <n v="12.3"/>
    <n v="1239.0999999999999"/>
    <n v="295.89999999999998"/>
    <n v="4000"/>
    <n v="6386.4"/>
    <n v="1"/>
    <n v="1535"/>
    <n v="5535"/>
    <x v="10"/>
  </r>
  <r>
    <x v="299"/>
    <x v="1"/>
    <n v="26.6"/>
    <n v="39.6"/>
    <n v="10.5"/>
    <n v="1115.2"/>
    <n v="183"/>
    <n v="4000"/>
    <n v="6133.6"/>
    <n v="1"/>
    <n v="1298.2"/>
    <n v="5298.2"/>
    <x v="11"/>
  </r>
  <r>
    <x v="300"/>
    <x v="1"/>
    <n v="28.4"/>
    <n v="10.6"/>
    <n v="9.1999999999999993"/>
    <n v="1405"/>
    <n v="123.6"/>
    <n v="4000"/>
    <n v="6604"/>
    <n v="1"/>
    <n v="1528.6"/>
    <n v="5528.6"/>
    <x v="12"/>
  </r>
  <r>
    <x v="301"/>
    <x v="1"/>
    <n v="30"/>
    <n v="5.4"/>
    <n v="2.6"/>
    <n v="1415.4"/>
    <n v="2.8"/>
    <n v="4000"/>
    <n v="6393.2"/>
    <n v="1"/>
    <n v="1418.2"/>
    <n v="5418.2"/>
    <x v="13"/>
  </r>
  <r>
    <x v="302"/>
    <x v="1"/>
    <n v="27.9"/>
    <n v="23.3"/>
    <n v="14.7"/>
    <n v="1162.5999999999999"/>
    <n v="505.5"/>
    <n v="4000"/>
    <n v="6520.6"/>
    <n v="1"/>
    <n v="1668.1"/>
    <n v="5668.1"/>
    <x v="14"/>
  </r>
  <r>
    <x v="303"/>
    <x v="1"/>
    <n v="26.8"/>
    <n v="53.2"/>
    <n v="16.600000000000001"/>
    <n v="798.4"/>
    <n v="734.7"/>
    <n v="2391.5"/>
    <n v="3924.6"/>
    <n v="0"/>
    <n v="1533.1"/>
    <n v="3924.6"/>
    <x v="15"/>
  </r>
  <r>
    <x v="304"/>
    <x v="1"/>
    <n v="26.1"/>
    <n v="21.9"/>
    <n v="13.3"/>
    <n v="812.5"/>
    <n v="374.5"/>
    <n v="2980.9"/>
    <n v="4167.8999999999996"/>
    <n v="0"/>
    <n v="1187"/>
    <n v="4167.8999999999996"/>
    <x v="16"/>
  </r>
  <r>
    <x v="305"/>
    <x v="1"/>
    <n v="24.6"/>
    <n v="20.100000000000001"/>
    <n v="15.3"/>
    <n v="572.29999999999995"/>
    <n v="568.1"/>
    <n v="3045.3"/>
    <n v="4185.7"/>
    <n v="0"/>
    <n v="1140.4000000000001"/>
    <n v="4185.7000000000007"/>
    <x v="17"/>
  </r>
  <r>
    <x v="306"/>
    <x v="1"/>
    <n v="23.8"/>
    <n v="46"/>
    <n v="4.8"/>
    <n v="241.7"/>
    <n v="17.2"/>
    <n v="4000"/>
    <n v="6848.8"/>
    <n v="1"/>
    <n v="258.89999999999998"/>
    <n v="4258.8999999999996"/>
    <x v="18"/>
  </r>
  <r>
    <x v="307"/>
    <x v="1"/>
    <n v="22.9"/>
    <n v="100"/>
    <n v="6.4"/>
    <n v="0"/>
    <n v="42.7"/>
    <n v="4000"/>
    <n v="6675"/>
    <n v="1"/>
    <n v="42.7"/>
    <n v="4042.7"/>
    <x v="19"/>
  </r>
  <r>
    <x v="308"/>
    <x v="1"/>
    <n v="23"/>
    <n v="52"/>
    <n v="20.8"/>
    <n v="0"/>
    <n v="1438.4"/>
    <n v="4000"/>
    <n v="6939.6"/>
    <n v="1"/>
    <n v="1438.4"/>
    <n v="5438.4"/>
    <x v="20"/>
  </r>
  <r>
    <x v="309"/>
    <x v="1"/>
    <n v="21.6"/>
    <n v="43.7"/>
    <n v="18.100000000000001"/>
    <n v="0"/>
    <n v="951.6"/>
    <n v="4000"/>
    <n v="6775.8"/>
    <n v="1"/>
    <n v="951.6"/>
    <n v="4951.6000000000004"/>
    <x v="21"/>
  </r>
  <r>
    <x v="310"/>
    <x v="1"/>
    <n v="19.899999999999999"/>
    <n v="12"/>
    <n v="11"/>
    <n v="0"/>
    <n v="212.1"/>
    <n v="4000"/>
    <n v="4484.5"/>
    <n v="1"/>
    <n v="212.1"/>
    <n v="4212.1000000000004"/>
    <x v="22"/>
  </r>
  <r>
    <x v="311"/>
    <x v="1"/>
    <n v="20.100000000000001"/>
    <n v="75.900000000000006"/>
    <n v="9.6999999999999993"/>
    <n v="0"/>
    <n v="146.6"/>
    <n v="4000"/>
    <n v="4200"/>
    <n v="1"/>
    <n v="146.6"/>
    <n v="4146.6000000000004"/>
    <x v="23"/>
  </r>
  <r>
    <x v="312"/>
    <x v="1"/>
    <n v="20.100000000000001"/>
    <n v="66.2"/>
    <n v="0.8"/>
    <n v="0"/>
    <n v="0.1"/>
    <n v="4000"/>
    <n v="4943.6000000000004"/>
    <n v="1"/>
    <n v="0.1"/>
    <n v="4000.1"/>
    <x v="0"/>
  </r>
  <r>
    <x v="313"/>
    <x v="1"/>
    <n v="20.3"/>
    <n v="75"/>
    <n v="9.5"/>
    <n v="0"/>
    <n v="138.9"/>
    <n v="4000"/>
    <n v="4859"/>
    <n v="1"/>
    <n v="138.9"/>
    <n v="4138.8999999999996"/>
    <x v="1"/>
  </r>
  <r>
    <x v="314"/>
    <x v="1"/>
    <n v="21.2"/>
    <n v="29.1"/>
    <n v="6.1"/>
    <n v="0"/>
    <n v="35.5"/>
    <n v="4000"/>
    <n v="4668.5"/>
    <n v="1"/>
    <n v="35.5"/>
    <n v="4035.5"/>
    <x v="2"/>
  </r>
  <r>
    <x v="315"/>
    <x v="1"/>
    <n v="21"/>
    <n v="29.9"/>
    <n v="1"/>
    <n v="0"/>
    <n v="0.1"/>
    <n v="4000"/>
    <n v="4856.3"/>
    <n v="1"/>
    <n v="0.1"/>
    <n v="4000.1"/>
    <x v="3"/>
  </r>
  <r>
    <x v="316"/>
    <x v="1"/>
    <n v="23.3"/>
    <n v="61.3"/>
    <n v="6.3"/>
    <n v="0"/>
    <n v="40.200000000000003"/>
    <n v="4000"/>
    <n v="5084.6000000000004"/>
    <n v="1"/>
    <n v="40.200000000000003"/>
    <n v="4040.2"/>
    <x v="4"/>
  </r>
  <r>
    <x v="317"/>
    <x v="1"/>
    <n v="23"/>
    <n v="60"/>
    <n v="15.3"/>
    <n v="0"/>
    <n v="577.79999999999995"/>
    <n v="4000"/>
    <n v="4919.8"/>
    <n v="1"/>
    <n v="577.79999999999995"/>
    <n v="4577.8"/>
    <x v="5"/>
  </r>
  <r>
    <x v="318"/>
    <x v="1"/>
    <n v="24.1"/>
    <n v="56.4"/>
    <n v="19.3"/>
    <n v="220.8"/>
    <n v="1146.5"/>
    <n v="3472.6"/>
    <n v="4839.8999999999996"/>
    <n v="0"/>
    <n v="1367.3"/>
    <n v="4839.8999999999996"/>
    <x v="6"/>
  </r>
  <r>
    <x v="319"/>
    <x v="1"/>
    <n v="25.8"/>
    <n v="47.1"/>
    <n v="19.100000000000001"/>
    <n v="466.9"/>
    <n v="1106.5"/>
    <n v="3482.3"/>
    <n v="5055.7"/>
    <n v="0"/>
    <n v="1573.4"/>
    <n v="5055.7000000000007"/>
    <x v="7"/>
  </r>
  <r>
    <x v="320"/>
    <x v="1"/>
    <n v="25.1"/>
    <n v="80.099999999999994"/>
    <n v="15.5"/>
    <n v="485.8"/>
    <n v="594.6"/>
    <n v="3931.1"/>
    <n v="5011.5"/>
    <n v="0"/>
    <n v="1080.4000000000001"/>
    <n v="5011.5"/>
    <x v="8"/>
  </r>
  <r>
    <x v="321"/>
    <x v="1"/>
    <n v="26.3"/>
    <n v="52.4"/>
    <n v="14.3"/>
    <n v="803.9"/>
    <n v="469.4"/>
    <n v="3610.2"/>
    <n v="4883.5"/>
    <n v="0"/>
    <n v="1273.3"/>
    <n v="4883.5"/>
    <x v="9"/>
  </r>
  <r>
    <x v="322"/>
    <x v="1"/>
    <n v="27.8"/>
    <n v="87.5"/>
    <n v="17.399999999999999"/>
    <n v="641.9"/>
    <n v="836.8"/>
    <n v="4000"/>
    <n v="7179.6"/>
    <n v="1"/>
    <n v="1478.6999999999998"/>
    <n v="5478.7"/>
    <x v="10"/>
  </r>
  <r>
    <x v="323"/>
    <x v="1"/>
    <n v="28.8"/>
    <n v="19.2"/>
    <n v="14"/>
    <n v="1294"/>
    <n v="438.1"/>
    <n v="4000"/>
    <n v="7178.6"/>
    <n v="1"/>
    <n v="1732.1"/>
    <n v="5732.1"/>
    <x v="11"/>
  </r>
  <r>
    <x v="324"/>
    <x v="1"/>
    <n v="27.8"/>
    <n v="23.8"/>
    <n v="8.6999999999999993"/>
    <n v="1285.7"/>
    <n v="106.8"/>
    <n v="4000"/>
    <n v="7421.4"/>
    <n v="1"/>
    <n v="1392.5"/>
    <n v="5392.5"/>
    <x v="12"/>
  </r>
  <r>
    <x v="325"/>
    <x v="1"/>
    <n v="27.1"/>
    <n v="35.700000000000003"/>
    <n v="5"/>
    <n v="1148.8"/>
    <n v="19.7"/>
    <n v="4000"/>
    <n v="6986.6"/>
    <n v="1"/>
    <n v="1168.5"/>
    <n v="5168.5"/>
    <x v="13"/>
  </r>
  <r>
    <x v="326"/>
    <x v="1"/>
    <n v="28.4"/>
    <n v="22.3"/>
    <n v="19.600000000000001"/>
    <n v="1170.5999999999999"/>
    <n v="1204.0999999999999"/>
    <n v="4000"/>
    <n v="7152.3"/>
    <n v="1"/>
    <n v="2374.6999999999998"/>
    <n v="6374.7"/>
    <x v="14"/>
  </r>
  <r>
    <x v="327"/>
    <x v="1"/>
    <n v="27.9"/>
    <n v="28.6"/>
    <n v="16.3"/>
    <n v="971.8"/>
    <n v="689.4"/>
    <n v="3365.4"/>
    <n v="5026.6000000000004"/>
    <n v="0"/>
    <n v="1661.1999999999998"/>
    <n v="5026.6000000000004"/>
    <x v="15"/>
  </r>
  <r>
    <x v="328"/>
    <x v="1"/>
    <n v="26.9"/>
    <n v="49.3"/>
    <n v="14.8"/>
    <n v="658.6"/>
    <n v="515.1"/>
    <n v="3612.5"/>
    <n v="4786.2"/>
    <n v="0"/>
    <n v="1173.7"/>
    <n v="4786.2"/>
    <x v="16"/>
  </r>
  <r>
    <x v="329"/>
    <x v="1"/>
    <n v="24.1"/>
    <n v="59.9"/>
    <n v="7.3"/>
    <n v="416.8"/>
    <n v="61.2"/>
    <n v="4000"/>
    <n v="4773.7"/>
    <n v="1"/>
    <n v="478"/>
    <n v="4478"/>
    <x v="17"/>
  </r>
  <r>
    <x v="330"/>
    <x v="1"/>
    <n v="22.6"/>
    <n v="66.2"/>
    <n v="5.8"/>
    <n v="201.2"/>
    <n v="31.8"/>
    <n v="4000"/>
    <n v="7769.5"/>
    <n v="1"/>
    <n v="233"/>
    <n v="4233"/>
    <x v="18"/>
  </r>
  <r>
    <x v="331"/>
    <x v="1"/>
    <n v="23.6"/>
    <n v="27.6"/>
    <n v="14.9"/>
    <n v="0"/>
    <n v="530.4"/>
    <n v="4000"/>
    <n v="7782.8"/>
    <n v="1"/>
    <n v="530.4"/>
    <n v="4530.3999999999996"/>
    <x v="19"/>
  </r>
  <r>
    <x v="332"/>
    <x v="1"/>
    <n v="21.5"/>
    <n v="19.8"/>
    <n v="2.2000000000000002"/>
    <n v="0"/>
    <n v="1.7"/>
    <n v="4000"/>
    <n v="7739.1"/>
    <n v="1"/>
    <n v="1.7"/>
    <n v="4001.7"/>
    <x v="20"/>
  </r>
  <r>
    <x v="333"/>
    <x v="1"/>
    <n v="19.600000000000001"/>
    <n v="47.4"/>
    <n v="10.7"/>
    <n v="0"/>
    <n v="195.1"/>
    <n v="4000"/>
    <n v="7752.4"/>
    <n v="1"/>
    <n v="195.1"/>
    <n v="4195.1000000000004"/>
    <x v="21"/>
  </r>
  <r>
    <x v="334"/>
    <x v="1"/>
    <n v="20.2"/>
    <n v="36.799999999999997"/>
    <n v="15.7"/>
    <n v="0"/>
    <n v="614.4"/>
    <n v="4000"/>
    <n v="5051.8999999999996"/>
    <n v="1"/>
    <n v="614.4"/>
    <n v="4614.3999999999996"/>
    <x v="22"/>
  </r>
  <r>
    <x v="335"/>
    <x v="1"/>
    <n v="20.5"/>
    <n v="56.7"/>
    <n v="4.3"/>
    <n v="0"/>
    <n v="12.9"/>
    <n v="4000"/>
    <n v="5000.3"/>
    <n v="1"/>
    <n v="12.9"/>
    <n v="4012.9"/>
    <x v="23"/>
  </r>
  <r>
    <x v="0"/>
    <x v="2"/>
    <n v="18.2"/>
    <n v="29.5"/>
    <n v="5.3"/>
    <n v="0"/>
    <n v="14"/>
    <n v="4000"/>
    <n v="5063.5"/>
    <n v="1"/>
    <n v="14"/>
    <n v="4014"/>
    <x v="0"/>
  </r>
  <r>
    <x v="1"/>
    <x v="2"/>
    <n v="16.899999999999999"/>
    <n v="70"/>
    <n v="10.3"/>
    <n v="0"/>
    <n v="104.7"/>
    <n v="4000"/>
    <n v="4944.1000000000004"/>
    <n v="1"/>
    <n v="104.7"/>
    <n v="4104.7"/>
    <x v="1"/>
  </r>
  <r>
    <x v="2"/>
    <x v="2"/>
    <n v="15"/>
    <n v="78.7"/>
    <n v="10"/>
    <n v="0"/>
    <n v="95.6"/>
    <n v="4000"/>
    <n v="5112.3"/>
    <n v="1"/>
    <n v="95.6"/>
    <n v="4095.6"/>
    <x v="2"/>
  </r>
  <r>
    <x v="3"/>
    <x v="2"/>
    <n v="20.6"/>
    <n v="100"/>
    <n v="9.1"/>
    <n v="0"/>
    <n v="71.7"/>
    <n v="4000"/>
    <n v="5008"/>
    <n v="1"/>
    <n v="71.7"/>
    <n v="4071.7"/>
    <x v="3"/>
  </r>
  <r>
    <x v="4"/>
    <x v="2"/>
    <n v="21.6"/>
    <n v="64.3"/>
    <n v="6.1"/>
    <n v="0"/>
    <n v="21.5"/>
    <n v="4000"/>
    <n v="4987.3999999999996"/>
    <n v="1"/>
    <n v="21.5"/>
    <n v="4021.5"/>
    <x v="4"/>
  </r>
  <r>
    <x v="5"/>
    <x v="2"/>
    <n v="23.8"/>
    <n v="35.4"/>
    <n v="10.6"/>
    <n v="0"/>
    <n v="114.2"/>
    <n v="4000"/>
    <n v="4897.3"/>
    <n v="1"/>
    <n v="114.2"/>
    <n v="4114.2"/>
    <x v="5"/>
  </r>
  <r>
    <x v="6"/>
    <x v="2"/>
    <n v="19.2"/>
    <n v="71"/>
    <n v="0"/>
    <n v="192.2"/>
    <n v="0"/>
    <n v="4000"/>
    <n v="5025"/>
    <n v="1"/>
    <n v="192.2"/>
    <n v="4192.2"/>
    <x v="6"/>
  </r>
  <r>
    <x v="7"/>
    <x v="2"/>
    <n v="25.1"/>
    <n v="42.2"/>
    <n v="6.4"/>
    <n v="574.6"/>
    <n v="24.8"/>
    <n v="4000"/>
    <n v="5043.8"/>
    <n v="1"/>
    <n v="599.4"/>
    <n v="4599.3999999999996"/>
    <x v="7"/>
  </r>
  <r>
    <x v="8"/>
    <x v="2"/>
    <n v="23.5"/>
    <n v="28.2"/>
    <n v="10.4"/>
    <n v="965.3"/>
    <n v="109.4"/>
    <n v="4000"/>
    <n v="5243.1"/>
    <n v="1"/>
    <n v="1074.7"/>
    <n v="5074.7"/>
    <x v="8"/>
  </r>
  <r>
    <x v="9"/>
    <x v="2"/>
    <n v="25.5"/>
    <n v="90.3"/>
    <n v="10"/>
    <n v="433.5"/>
    <n v="96.7"/>
    <n v="4000"/>
    <n v="5244.4"/>
    <n v="1"/>
    <n v="530.20000000000005"/>
    <n v="4530.2"/>
    <x v="9"/>
  </r>
  <r>
    <x v="10"/>
    <x v="2"/>
    <n v="25.4"/>
    <n v="96.9"/>
    <n v="11.1"/>
    <n v="404.7"/>
    <n v="129.69999999999999"/>
    <n v="4000"/>
    <n v="7038.6"/>
    <n v="1"/>
    <n v="534.4"/>
    <n v="4534.3999999999996"/>
    <x v="10"/>
  </r>
  <r>
    <x v="11"/>
    <x v="2"/>
    <n v="25.1"/>
    <n v="100"/>
    <n v="4.4000000000000004"/>
    <n v="390"/>
    <n v="8.1999999999999993"/>
    <n v="4000"/>
    <n v="7234.4"/>
    <n v="1"/>
    <n v="398.2"/>
    <n v="4398.2"/>
    <x v="11"/>
  </r>
  <r>
    <x v="12"/>
    <x v="2"/>
    <n v="27.7"/>
    <n v="100"/>
    <n v="8.6"/>
    <n v="400"/>
    <n v="60.3"/>
    <n v="4000"/>
    <n v="7099.7"/>
    <n v="1"/>
    <n v="460.3"/>
    <n v="4460.3"/>
    <x v="12"/>
  </r>
  <r>
    <x v="13"/>
    <x v="2"/>
    <n v="27.8"/>
    <n v="61.3"/>
    <n v="7.7"/>
    <n v="993.6"/>
    <n v="43.4"/>
    <n v="4000"/>
    <n v="7212.2"/>
    <n v="1"/>
    <n v="1037"/>
    <n v="5037"/>
    <x v="13"/>
  </r>
  <r>
    <x v="14"/>
    <x v="2"/>
    <n v="25.7"/>
    <n v="67.2"/>
    <n v="2.5"/>
    <n v="832.6"/>
    <n v="1.6"/>
    <n v="4000"/>
    <n v="6770.6"/>
    <n v="1"/>
    <n v="834.2"/>
    <n v="4834.2"/>
    <x v="14"/>
  </r>
  <r>
    <x v="15"/>
    <x v="2"/>
    <n v="25.1"/>
    <n v="100"/>
    <n v="10.7"/>
    <n v="312.7"/>
    <n v="118.2"/>
    <n v="4000"/>
    <n v="5007.8999999999996"/>
    <n v="1"/>
    <n v="430.9"/>
    <n v="4430.8999999999996"/>
    <x v="15"/>
  </r>
  <r>
    <x v="16"/>
    <x v="2"/>
    <n v="24.2"/>
    <n v="57.8"/>
    <n v="4.5999999999999996"/>
    <n v="670.6"/>
    <n v="9.6"/>
    <n v="4000"/>
    <n v="4880.1000000000004"/>
    <n v="1"/>
    <n v="680.2"/>
    <n v="4680.2"/>
    <x v="16"/>
  </r>
  <r>
    <x v="17"/>
    <x v="2"/>
    <n v="21.8"/>
    <n v="26.1"/>
    <n v="7.9"/>
    <n v="686.7"/>
    <n v="46.8"/>
    <n v="4000"/>
    <n v="4979.3"/>
    <n v="1"/>
    <n v="733.5"/>
    <n v="4733.5"/>
    <x v="17"/>
  </r>
  <r>
    <x v="18"/>
    <x v="2"/>
    <n v="20.399999999999999"/>
    <n v="86.9"/>
    <n v="4.0999999999999996"/>
    <n v="135.80000000000001"/>
    <n v="6.6"/>
    <n v="4000"/>
    <n v="7794.4"/>
    <n v="1"/>
    <n v="142.4"/>
    <n v="4142.3999999999996"/>
    <x v="18"/>
  </r>
  <r>
    <x v="19"/>
    <x v="2"/>
    <n v="22.3"/>
    <n v="59"/>
    <n v="7.4"/>
    <n v="0"/>
    <n v="38.299999999999997"/>
    <n v="4000"/>
    <n v="7738"/>
    <n v="1"/>
    <n v="38.299999999999997"/>
    <n v="4038.3"/>
    <x v="19"/>
  </r>
  <r>
    <x v="20"/>
    <x v="2"/>
    <n v="19.100000000000001"/>
    <n v="53.8"/>
    <n v="3.8"/>
    <n v="0"/>
    <n v="5.0999999999999996"/>
    <n v="4000"/>
    <n v="7622.5"/>
    <n v="1"/>
    <n v="5.0999999999999996"/>
    <n v="4005.1"/>
    <x v="20"/>
  </r>
  <r>
    <x v="21"/>
    <x v="2"/>
    <n v="15.4"/>
    <n v="45.3"/>
    <n v="5.0999999999999996"/>
    <n v="0"/>
    <n v="13.1"/>
    <n v="4000"/>
    <n v="7673.5"/>
    <n v="1"/>
    <n v="13.1"/>
    <n v="4013.1"/>
    <x v="21"/>
  </r>
  <r>
    <x v="22"/>
    <x v="2"/>
    <n v="17.2"/>
    <n v="58.1"/>
    <n v="7.4"/>
    <n v="0"/>
    <n v="39.5"/>
    <n v="4000"/>
    <n v="4911.6000000000004"/>
    <n v="1"/>
    <n v="39.5"/>
    <n v="4039.5"/>
    <x v="22"/>
  </r>
  <r>
    <x v="23"/>
    <x v="2"/>
    <n v="15.9"/>
    <n v="23.9"/>
    <n v="2.9"/>
    <n v="0"/>
    <n v="2.2999999999999998"/>
    <n v="4000"/>
    <n v="5081.2"/>
    <n v="1"/>
    <n v="2.2999999999999998"/>
    <n v="4002.3"/>
    <x v="23"/>
  </r>
  <r>
    <x v="24"/>
    <x v="2"/>
    <n v="16.3"/>
    <n v="36.9"/>
    <n v="2.1"/>
    <n v="0"/>
    <n v="0.9"/>
    <n v="4000"/>
    <n v="4876.8999999999996"/>
    <n v="1"/>
    <n v="0.9"/>
    <n v="4000.9"/>
    <x v="0"/>
  </r>
  <r>
    <x v="25"/>
    <x v="2"/>
    <n v="17.5"/>
    <n v="77.900000000000006"/>
    <n v="4.3"/>
    <n v="0"/>
    <n v="7.8"/>
    <n v="4000"/>
    <n v="4881.6000000000004"/>
    <n v="1"/>
    <n v="7.8"/>
    <n v="4007.8"/>
    <x v="1"/>
  </r>
  <r>
    <x v="26"/>
    <x v="2"/>
    <n v="15.8"/>
    <n v="59.1"/>
    <n v="3.5"/>
    <n v="0"/>
    <n v="4"/>
    <n v="4000"/>
    <n v="4888.1000000000004"/>
    <n v="1"/>
    <n v="4"/>
    <n v="4004"/>
    <x v="2"/>
  </r>
  <r>
    <x v="27"/>
    <x v="2"/>
    <n v="14.9"/>
    <n v="49.2"/>
    <n v="6.9"/>
    <n v="0"/>
    <n v="31.6"/>
    <n v="4000"/>
    <n v="5036"/>
    <n v="1"/>
    <n v="31.6"/>
    <n v="4031.6"/>
    <x v="3"/>
  </r>
  <r>
    <x v="28"/>
    <x v="2"/>
    <n v="24.9"/>
    <n v="70.5"/>
    <n v="3"/>
    <n v="0"/>
    <n v="2.6"/>
    <n v="4000"/>
    <n v="4977.6000000000004"/>
    <n v="1"/>
    <n v="2.6"/>
    <n v="4002.6"/>
    <x v="4"/>
  </r>
  <r>
    <x v="29"/>
    <x v="2"/>
    <n v="17.2"/>
    <n v="57.6"/>
    <n v="3.5"/>
    <n v="0"/>
    <n v="4.0999999999999996"/>
    <n v="4000"/>
    <n v="4935.7"/>
    <n v="1"/>
    <n v="4.0999999999999996"/>
    <n v="4004.1"/>
    <x v="5"/>
  </r>
  <r>
    <x v="30"/>
    <x v="2"/>
    <n v="20.9"/>
    <n v="56.5"/>
    <n v="4.0999999999999996"/>
    <n v="243.9"/>
    <n v="6.6"/>
    <n v="4000"/>
    <n v="5087.3"/>
    <n v="1"/>
    <n v="250.5"/>
    <n v="4250.5"/>
    <x v="6"/>
  </r>
  <r>
    <x v="31"/>
    <x v="2"/>
    <n v="22.7"/>
    <n v="100"/>
    <n v="8.4"/>
    <n v="173.6"/>
    <n v="57.8"/>
    <n v="4000"/>
    <n v="5210.8"/>
    <n v="1"/>
    <n v="231.39999999999998"/>
    <n v="4231.3999999999996"/>
    <x v="7"/>
  </r>
  <r>
    <x v="32"/>
    <x v="2"/>
    <n v="25.2"/>
    <n v="71.8"/>
    <n v="0.2"/>
    <n v="530.6"/>
    <n v="0"/>
    <n v="4000"/>
    <n v="5022.3"/>
    <n v="1"/>
    <n v="530.6"/>
    <n v="4530.6000000000004"/>
    <x v="8"/>
  </r>
  <r>
    <x v="33"/>
    <x v="2"/>
    <n v="27.2"/>
    <n v="58.5"/>
    <n v="1.8"/>
    <n v="831.5"/>
    <n v="0.5"/>
    <n v="4000"/>
    <n v="4908.2"/>
    <n v="1"/>
    <n v="832"/>
    <n v="4832"/>
    <x v="9"/>
  </r>
  <r>
    <x v="34"/>
    <x v="2"/>
    <n v="29.7"/>
    <n v="97.4"/>
    <n v="5.8"/>
    <n v="397.8"/>
    <n v="18.899999999999999"/>
    <n v="4000"/>
    <n v="7142.1"/>
    <n v="1"/>
    <n v="416.7"/>
    <n v="4416.7"/>
    <x v="10"/>
  </r>
  <r>
    <x v="35"/>
    <x v="2"/>
    <n v="26.1"/>
    <n v="8.9"/>
    <n v="3.2"/>
    <n v="1811.3"/>
    <n v="3.2"/>
    <n v="4000"/>
    <n v="7292.7"/>
    <n v="1"/>
    <n v="1814.5"/>
    <n v="5814.5"/>
    <x v="11"/>
  </r>
  <r>
    <x v="36"/>
    <x v="2"/>
    <n v="26.5"/>
    <n v="52.7"/>
    <n v="5.0999999999999996"/>
    <n v="1156.8"/>
    <n v="12.7"/>
    <n v="4000"/>
    <n v="7384.4"/>
    <n v="1"/>
    <n v="1169.5"/>
    <n v="5169.5"/>
    <x v="12"/>
  </r>
  <r>
    <x v="37"/>
    <x v="2"/>
    <n v="30.1"/>
    <n v="100"/>
    <n v="5.5"/>
    <n v="390"/>
    <n v="16.2"/>
    <n v="4000"/>
    <n v="7435.6"/>
    <n v="1"/>
    <n v="406.2"/>
    <n v="4406.2"/>
    <x v="13"/>
  </r>
  <r>
    <x v="38"/>
    <x v="2"/>
    <n v="23.3"/>
    <n v="100"/>
    <n v="2.5"/>
    <n v="360.4"/>
    <n v="1.5"/>
    <n v="4000"/>
    <n v="7194.3"/>
    <n v="1"/>
    <n v="361.9"/>
    <n v="4361.8999999999996"/>
    <x v="14"/>
  </r>
  <r>
    <x v="39"/>
    <x v="2"/>
    <n v="23.3"/>
    <n v="42.3"/>
    <n v="3.5"/>
    <n v="1034.0999999999999"/>
    <n v="4.0999999999999996"/>
    <n v="3944.3"/>
    <n v="4982.5"/>
    <n v="0"/>
    <n v="1038.1999999999998"/>
    <n v="4982.5"/>
    <x v="15"/>
  </r>
  <r>
    <x v="40"/>
    <x v="2"/>
    <n v="23.4"/>
    <n v="43.6"/>
    <n v="8.5"/>
    <n v="812.5"/>
    <n v="59"/>
    <n v="3987.3"/>
    <n v="4858.8"/>
    <n v="0"/>
    <n v="871.5"/>
    <n v="4858.8"/>
    <x v="16"/>
  </r>
  <r>
    <x v="41"/>
    <x v="2"/>
    <n v="23.7"/>
    <n v="96.5"/>
    <n v="4.5"/>
    <n v="197.6"/>
    <n v="8.5"/>
    <n v="4000"/>
    <n v="4784.3"/>
    <n v="1"/>
    <n v="206.1"/>
    <n v="4206.1000000000004"/>
    <x v="17"/>
  </r>
  <r>
    <x v="42"/>
    <x v="2"/>
    <n v="21.5"/>
    <n v="95.4"/>
    <n v="6.6"/>
    <n v="105.4"/>
    <n v="27.4"/>
    <n v="4000"/>
    <n v="7592.3"/>
    <n v="1"/>
    <n v="132.80000000000001"/>
    <n v="4132.8"/>
    <x v="18"/>
  </r>
  <r>
    <x v="43"/>
    <x v="2"/>
    <n v="21.7"/>
    <n v="26.9"/>
    <n v="8"/>
    <n v="0"/>
    <n v="50"/>
    <n v="4000"/>
    <n v="7620.3"/>
    <n v="1"/>
    <n v="50"/>
    <n v="4050"/>
    <x v="19"/>
  </r>
  <r>
    <x v="44"/>
    <x v="2"/>
    <n v="18.899999999999999"/>
    <n v="34.799999999999997"/>
    <n v="3.3"/>
    <n v="0"/>
    <n v="3.6"/>
    <n v="4000"/>
    <n v="7761.3"/>
    <n v="1"/>
    <n v="3.6"/>
    <n v="4003.6"/>
    <x v="20"/>
  </r>
  <r>
    <x v="45"/>
    <x v="2"/>
    <n v="20.9"/>
    <n v="40.9"/>
    <n v="7.4"/>
    <n v="0"/>
    <n v="38.5"/>
    <n v="4000"/>
    <n v="7780.2"/>
    <n v="1"/>
    <n v="38.5"/>
    <n v="4038.5"/>
    <x v="21"/>
  </r>
  <r>
    <x v="46"/>
    <x v="2"/>
    <n v="16.5"/>
    <n v="59.1"/>
    <n v="3.3"/>
    <n v="0"/>
    <n v="3.4"/>
    <n v="4000"/>
    <n v="4636.8999999999996"/>
    <n v="1"/>
    <n v="3.4"/>
    <n v="4003.4"/>
    <x v="22"/>
  </r>
  <r>
    <x v="47"/>
    <x v="2"/>
    <n v="15.8"/>
    <n v="68.8"/>
    <n v="5.4"/>
    <n v="0"/>
    <n v="15.4"/>
    <n v="4000"/>
    <n v="4809.5"/>
    <n v="1"/>
    <n v="15.4"/>
    <n v="4015.4"/>
    <x v="23"/>
  </r>
  <r>
    <x v="48"/>
    <x v="2"/>
    <n v="12.8"/>
    <n v="41.8"/>
    <n v="7.4"/>
    <n v="0"/>
    <n v="38.5"/>
    <n v="4000"/>
    <n v="4614.3"/>
    <n v="1"/>
    <n v="38.5"/>
    <n v="4038.5"/>
    <x v="0"/>
  </r>
  <r>
    <x v="49"/>
    <x v="2"/>
    <n v="16.2"/>
    <n v="44.2"/>
    <n v="10.199999999999999"/>
    <n v="0"/>
    <n v="100.8"/>
    <n v="4000"/>
    <n v="4537.8999999999996"/>
    <n v="1"/>
    <n v="100.8"/>
    <n v="4100.8"/>
    <x v="1"/>
  </r>
  <r>
    <x v="50"/>
    <x v="2"/>
    <n v="18.399999999999999"/>
    <n v="64.2"/>
    <n v="0"/>
    <n v="0"/>
    <n v="0"/>
    <n v="4000"/>
    <n v="4892.2"/>
    <n v="1"/>
    <n v="0"/>
    <n v="4000"/>
    <x v="2"/>
  </r>
  <r>
    <x v="51"/>
    <x v="2"/>
    <n v="18.899999999999999"/>
    <n v="75.2"/>
    <n v="17.8"/>
    <n v="0"/>
    <n v="539.5"/>
    <n v="4000"/>
    <n v="5065.2"/>
    <n v="1"/>
    <n v="539.5"/>
    <n v="4539.5"/>
    <x v="3"/>
  </r>
  <r>
    <x v="52"/>
    <x v="2"/>
    <n v="22.9"/>
    <n v="51.4"/>
    <n v="6.9"/>
    <n v="0"/>
    <n v="31"/>
    <n v="4000"/>
    <n v="4637.3999999999996"/>
    <n v="1"/>
    <n v="31"/>
    <n v="4031"/>
    <x v="4"/>
  </r>
  <r>
    <x v="53"/>
    <x v="2"/>
    <n v="19.899999999999999"/>
    <n v="42.9"/>
    <n v="7"/>
    <n v="0"/>
    <n v="32.799999999999997"/>
    <n v="4000"/>
    <n v="4943.2"/>
    <n v="1"/>
    <n v="32.799999999999997"/>
    <n v="4032.8"/>
    <x v="5"/>
  </r>
  <r>
    <x v="54"/>
    <x v="2"/>
    <n v="23.5"/>
    <n v="47.5"/>
    <n v="2.6"/>
    <n v="275.89999999999998"/>
    <n v="1.7"/>
    <n v="4000"/>
    <n v="4722.3999999999996"/>
    <n v="1"/>
    <n v="277.59999999999997"/>
    <n v="4277.6000000000004"/>
    <x v="6"/>
  </r>
  <r>
    <x v="55"/>
    <x v="2"/>
    <n v="25.8"/>
    <n v="43.9"/>
    <n v="7.1"/>
    <n v="562.70000000000005"/>
    <n v="34"/>
    <n v="4000"/>
    <n v="4882.5"/>
    <n v="1"/>
    <n v="596.70000000000005"/>
    <n v="4596.7"/>
    <x v="7"/>
  </r>
  <r>
    <x v="56"/>
    <x v="2"/>
    <n v="26"/>
    <n v="80.599999999999994"/>
    <n v="11.5"/>
    <n v="443.3"/>
    <n v="147.80000000000001"/>
    <n v="4000"/>
    <n v="4840.3999999999996"/>
    <n v="1"/>
    <n v="591.1"/>
    <n v="4591.1000000000004"/>
    <x v="8"/>
  </r>
  <r>
    <x v="57"/>
    <x v="2"/>
    <n v="26.9"/>
    <n v="62.9"/>
    <n v="9.9"/>
    <n v="776.3"/>
    <n v="92.8"/>
    <n v="4000"/>
    <n v="4923.7"/>
    <n v="1"/>
    <n v="869.09999999999991"/>
    <n v="4869.1000000000004"/>
    <x v="9"/>
  </r>
  <r>
    <x v="58"/>
    <x v="2"/>
    <n v="27.8"/>
    <n v="54.2"/>
    <n v="5.8"/>
    <n v="1021.2"/>
    <n v="18.8"/>
    <n v="4000"/>
    <n v="7042.2"/>
    <n v="1"/>
    <n v="1040"/>
    <n v="5040"/>
    <x v="10"/>
  </r>
  <r>
    <x v="59"/>
    <x v="2"/>
    <n v="27.3"/>
    <n v="56.5"/>
    <n v="6.6"/>
    <n v="1068.3"/>
    <n v="28.2"/>
    <n v="4000"/>
    <n v="7163.8"/>
    <n v="1"/>
    <n v="1096.5"/>
    <n v="5096.5"/>
    <x v="11"/>
  </r>
  <r>
    <x v="60"/>
    <x v="2"/>
    <n v="29"/>
    <n v="86.1"/>
    <n v="4.5999999999999996"/>
    <n v="622.79999999999995"/>
    <n v="9.5"/>
    <n v="4000"/>
    <n v="7386.7"/>
    <n v="1"/>
    <n v="632.29999999999995"/>
    <n v="4632.3"/>
    <x v="12"/>
  </r>
  <r>
    <x v="61"/>
    <x v="2"/>
    <n v="28.7"/>
    <n v="86.3"/>
    <n v="10.4"/>
    <n v="604"/>
    <n v="108.5"/>
    <n v="4000"/>
    <n v="7016.6"/>
    <n v="1"/>
    <n v="712.5"/>
    <n v="4712.5"/>
    <x v="13"/>
  </r>
  <r>
    <x v="62"/>
    <x v="2"/>
    <n v="25.9"/>
    <n v="10.8"/>
    <n v="4.8"/>
    <n v="1646"/>
    <n v="10.8"/>
    <n v="4000"/>
    <n v="7059.4"/>
    <n v="1"/>
    <n v="1656.8"/>
    <n v="5656.8"/>
    <x v="14"/>
  </r>
  <r>
    <x v="63"/>
    <x v="2"/>
    <n v="24.6"/>
    <n v="79.2"/>
    <n v="5.4"/>
    <n v="572.70000000000005"/>
    <n v="15.4"/>
    <n v="4000"/>
    <n v="5099.5"/>
    <n v="1"/>
    <n v="588.1"/>
    <n v="4588.1000000000004"/>
    <x v="15"/>
  </r>
  <r>
    <x v="64"/>
    <x v="2"/>
    <n v="22.2"/>
    <n v="62.6"/>
    <n v="0"/>
    <n v="622.9"/>
    <n v="0"/>
    <n v="4000"/>
    <n v="4998.6000000000004"/>
    <n v="1"/>
    <n v="622.9"/>
    <n v="4622.8999999999996"/>
    <x v="16"/>
  </r>
  <r>
    <x v="65"/>
    <x v="2"/>
    <n v="20"/>
    <n v="96.2"/>
    <n v="8.3000000000000007"/>
    <n v="200.1"/>
    <n v="55.5"/>
    <n v="4000"/>
    <n v="4922"/>
    <n v="1"/>
    <n v="255.6"/>
    <n v="4255.6000000000004"/>
    <x v="17"/>
  </r>
  <r>
    <x v="66"/>
    <x v="2"/>
    <n v="25"/>
    <n v="31.5"/>
    <n v="11.2"/>
    <n v="332.8"/>
    <n v="136.4"/>
    <n v="4000"/>
    <n v="7770"/>
    <n v="1"/>
    <n v="469.20000000000005"/>
    <n v="4469.2"/>
    <x v="18"/>
  </r>
  <r>
    <x v="67"/>
    <x v="2"/>
    <n v="20.2"/>
    <n v="94.1"/>
    <n v="2.7"/>
    <n v="0"/>
    <n v="1.9"/>
    <n v="4000"/>
    <n v="7839.8"/>
    <n v="1"/>
    <n v="1.9"/>
    <n v="4001.9"/>
    <x v="19"/>
  </r>
  <r>
    <x v="68"/>
    <x v="2"/>
    <n v="18.3"/>
    <n v="44.1"/>
    <n v="2.8"/>
    <n v="0"/>
    <n v="2.2000000000000002"/>
    <n v="4000"/>
    <n v="7576.3"/>
    <n v="1"/>
    <n v="2.2000000000000002"/>
    <n v="4002.2"/>
    <x v="20"/>
  </r>
  <r>
    <x v="69"/>
    <x v="2"/>
    <n v="17.899999999999999"/>
    <n v="70.599999999999994"/>
    <n v="4.3"/>
    <n v="0"/>
    <n v="7.6"/>
    <n v="4000"/>
    <n v="7883.5"/>
    <n v="1"/>
    <n v="7.6"/>
    <n v="4007.6"/>
    <x v="21"/>
  </r>
  <r>
    <x v="70"/>
    <x v="2"/>
    <n v="18.2"/>
    <n v="2.6"/>
    <n v="5.8"/>
    <n v="0"/>
    <n v="18.7"/>
    <n v="4000"/>
    <n v="4676.8999999999996"/>
    <n v="1"/>
    <n v="18.7"/>
    <n v="4018.7"/>
    <x v="22"/>
  </r>
  <r>
    <x v="71"/>
    <x v="2"/>
    <n v="21.1"/>
    <n v="87.3"/>
    <n v="6.3"/>
    <n v="0"/>
    <n v="24.2"/>
    <n v="4000"/>
    <n v="4744.8"/>
    <n v="1"/>
    <n v="24.2"/>
    <n v="4024.2"/>
    <x v="23"/>
  </r>
  <r>
    <x v="72"/>
    <x v="2"/>
    <n v="15.3"/>
    <n v="76.3"/>
    <n v="6.6"/>
    <n v="0"/>
    <n v="27.6"/>
    <n v="4000"/>
    <n v="5139.6000000000004"/>
    <n v="1"/>
    <n v="27.6"/>
    <n v="4027.6"/>
    <x v="0"/>
  </r>
  <r>
    <x v="73"/>
    <x v="2"/>
    <n v="19.7"/>
    <n v="82"/>
    <n v="6.9"/>
    <n v="0"/>
    <n v="31.1"/>
    <n v="4000"/>
    <n v="4989.6000000000004"/>
    <n v="1"/>
    <n v="31.1"/>
    <n v="4031.1"/>
    <x v="1"/>
  </r>
  <r>
    <x v="74"/>
    <x v="2"/>
    <n v="15.7"/>
    <n v="56.3"/>
    <n v="6.3"/>
    <n v="0"/>
    <n v="23.8"/>
    <n v="4000"/>
    <n v="4701.8"/>
    <n v="1"/>
    <n v="23.8"/>
    <n v="4023.8"/>
    <x v="2"/>
  </r>
  <r>
    <x v="75"/>
    <x v="2"/>
    <n v="23.3"/>
    <n v="100"/>
    <n v="7.8"/>
    <n v="0"/>
    <n v="45.7"/>
    <n v="4000"/>
    <n v="4780.5"/>
    <n v="1"/>
    <n v="45.7"/>
    <n v="4045.7"/>
    <x v="3"/>
  </r>
  <r>
    <x v="76"/>
    <x v="2"/>
    <n v="19.100000000000001"/>
    <n v="31.4"/>
    <n v="6.2"/>
    <n v="0"/>
    <n v="23.2"/>
    <n v="4000"/>
    <n v="4960.8"/>
    <n v="1"/>
    <n v="23.2"/>
    <n v="4023.2"/>
    <x v="4"/>
  </r>
  <r>
    <x v="77"/>
    <x v="2"/>
    <n v="18.2"/>
    <n v="70"/>
    <n v="5.5"/>
    <n v="0"/>
    <n v="16.3"/>
    <n v="4000"/>
    <n v="4988.7"/>
    <n v="1"/>
    <n v="16.3"/>
    <n v="4016.3"/>
    <x v="5"/>
  </r>
  <r>
    <x v="78"/>
    <x v="2"/>
    <n v="20.3"/>
    <n v="47.6"/>
    <n v="11.7"/>
    <n v="275.60000000000002"/>
    <n v="152.30000000000001"/>
    <n v="4000"/>
    <n v="4663.8"/>
    <n v="1"/>
    <n v="427.90000000000003"/>
    <n v="4427.8999999999996"/>
    <x v="6"/>
  </r>
  <r>
    <x v="79"/>
    <x v="2"/>
    <n v="20.6"/>
    <n v="74.599999999999994"/>
    <n v="1.4"/>
    <n v="350"/>
    <n v="0.2"/>
    <n v="4000"/>
    <n v="5033.5"/>
    <n v="1"/>
    <n v="350.2"/>
    <n v="4350.2"/>
    <x v="7"/>
  </r>
  <r>
    <x v="80"/>
    <x v="2"/>
    <n v="23.6"/>
    <n v="57.2"/>
    <n v="10"/>
    <n v="676.5"/>
    <n v="95.4"/>
    <n v="4000"/>
    <n v="5112.3999999999996"/>
    <n v="1"/>
    <n v="771.9"/>
    <n v="4771.8999999999996"/>
    <x v="8"/>
  </r>
  <r>
    <x v="81"/>
    <x v="2"/>
    <n v="22.7"/>
    <n v="42.5"/>
    <n v="9.1"/>
    <n v="1032.0999999999999"/>
    <n v="72.7"/>
    <n v="3652.1"/>
    <n v="4756.8999999999996"/>
    <n v="0"/>
    <n v="1104.8"/>
    <n v="4756.8999999999996"/>
    <x v="9"/>
  </r>
  <r>
    <x v="82"/>
    <x v="2"/>
    <n v="20.7"/>
    <n v="46.5"/>
    <n v="7.7"/>
    <n v="1132.0999999999999"/>
    <n v="43.1"/>
    <n v="4000"/>
    <n v="6922.1"/>
    <n v="1"/>
    <n v="1175.1999999999998"/>
    <n v="5175.2"/>
    <x v="10"/>
  </r>
  <r>
    <x v="83"/>
    <x v="2"/>
    <n v="25.9"/>
    <n v="47.7"/>
    <n v="9.5"/>
    <n v="1206.5"/>
    <n v="81.3"/>
    <n v="4000"/>
    <n v="7330"/>
    <n v="1"/>
    <n v="1287.8"/>
    <n v="5287.8"/>
    <x v="11"/>
  </r>
  <r>
    <x v="84"/>
    <x v="2"/>
    <n v="26.2"/>
    <n v="65.7"/>
    <n v="7.3"/>
    <n v="948.6"/>
    <n v="38.1"/>
    <n v="4000"/>
    <n v="6869.5"/>
    <n v="1"/>
    <n v="986.7"/>
    <n v="4986.7"/>
    <x v="12"/>
  </r>
  <r>
    <x v="85"/>
    <x v="2"/>
    <n v="26.9"/>
    <n v="0"/>
    <n v="4"/>
    <n v="1949.9"/>
    <n v="6.3"/>
    <n v="4000"/>
    <n v="7073.5"/>
    <n v="1"/>
    <n v="1956.2"/>
    <n v="5956.2"/>
    <x v="13"/>
  </r>
  <r>
    <x v="86"/>
    <x v="2"/>
    <n v="24.4"/>
    <n v="61.8"/>
    <n v="7.3"/>
    <n v="911.5"/>
    <n v="38"/>
    <n v="4000"/>
    <n v="7218"/>
    <n v="1"/>
    <n v="949.5"/>
    <n v="4949.5"/>
    <x v="14"/>
  </r>
  <r>
    <x v="87"/>
    <x v="2"/>
    <n v="25.9"/>
    <n v="31.1"/>
    <n v="5.4"/>
    <n v="1174.4000000000001"/>
    <n v="15"/>
    <n v="3709.2"/>
    <n v="4898.6000000000004"/>
    <n v="0"/>
    <n v="1189.4000000000001"/>
    <n v="4898.6000000000004"/>
    <x v="15"/>
  </r>
  <r>
    <x v="88"/>
    <x v="2"/>
    <n v="24.8"/>
    <n v="42.4"/>
    <n v="6.7"/>
    <n v="824"/>
    <n v="28.5"/>
    <n v="4000"/>
    <n v="5041.5"/>
    <n v="1"/>
    <n v="852.5"/>
    <n v="4852.5"/>
    <x v="16"/>
  </r>
  <r>
    <x v="89"/>
    <x v="2"/>
    <n v="19.2"/>
    <n v="94.8"/>
    <n v="5"/>
    <n v="209.8"/>
    <n v="11.9"/>
    <n v="4000"/>
    <n v="5057.2"/>
    <n v="1"/>
    <n v="221.70000000000002"/>
    <n v="4221.7"/>
    <x v="17"/>
  </r>
  <r>
    <x v="90"/>
    <x v="2"/>
    <n v="24.4"/>
    <n v="18.8"/>
    <n v="3.9"/>
    <n v="377.9"/>
    <n v="5.6"/>
    <n v="4000"/>
    <n v="7763.8"/>
    <n v="1"/>
    <n v="383.5"/>
    <n v="4383.5"/>
    <x v="18"/>
  </r>
  <r>
    <x v="91"/>
    <x v="2"/>
    <n v="19.100000000000001"/>
    <n v="100"/>
    <n v="3.4"/>
    <n v="0"/>
    <n v="3.9"/>
    <n v="4000"/>
    <n v="7656.7"/>
    <n v="1"/>
    <n v="3.9"/>
    <n v="4003.9"/>
    <x v="19"/>
  </r>
  <r>
    <x v="92"/>
    <x v="2"/>
    <n v="19.899999999999999"/>
    <n v="23.9"/>
    <n v="4.8"/>
    <n v="0"/>
    <n v="10.7"/>
    <n v="4000"/>
    <n v="7616.7"/>
    <n v="1"/>
    <n v="10.7"/>
    <n v="4010.7"/>
    <x v="20"/>
  </r>
  <r>
    <x v="93"/>
    <x v="2"/>
    <n v="17.8"/>
    <n v="57.2"/>
    <n v="4.4000000000000004"/>
    <n v="0"/>
    <n v="8.1999999999999993"/>
    <n v="4000"/>
    <n v="7747.6"/>
    <n v="1"/>
    <n v="8.1999999999999993"/>
    <n v="4008.2"/>
    <x v="21"/>
  </r>
  <r>
    <x v="94"/>
    <x v="2"/>
    <n v="18.3"/>
    <n v="100"/>
    <n v="6.1"/>
    <n v="0"/>
    <n v="21.3"/>
    <n v="4000"/>
    <n v="4722.8"/>
    <n v="1"/>
    <n v="21.3"/>
    <n v="4021.3"/>
    <x v="22"/>
  </r>
  <r>
    <x v="95"/>
    <x v="2"/>
    <n v="18.600000000000001"/>
    <n v="21.9"/>
    <n v="11.1"/>
    <n v="0"/>
    <n v="131.6"/>
    <n v="4000"/>
    <n v="4983.8"/>
    <n v="1"/>
    <n v="131.6"/>
    <n v="4131.6000000000004"/>
    <x v="23"/>
  </r>
  <r>
    <x v="96"/>
    <x v="2"/>
    <n v="20.3"/>
    <n v="38"/>
    <n v="11.5"/>
    <n v="0"/>
    <n v="144.30000000000001"/>
    <n v="4000"/>
    <n v="4350.3"/>
    <n v="1"/>
    <n v="144.30000000000001"/>
    <n v="4144.3"/>
    <x v="0"/>
  </r>
  <r>
    <x v="97"/>
    <x v="2"/>
    <n v="18.3"/>
    <n v="67"/>
    <n v="5.3"/>
    <n v="0"/>
    <n v="13.9"/>
    <n v="4000"/>
    <n v="4436.3"/>
    <n v="1"/>
    <n v="13.9"/>
    <n v="4013.9"/>
    <x v="1"/>
  </r>
  <r>
    <x v="98"/>
    <x v="2"/>
    <n v="18"/>
    <n v="1"/>
    <n v="2.6"/>
    <n v="0"/>
    <n v="1.8"/>
    <n v="4000"/>
    <n v="4500.1000000000004"/>
    <n v="1"/>
    <n v="1.8"/>
    <n v="4001.8"/>
    <x v="2"/>
  </r>
  <r>
    <x v="99"/>
    <x v="2"/>
    <n v="19.100000000000001"/>
    <n v="58.3"/>
    <n v="9.6999999999999993"/>
    <n v="0"/>
    <n v="86.5"/>
    <n v="4000"/>
    <n v="4292.1000000000004"/>
    <n v="1"/>
    <n v="86.5"/>
    <n v="4086.5"/>
    <x v="3"/>
  </r>
  <r>
    <x v="100"/>
    <x v="2"/>
    <n v="19.8"/>
    <n v="5.5"/>
    <n v="8.3000000000000007"/>
    <n v="0"/>
    <n v="54.5"/>
    <n v="3972.8"/>
    <n v="4027.3"/>
    <n v="0"/>
    <n v="54.5"/>
    <n v="4027.3"/>
    <x v="4"/>
  </r>
  <r>
    <x v="101"/>
    <x v="2"/>
    <n v="21.5"/>
    <n v="34.1"/>
    <n v="9.8000000000000007"/>
    <n v="0"/>
    <n v="91.4"/>
    <n v="4000"/>
    <n v="4305.8"/>
    <n v="1"/>
    <n v="91.4"/>
    <n v="4091.4"/>
    <x v="5"/>
  </r>
  <r>
    <x v="102"/>
    <x v="2"/>
    <n v="23.2"/>
    <n v="56.1"/>
    <n v="7.7"/>
    <n v="245.3"/>
    <n v="44.5"/>
    <n v="4000"/>
    <n v="4476.3"/>
    <n v="1"/>
    <n v="289.8"/>
    <n v="4289.8"/>
    <x v="6"/>
  </r>
  <r>
    <x v="103"/>
    <x v="2"/>
    <n v="25"/>
    <n v="100"/>
    <n v="9.1999999999999993"/>
    <n v="173.6"/>
    <n v="75"/>
    <n v="3965.4"/>
    <n v="4214"/>
    <n v="0"/>
    <n v="248.6"/>
    <n v="4214"/>
    <x v="7"/>
  </r>
  <r>
    <x v="104"/>
    <x v="2"/>
    <n v="25.2"/>
    <n v="21.2"/>
    <n v="7.7"/>
    <n v="1035.4000000000001"/>
    <n v="44.1"/>
    <n v="3131.1"/>
    <n v="4210.6000000000004"/>
    <n v="0"/>
    <n v="1079.5"/>
    <n v="4210.6000000000004"/>
    <x v="8"/>
  </r>
  <r>
    <x v="105"/>
    <x v="2"/>
    <n v="21.8"/>
    <n v="25.1"/>
    <n v="5.2"/>
    <n v="1249.0999999999999"/>
    <n v="13.1"/>
    <n v="3125.4"/>
    <n v="4387.6000000000004"/>
    <n v="0"/>
    <n v="1262.1999999999998"/>
    <n v="4387.6000000000004"/>
    <x v="9"/>
  </r>
  <r>
    <x v="106"/>
    <x v="2"/>
    <n v="23.9"/>
    <n v="71.7"/>
    <n v="6.8"/>
    <n v="768.8"/>
    <n v="29.6"/>
    <n v="4000"/>
    <n v="6194.9"/>
    <n v="1"/>
    <n v="798.4"/>
    <n v="4798.3999999999996"/>
    <x v="10"/>
  </r>
  <r>
    <x v="107"/>
    <x v="2"/>
    <n v="25.3"/>
    <n v="91.5"/>
    <n v="11"/>
    <n v="523.20000000000005"/>
    <n v="126.6"/>
    <n v="4000"/>
    <n v="6210.9"/>
    <n v="1"/>
    <n v="649.80000000000007"/>
    <n v="4649.8"/>
    <x v="11"/>
  </r>
  <r>
    <x v="108"/>
    <x v="2"/>
    <n v="25.8"/>
    <n v="74.7"/>
    <n v="4.9000000000000004"/>
    <n v="804.2"/>
    <n v="11.5"/>
    <n v="4000"/>
    <n v="6167.5"/>
    <n v="1"/>
    <n v="815.7"/>
    <n v="4815.7"/>
    <x v="12"/>
  </r>
  <r>
    <x v="109"/>
    <x v="2"/>
    <n v="28.3"/>
    <n v="2.7"/>
    <n v="10"/>
    <n v="1907.4"/>
    <n v="94.7"/>
    <n v="4000"/>
    <n v="6219.1"/>
    <n v="1"/>
    <n v="2002.1000000000001"/>
    <n v="6002.1"/>
    <x v="13"/>
  </r>
  <r>
    <x v="110"/>
    <x v="2"/>
    <n v="25.5"/>
    <n v="57.3"/>
    <n v="5.9"/>
    <n v="975.6"/>
    <n v="19.600000000000001"/>
    <n v="4000"/>
    <n v="6250.9"/>
    <n v="1"/>
    <n v="995.2"/>
    <n v="4995.2"/>
    <x v="14"/>
  </r>
  <r>
    <x v="111"/>
    <x v="2"/>
    <n v="28.5"/>
    <n v="61.2"/>
    <n v="7.3"/>
    <n v="797.6"/>
    <n v="37.799999999999997"/>
    <n v="3224.9"/>
    <n v="4060.3"/>
    <n v="0"/>
    <n v="835.4"/>
    <n v="4060.3"/>
    <x v="15"/>
  </r>
  <r>
    <x v="112"/>
    <x v="2"/>
    <n v="22.5"/>
    <n v="74.2"/>
    <n v="5.2"/>
    <n v="506.7"/>
    <n v="13.5"/>
    <n v="3942.5"/>
    <n v="4462.7"/>
    <n v="0"/>
    <n v="520.20000000000005"/>
    <n v="4462.7"/>
    <x v="16"/>
  </r>
  <r>
    <x v="113"/>
    <x v="2"/>
    <n v="19"/>
    <n v="57"/>
    <n v="4.2"/>
    <n v="471.9"/>
    <n v="7.1"/>
    <n v="3968"/>
    <n v="4447"/>
    <n v="0"/>
    <n v="479"/>
    <n v="4447"/>
    <x v="17"/>
  </r>
  <r>
    <x v="114"/>
    <x v="2"/>
    <n v="22.9"/>
    <n v="38.799999999999997"/>
    <n v="3.9"/>
    <n v="307"/>
    <n v="5.5"/>
    <n v="4000"/>
    <n v="6784.8"/>
    <n v="1"/>
    <n v="312.5"/>
    <n v="4312.5"/>
    <x v="18"/>
  </r>
  <r>
    <x v="115"/>
    <x v="2"/>
    <n v="18.899999999999999"/>
    <n v="85.3"/>
    <n v="4.9000000000000004"/>
    <n v="0"/>
    <n v="11.2"/>
    <n v="4000"/>
    <n v="6703.4"/>
    <n v="1"/>
    <n v="11.2"/>
    <n v="4011.2"/>
    <x v="19"/>
  </r>
  <r>
    <x v="116"/>
    <x v="2"/>
    <n v="18.8"/>
    <n v="28.8"/>
    <n v="1.1000000000000001"/>
    <n v="0"/>
    <n v="0.1"/>
    <n v="4000"/>
    <n v="6284"/>
    <n v="1"/>
    <n v="0.1"/>
    <n v="4000.1"/>
    <x v="20"/>
  </r>
  <r>
    <x v="117"/>
    <x v="2"/>
    <n v="18.7"/>
    <n v="99.9"/>
    <n v="6.9"/>
    <n v="0"/>
    <n v="32.1"/>
    <n v="4000"/>
    <n v="6534.4"/>
    <n v="1"/>
    <n v="32.1"/>
    <n v="4032.1"/>
    <x v="21"/>
  </r>
  <r>
    <x v="118"/>
    <x v="2"/>
    <n v="18.600000000000001"/>
    <n v="46.2"/>
    <n v="3.9"/>
    <n v="0"/>
    <n v="5.8"/>
    <n v="4000"/>
    <n v="4229"/>
    <n v="1"/>
    <n v="5.8"/>
    <n v="4005.8"/>
    <x v="22"/>
  </r>
  <r>
    <x v="119"/>
    <x v="2"/>
    <n v="13.7"/>
    <n v="48.3"/>
    <n v="6.5"/>
    <n v="0"/>
    <n v="26.1"/>
    <n v="4000"/>
    <n v="4146.8"/>
    <n v="1"/>
    <n v="26.1"/>
    <n v="4026.1"/>
    <x v="23"/>
  </r>
  <r>
    <x v="120"/>
    <x v="2"/>
    <n v="16.2"/>
    <n v="31.6"/>
    <n v="7.8"/>
    <n v="0"/>
    <n v="46"/>
    <n v="4000"/>
    <n v="4305.5"/>
    <n v="1"/>
    <n v="46"/>
    <n v="4046"/>
    <x v="0"/>
  </r>
  <r>
    <x v="121"/>
    <x v="2"/>
    <n v="18.7"/>
    <n v="29.9"/>
    <n v="3.7"/>
    <n v="0"/>
    <n v="5"/>
    <n v="4000"/>
    <n v="4122.3999999999996"/>
    <n v="1"/>
    <n v="5"/>
    <n v="4005"/>
    <x v="1"/>
  </r>
  <r>
    <x v="122"/>
    <x v="2"/>
    <n v="16.7"/>
    <n v="89.3"/>
    <n v="7.5"/>
    <n v="0"/>
    <n v="41.3"/>
    <n v="4000"/>
    <n v="4100"/>
    <n v="1"/>
    <n v="41.3"/>
    <n v="4041.3"/>
    <x v="2"/>
  </r>
  <r>
    <x v="123"/>
    <x v="2"/>
    <n v="19.5"/>
    <n v="26.9"/>
    <n v="5"/>
    <n v="0"/>
    <n v="12.1"/>
    <n v="4000"/>
    <n v="4466.8"/>
    <n v="1"/>
    <n v="12.1"/>
    <n v="4012.1"/>
    <x v="3"/>
  </r>
  <r>
    <x v="124"/>
    <x v="2"/>
    <n v="22.2"/>
    <n v="24.1"/>
    <n v="8.6999999999999993"/>
    <n v="0"/>
    <n v="62.8"/>
    <n v="4000"/>
    <n v="4203"/>
    <n v="1"/>
    <n v="62.8"/>
    <n v="4062.8"/>
    <x v="4"/>
  </r>
  <r>
    <x v="125"/>
    <x v="2"/>
    <n v="24.4"/>
    <n v="47.7"/>
    <n v="8.1"/>
    <n v="0"/>
    <n v="51.7"/>
    <n v="4000"/>
    <n v="4453.8999999999996"/>
    <n v="1"/>
    <n v="51.7"/>
    <n v="4051.7"/>
    <x v="5"/>
  </r>
  <r>
    <x v="126"/>
    <x v="2"/>
    <n v="20.8"/>
    <n v="13.9"/>
    <n v="0.4"/>
    <n v="395.4"/>
    <n v="0"/>
    <n v="4000"/>
    <n v="4662.2"/>
    <n v="1"/>
    <n v="395.4"/>
    <n v="4395.3999999999996"/>
    <x v="6"/>
  </r>
  <r>
    <x v="127"/>
    <x v="2"/>
    <n v="19.5"/>
    <n v="48.8"/>
    <n v="7.3"/>
    <n v="528.79999999999995"/>
    <n v="37.5"/>
    <n v="3860.6"/>
    <n v="4426.8999999999996"/>
    <n v="0"/>
    <n v="566.29999999999995"/>
    <n v="4426.8999999999996"/>
    <x v="7"/>
  </r>
  <r>
    <x v="128"/>
    <x v="2"/>
    <n v="25.4"/>
    <n v="66.7"/>
    <n v="9.8000000000000007"/>
    <n v="581.9"/>
    <n v="91.4"/>
    <n v="3674.5"/>
    <n v="4347.8"/>
    <n v="0"/>
    <n v="673.3"/>
    <n v="4347.8"/>
    <x v="8"/>
  </r>
  <r>
    <x v="129"/>
    <x v="2"/>
    <n v="24.2"/>
    <n v="36.799999999999997"/>
    <n v="8.5"/>
    <n v="1103.0999999999999"/>
    <n v="58.8"/>
    <n v="3015.3"/>
    <n v="4177.2"/>
    <n v="0"/>
    <n v="1161.8999999999999"/>
    <n v="4177.2"/>
    <x v="9"/>
  </r>
  <r>
    <x v="130"/>
    <x v="2"/>
    <n v="27.2"/>
    <n v="95.5"/>
    <n v="2.5"/>
    <n v="425.2"/>
    <n v="1.4"/>
    <n v="4000"/>
    <n v="6375.1"/>
    <n v="1"/>
    <n v="426.59999999999997"/>
    <n v="4426.6000000000004"/>
    <x v="10"/>
  </r>
  <r>
    <x v="131"/>
    <x v="2"/>
    <n v="29.9"/>
    <n v="82.1"/>
    <n v="11.3"/>
    <n v="669.7"/>
    <n v="140.19999999999999"/>
    <n v="4000"/>
    <n v="6490.1"/>
    <n v="1"/>
    <n v="809.90000000000009"/>
    <n v="4809.8999999999996"/>
    <x v="11"/>
  </r>
  <r>
    <x v="132"/>
    <x v="2"/>
    <n v="26"/>
    <n v="37.9"/>
    <n v="8.1999999999999993"/>
    <n v="1392.9"/>
    <n v="52.2"/>
    <n v="4000"/>
    <n v="5991.5"/>
    <n v="1"/>
    <n v="1445.1000000000001"/>
    <n v="5445.1"/>
    <x v="12"/>
  </r>
  <r>
    <x v="133"/>
    <x v="2"/>
    <n v="28.3"/>
    <n v="100"/>
    <n v="8.1"/>
    <n v="390"/>
    <n v="50.7"/>
    <n v="4000"/>
    <n v="6082.5"/>
    <n v="1"/>
    <n v="440.7"/>
    <n v="4440.7"/>
    <x v="13"/>
  </r>
  <r>
    <x v="134"/>
    <x v="2"/>
    <n v="24.4"/>
    <n v="34.6"/>
    <n v="9.6999999999999993"/>
    <n v="1303.2"/>
    <n v="88.9"/>
    <n v="4000"/>
    <n v="6282.6"/>
    <n v="1"/>
    <n v="1392.1000000000001"/>
    <n v="5392.1"/>
    <x v="14"/>
  </r>
  <r>
    <x v="135"/>
    <x v="2"/>
    <n v="25.5"/>
    <n v="47.5"/>
    <n v="0"/>
    <n v="969.9"/>
    <n v="0"/>
    <n v="3467"/>
    <n v="4436.8999999999996"/>
    <n v="0"/>
    <n v="969.9"/>
    <n v="4436.8999999999996"/>
    <x v="15"/>
  </r>
  <r>
    <x v="136"/>
    <x v="2"/>
    <n v="28.3"/>
    <n v="21.6"/>
    <n v="6.6"/>
    <n v="1031.5999999999999"/>
    <n v="27.2"/>
    <n v="3100.6"/>
    <n v="4159.3999999999996"/>
    <n v="0"/>
    <n v="1058.8"/>
    <n v="4159.3999999999996"/>
    <x v="16"/>
  </r>
  <r>
    <x v="137"/>
    <x v="2"/>
    <n v="20.8"/>
    <n v="65.5"/>
    <n v="8.8000000000000007"/>
    <n v="412.8"/>
    <n v="65.7"/>
    <n v="3992.6"/>
    <n v="4471.1000000000004"/>
    <n v="0"/>
    <n v="478.5"/>
    <n v="4471.1000000000004"/>
    <x v="17"/>
  </r>
  <r>
    <x v="138"/>
    <x v="2"/>
    <n v="27.7"/>
    <n v="9.9"/>
    <n v="9.1999999999999993"/>
    <n v="409.6"/>
    <n v="74.2"/>
    <n v="4000"/>
    <n v="6721.9"/>
    <n v="1"/>
    <n v="483.8"/>
    <n v="4483.8"/>
    <x v="18"/>
  </r>
  <r>
    <x v="139"/>
    <x v="2"/>
    <n v="22.2"/>
    <n v="73.2"/>
    <n v="3.8"/>
    <n v="0"/>
    <n v="5.3"/>
    <n v="4000"/>
    <n v="6694.1"/>
    <n v="1"/>
    <n v="5.3"/>
    <n v="4005.3"/>
    <x v="19"/>
  </r>
  <r>
    <x v="140"/>
    <x v="2"/>
    <n v="15.8"/>
    <n v="78.099999999999994"/>
    <n v="6.9"/>
    <n v="0"/>
    <n v="31.5"/>
    <n v="4000"/>
    <n v="6754.3"/>
    <n v="1"/>
    <n v="31.5"/>
    <n v="4031.5"/>
    <x v="20"/>
  </r>
  <r>
    <x v="141"/>
    <x v="2"/>
    <n v="20.6"/>
    <n v="71"/>
    <n v="6.4"/>
    <n v="0"/>
    <n v="25.7"/>
    <n v="4000"/>
    <n v="6815.8"/>
    <n v="1"/>
    <n v="25.7"/>
    <n v="4025.7"/>
    <x v="21"/>
  </r>
  <r>
    <x v="142"/>
    <x v="2"/>
    <n v="16.2"/>
    <n v="95.6"/>
    <n v="10.3"/>
    <n v="0"/>
    <n v="105.2"/>
    <n v="4000"/>
    <n v="4187.8"/>
    <n v="1"/>
    <n v="105.2"/>
    <n v="4105.2"/>
    <x v="22"/>
  </r>
  <r>
    <x v="143"/>
    <x v="2"/>
    <n v="17.3"/>
    <n v="32.9"/>
    <n v="9.5"/>
    <n v="0"/>
    <n v="82.8"/>
    <n v="4000"/>
    <n v="4284.3"/>
    <n v="1"/>
    <n v="82.8"/>
    <n v="4082.8"/>
    <x v="23"/>
  </r>
  <r>
    <x v="144"/>
    <x v="2"/>
    <n v="20.9"/>
    <n v="33.700000000000003"/>
    <n v="4.9000000000000004"/>
    <n v="0"/>
    <n v="11.1"/>
    <n v="4000"/>
    <n v="5049.8"/>
    <n v="1"/>
    <n v="11.1"/>
    <n v="4011.1"/>
    <x v="0"/>
  </r>
  <r>
    <x v="145"/>
    <x v="2"/>
    <n v="18.5"/>
    <n v="53.5"/>
    <n v="3.4"/>
    <n v="0"/>
    <n v="3.7"/>
    <n v="4000"/>
    <n v="4984.7"/>
    <n v="1"/>
    <n v="3.7"/>
    <n v="4003.7"/>
    <x v="1"/>
  </r>
  <r>
    <x v="146"/>
    <x v="2"/>
    <n v="19.100000000000001"/>
    <n v="32.5"/>
    <n v="10.1"/>
    <n v="0"/>
    <n v="97.9"/>
    <n v="4000"/>
    <n v="5082.2"/>
    <n v="1"/>
    <n v="97.9"/>
    <n v="4097.8999999999996"/>
    <x v="2"/>
  </r>
  <r>
    <x v="147"/>
    <x v="2"/>
    <n v="18.7"/>
    <n v="62.4"/>
    <n v="7.7"/>
    <n v="0"/>
    <n v="43.2"/>
    <n v="4000"/>
    <n v="5125.5"/>
    <n v="1"/>
    <n v="43.2"/>
    <n v="4043.2"/>
    <x v="3"/>
  </r>
  <r>
    <x v="148"/>
    <x v="2"/>
    <n v="19.600000000000001"/>
    <n v="0"/>
    <n v="8.6"/>
    <n v="0"/>
    <n v="61.7"/>
    <n v="4000"/>
    <n v="4820.7"/>
    <n v="1"/>
    <n v="61.7"/>
    <n v="4061.7"/>
    <x v="4"/>
  </r>
  <r>
    <x v="149"/>
    <x v="2"/>
    <n v="23.7"/>
    <n v="50.1"/>
    <n v="5.4"/>
    <n v="0"/>
    <n v="14.8"/>
    <n v="4000"/>
    <n v="4715.8"/>
    <n v="1"/>
    <n v="14.8"/>
    <n v="4014.8"/>
    <x v="5"/>
  </r>
  <r>
    <x v="150"/>
    <x v="2"/>
    <n v="21.4"/>
    <n v="100"/>
    <n v="0"/>
    <n v="89"/>
    <n v="0"/>
    <n v="4000"/>
    <n v="4855.8"/>
    <n v="1"/>
    <n v="89"/>
    <n v="4089"/>
    <x v="6"/>
  </r>
  <r>
    <x v="151"/>
    <x v="2"/>
    <n v="24"/>
    <n v="23.8"/>
    <n v="2.8"/>
    <n v="702.6"/>
    <n v="2"/>
    <n v="4000"/>
    <n v="5141.5"/>
    <n v="1"/>
    <n v="704.6"/>
    <n v="4704.6000000000004"/>
    <x v="7"/>
  </r>
  <r>
    <x v="152"/>
    <x v="2"/>
    <n v="22.6"/>
    <n v="25.4"/>
    <n v="9.4"/>
    <n v="993.6"/>
    <n v="80"/>
    <n v="4000"/>
    <n v="5201.5"/>
    <n v="1"/>
    <n v="1073.5999999999999"/>
    <n v="5073.6000000000004"/>
    <x v="8"/>
  </r>
  <r>
    <x v="153"/>
    <x v="2"/>
    <n v="23.7"/>
    <n v="66.5"/>
    <n v="2.9"/>
    <n v="731.8"/>
    <n v="2.4"/>
    <n v="4000"/>
    <n v="5000.8"/>
    <n v="1"/>
    <n v="734.19999999999993"/>
    <n v="4734.2"/>
    <x v="9"/>
  </r>
  <r>
    <x v="154"/>
    <x v="2"/>
    <n v="28.5"/>
    <n v="76"/>
    <n v="7.1"/>
    <n v="706.9"/>
    <n v="34.1"/>
    <n v="4000"/>
    <n v="7315.1"/>
    <n v="1"/>
    <n v="741"/>
    <n v="4741"/>
    <x v="10"/>
  </r>
  <r>
    <x v="155"/>
    <x v="2"/>
    <n v="26.8"/>
    <n v="24.5"/>
    <n v="7.3"/>
    <n v="1567"/>
    <n v="38.1"/>
    <n v="4000"/>
    <n v="7414.2"/>
    <n v="1"/>
    <n v="1605.1"/>
    <n v="5605.1"/>
    <x v="11"/>
  </r>
  <r>
    <x v="156"/>
    <x v="2"/>
    <n v="25"/>
    <n v="49.2"/>
    <n v="7.2"/>
    <n v="1213.5"/>
    <n v="36.6"/>
    <n v="4000"/>
    <n v="7462.9"/>
    <n v="1"/>
    <n v="1250.0999999999999"/>
    <n v="5250.1"/>
    <x v="12"/>
  </r>
  <r>
    <x v="157"/>
    <x v="2"/>
    <n v="24.9"/>
    <n v="93.7"/>
    <n v="13"/>
    <n v="488.9"/>
    <n v="209"/>
    <n v="4000"/>
    <n v="7141.9"/>
    <n v="1"/>
    <n v="697.9"/>
    <n v="4697.8999999999996"/>
    <x v="13"/>
  </r>
  <r>
    <x v="158"/>
    <x v="2"/>
    <n v="24.5"/>
    <n v="13.5"/>
    <n v="6.8"/>
    <n v="1606.9"/>
    <n v="29.8"/>
    <n v="4000"/>
    <n v="7179.4"/>
    <n v="1"/>
    <n v="1636.7"/>
    <n v="5636.7"/>
    <x v="14"/>
  </r>
  <r>
    <x v="159"/>
    <x v="2"/>
    <n v="26.5"/>
    <n v="59.9"/>
    <n v="4.2"/>
    <n v="814"/>
    <n v="7.3"/>
    <n v="4000"/>
    <n v="5115.6000000000004"/>
    <n v="1"/>
    <n v="821.3"/>
    <n v="4821.3"/>
    <x v="15"/>
  </r>
  <r>
    <x v="160"/>
    <x v="2"/>
    <n v="26.2"/>
    <n v="87.4"/>
    <n v="1.4"/>
    <n v="375"/>
    <n v="0.2"/>
    <n v="4000"/>
    <n v="4786.2"/>
    <n v="1"/>
    <n v="375.2"/>
    <n v="4375.2"/>
    <x v="16"/>
  </r>
  <r>
    <x v="161"/>
    <x v="2"/>
    <n v="24.4"/>
    <n v="100"/>
    <n v="2"/>
    <n v="173.6"/>
    <n v="0.7"/>
    <n v="4000"/>
    <n v="5188.5"/>
    <n v="1"/>
    <n v="174.29999999999998"/>
    <n v="4174.3"/>
    <x v="17"/>
  </r>
  <r>
    <x v="162"/>
    <x v="2"/>
    <n v="21.7"/>
    <n v="75.099999999999994"/>
    <n v="11.4"/>
    <n v="177.7"/>
    <n v="141.80000000000001"/>
    <n v="4000"/>
    <n v="7495.1"/>
    <n v="1"/>
    <n v="319.5"/>
    <n v="4319.5"/>
    <x v="18"/>
  </r>
  <r>
    <x v="163"/>
    <x v="2"/>
    <n v="20.2"/>
    <n v="29.2"/>
    <n v="9.6999999999999993"/>
    <n v="0"/>
    <n v="87.3"/>
    <n v="4000"/>
    <n v="7805.9"/>
    <n v="1"/>
    <n v="87.3"/>
    <n v="4087.3"/>
    <x v="19"/>
  </r>
  <r>
    <x v="164"/>
    <x v="2"/>
    <n v="22.8"/>
    <n v="51.5"/>
    <n v="10.8"/>
    <n v="0"/>
    <n v="120"/>
    <n v="4000"/>
    <n v="7555.3"/>
    <n v="1"/>
    <n v="120"/>
    <n v="4120"/>
    <x v="20"/>
  </r>
  <r>
    <x v="165"/>
    <x v="2"/>
    <n v="18.2"/>
    <n v="44.4"/>
    <n v="5"/>
    <n v="0"/>
    <n v="11.8"/>
    <n v="4000"/>
    <n v="7801.8"/>
    <n v="1"/>
    <n v="11.8"/>
    <n v="4011.8"/>
    <x v="21"/>
  </r>
  <r>
    <x v="166"/>
    <x v="2"/>
    <n v="17.8"/>
    <n v="42.2"/>
    <n v="5.5"/>
    <n v="0"/>
    <n v="16"/>
    <n v="4000"/>
    <n v="5014.2"/>
    <n v="1"/>
    <n v="16"/>
    <n v="4016"/>
    <x v="22"/>
  </r>
  <r>
    <x v="167"/>
    <x v="2"/>
    <n v="12.9"/>
    <n v="73.7"/>
    <n v="3.1"/>
    <n v="0"/>
    <n v="2.8"/>
    <n v="4000"/>
    <n v="4961.8"/>
    <n v="1"/>
    <n v="2.8"/>
    <n v="4002.8"/>
    <x v="23"/>
  </r>
  <r>
    <x v="168"/>
    <x v="2"/>
    <n v="13.6"/>
    <n v="6.2"/>
    <n v="1.9"/>
    <n v="0"/>
    <n v="0.7"/>
    <n v="4000"/>
    <n v="4777"/>
    <n v="1"/>
    <n v="0.7"/>
    <n v="4000.7"/>
    <x v="0"/>
  </r>
  <r>
    <x v="169"/>
    <x v="2"/>
    <n v="21.1"/>
    <n v="44.2"/>
    <n v="6.5"/>
    <n v="0"/>
    <n v="26.8"/>
    <n v="4000"/>
    <n v="4843.6000000000004"/>
    <n v="1"/>
    <n v="26.8"/>
    <n v="4026.8"/>
    <x v="1"/>
  </r>
  <r>
    <x v="170"/>
    <x v="2"/>
    <n v="17.899999999999999"/>
    <n v="57.7"/>
    <n v="2.4"/>
    <n v="0"/>
    <n v="1.4"/>
    <n v="4000"/>
    <n v="5010.1000000000004"/>
    <n v="1"/>
    <n v="1.4"/>
    <n v="4001.4"/>
    <x v="2"/>
  </r>
  <r>
    <x v="171"/>
    <x v="2"/>
    <n v="22.1"/>
    <n v="9.5"/>
    <n v="2.9"/>
    <n v="0"/>
    <n v="2.4"/>
    <n v="4000"/>
    <n v="5167.6000000000004"/>
    <n v="1"/>
    <n v="2.4"/>
    <n v="4002.4"/>
    <x v="3"/>
  </r>
  <r>
    <x v="172"/>
    <x v="2"/>
    <n v="17.600000000000001"/>
    <n v="75.2"/>
    <n v="3.8"/>
    <n v="0"/>
    <n v="5.3"/>
    <n v="4000"/>
    <n v="4908"/>
    <n v="1"/>
    <n v="5.3"/>
    <n v="4005.3"/>
    <x v="4"/>
  </r>
  <r>
    <x v="173"/>
    <x v="2"/>
    <n v="23.1"/>
    <n v="66.400000000000006"/>
    <n v="9.1"/>
    <n v="0"/>
    <n v="71.900000000000006"/>
    <n v="4000"/>
    <n v="5274.8"/>
    <n v="1"/>
    <n v="71.900000000000006"/>
    <n v="4071.9"/>
    <x v="5"/>
  </r>
  <r>
    <x v="174"/>
    <x v="2"/>
    <n v="20.9"/>
    <n v="35.5"/>
    <n v="6.2"/>
    <n v="318.60000000000002"/>
    <n v="23.3"/>
    <n v="4000"/>
    <n v="5115.8999999999996"/>
    <n v="1"/>
    <n v="341.90000000000003"/>
    <n v="4341.8999999999996"/>
    <x v="6"/>
  </r>
  <r>
    <x v="175"/>
    <x v="2"/>
    <n v="23.6"/>
    <n v="12.7"/>
    <n v="3.6"/>
    <n v="779.7"/>
    <n v="4.4000000000000004"/>
    <n v="4000"/>
    <n v="5079.2"/>
    <n v="1"/>
    <n v="784.1"/>
    <n v="4784.1000000000004"/>
    <x v="7"/>
  </r>
  <r>
    <x v="176"/>
    <x v="2"/>
    <n v="24.3"/>
    <n v="100"/>
    <n v="1.8"/>
    <n v="249.4"/>
    <n v="0.6"/>
    <n v="4000"/>
    <n v="4938.8999999999996"/>
    <n v="1"/>
    <n v="250"/>
    <n v="4250"/>
    <x v="8"/>
  </r>
  <r>
    <x v="177"/>
    <x v="2"/>
    <n v="28.5"/>
    <n v="100"/>
    <n v="4.8"/>
    <n v="312.7"/>
    <n v="10.5"/>
    <n v="4000"/>
    <n v="5025.8"/>
    <n v="1"/>
    <n v="323.2"/>
    <n v="4323.2"/>
    <x v="9"/>
  </r>
  <r>
    <x v="178"/>
    <x v="2"/>
    <n v="27.5"/>
    <n v="65.900000000000006"/>
    <n v="5.7"/>
    <n v="852.5"/>
    <n v="17.8"/>
    <n v="4000"/>
    <n v="7223.7"/>
    <n v="1"/>
    <n v="870.3"/>
    <n v="4870.3"/>
    <x v="10"/>
  </r>
  <r>
    <x v="179"/>
    <x v="2"/>
    <n v="21.8"/>
    <n v="80.5"/>
    <n v="6.4"/>
    <n v="694.7"/>
    <n v="24.9"/>
    <n v="4000"/>
    <n v="7215.4"/>
    <n v="1"/>
    <n v="719.6"/>
    <n v="4719.6000000000004"/>
    <x v="11"/>
  </r>
  <r>
    <x v="180"/>
    <x v="2"/>
    <n v="31.1"/>
    <n v="39.799999999999997"/>
    <n v="4.8"/>
    <n v="1364"/>
    <n v="10.6"/>
    <n v="4000"/>
    <n v="7116.6"/>
    <n v="1"/>
    <n v="1374.6"/>
    <n v="5374.6"/>
    <x v="12"/>
  </r>
  <r>
    <x v="181"/>
    <x v="2"/>
    <n v="25.2"/>
    <n v="43.5"/>
    <n v="5.6"/>
    <n v="1271.4000000000001"/>
    <n v="16.5"/>
    <n v="4000"/>
    <n v="7448.7"/>
    <n v="1"/>
    <n v="1287.9000000000001"/>
    <n v="5287.9"/>
    <x v="13"/>
  </r>
  <r>
    <x v="182"/>
    <x v="2"/>
    <n v="26.7"/>
    <n v="21.2"/>
    <n v="4.4000000000000004"/>
    <n v="1496"/>
    <n v="8.1999999999999993"/>
    <n v="4000"/>
    <n v="7276.1"/>
    <n v="1"/>
    <n v="1504.2"/>
    <n v="5504.2"/>
    <x v="14"/>
  </r>
  <r>
    <x v="183"/>
    <x v="2"/>
    <n v="25.4"/>
    <n v="72.8"/>
    <n v="7.3"/>
    <n v="653.29999999999995"/>
    <n v="36.700000000000003"/>
    <n v="4000"/>
    <n v="4858.8999999999996"/>
    <n v="1"/>
    <n v="690"/>
    <n v="4690"/>
    <x v="15"/>
  </r>
  <r>
    <x v="184"/>
    <x v="2"/>
    <n v="26.6"/>
    <n v="67.599999999999994"/>
    <n v="10.199999999999999"/>
    <n v="572.79999999999995"/>
    <n v="100.5"/>
    <n v="4000"/>
    <n v="4683.6000000000004"/>
    <n v="1"/>
    <n v="673.3"/>
    <n v="4673.3"/>
    <x v="16"/>
  </r>
  <r>
    <x v="185"/>
    <x v="2"/>
    <n v="25.5"/>
    <n v="74"/>
    <n v="10"/>
    <n v="354.1"/>
    <n v="97.1"/>
    <n v="4000"/>
    <n v="5016.6000000000004"/>
    <n v="1"/>
    <n v="451.20000000000005"/>
    <n v="4451.2"/>
    <x v="17"/>
  </r>
  <r>
    <x v="186"/>
    <x v="2"/>
    <n v="21.8"/>
    <n v="100"/>
    <n v="8.6999999999999993"/>
    <n v="89"/>
    <n v="62.5"/>
    <n v="4000"/>
    <n v="7778.3"/>
    <n v="1"/>
    <n v="151.5"/>
    <n v="4151.5"/>
    <x v="18"/>
  </r>
  <r>
    <x v="187"/>
    <x v="2"/>
    <n v="18.2"/>
    <n v="21.4"/>
    <n v="6.9"/>
    <n v="0"/>
    <n v="31.2"/>
    <n v="4000"/>
    <n v="7786.1"/>
    <n v="1"/>
    <n v="31.2"/>
    <n v="4031.2"/>
    <x v="19"/>
  </r>
  <r>
    <x v="188"/>
    <x v="2"/>
    <n v="18.3"/>
    <n v="64.2"/>
    <n v="10.8"/>
    <n v="0"/>
    <n v="119.8"/>
    <n v="4000"/>
    <n v="7721.8"/>
    <n v="1"/>
    <n v="119.8"/>
    <n v="4119.8"/>
    <x v="20"/>
  </r>
  <r>
    <x v="189"/>
    <x v="2"/>
    <n v="16.2"/>
    <n v="56.7"/>
    <n v="3.6"/>
    <n v="0"/>
    <n v="4.4000000000000004"/>
    <n v="4000"/>
    <n v="7804.3"/>
    <n v="1"/>
    <n v="4.4000000000000004"/>
    <n v="4004.4"/>
    <x v="21"/>
  </r>
  <r>
    <x v="190"/>
    <x v="2"/>
    <n v="16.8"/>
    <n v="45.7"/>
    <n v="2.2000000000000002"/>
    <n v="0"/>
    <n v="1.1000000000000001"/>
    <n v="4000"/>
    <n v="4891.8"/>
    <n v="1"/>
    <n v="1.1000000000000001"/>
    <n v="4001.1"/>
    <x v="22"/>
  </r>
  <r>
    <x v="191"/>
    <x v="2"/>
    <n v="16"/>
    <n v="0"/>
    <n v="12.2"/>
    <n v="0"/>
    <n v="172.6"/>
    <n v="4000"/>
    <n v="4930.8999999999996"/>
    <n v="1"/>
    <n v="172.6"/>
    <n v="4172.6000000000004"/>
    <x v="23"/>
  </r>
  <r>
    <x v="192"/>
    <x v="2"/>
    <n v="16.2"/>
    <n v="60.6"/>
    <n v="2.5"/>
    <n v="0"/>
    <n v="1.5"/>
    <n v="4000"/>
    <n v="5113.3"/>
    <n v="1"/>
    <n v="1.5"/>
    <n v="4001.5"/>
    <x v="0"/>
  </r>
  <r>
    <x v="193"/>
    <x v="2"/>
    <n v="21"/>
    <n v="64.7"/>
    <n v="9.1"/>
    <n v="0"/>
    <n v="71.599999999999994"/>
    <n v="4000"/>
    <n v="5204.3999999999996"/>
    <n v="1"/>
    <n v="71.599999999999994"/>
    <n v="4071.6"/>
    <x v="1"/>
  </r>
  <r>
    <x v="194"/>
    <x v="2"/>
    <n v="15"/>
    <n v="47.6"/>
    <n v="6.4"/>
    <n v="0"/>
    <n v="25.1"/>
    <n v="4000"/>
    <n v="4976.3"/>
    <n v="1"/>
    <n v="25.1"/>
    <n v="4025.1"/>
    <x v="2"/>
  </r>
  <r>
    <x v="195"/>
    <x v="2"/>
    <n v="18"/>
    <n v="57.3"/>
    <n v="5.8"/>
    <n v="0"/>
    <n v="18.3"/>
    <n v="4000"/>
    <n v="4881.8"/>
    <n v="1"/>
    <n v="18.3"/>
    <n v="4018.3"/>
    <x v="3"/>
  </r>
  <r>
    <x v="196"/>
    <x v="2"/>
    <n v="17.399999999999999"/>
    <n v="38.5"/>
    <n v="2.1"/>
    <n v="0"/>
    <n v="0.9"/>
    <n v="4000"/>
    <n v="4957.8"/>
    <n v="1"/>
    <n v="0.9"/>
    <n v="4000.9"/>
    <x v="4"/>
  </r>
  <r>
    <x v="197"/>
    <x v="2"/>
    <n v="16.5"/>
    <n v="94.6"/>
    <n v="10.199999999999999"/>
    <n v="0"/>
    <n v="100.7"/>
    <n v="4000"/>
    <n v="5096.7"/>
    <n v="1"/>
    <n v="100.7"/>
    <n v="4100.7"/>
    <x v="5"/>
  </r>
  <r>
    <x v="198"/>
    <x v="2"/>
    <n v="16.8"/>
    <n v="49.2"/>
    <n v="5.8"/>
    <n v="270"/>
    <n v="18.8"/>
    <n v="4000"/>
    <n v="4904.7"/>
    <n v="1"/>
    <n v="288.8"/>
    <n v="4288.8"/>
    <x v="6"/>
  </r>
  <r>
    <x v="199"/>
    <x v="2"/>
    <n v="22.3"/>
    <n v="100"/>
    <n v="8"/>
    <n v="173.6"/>
    <n v="49.1"/>
    <n v="4000"/>
    <n v="4798.3999999999996"/>
    <n v="1"/>
    <n v="222.7"/>
    <n v="4222.7"/>
    <x v="7"/>
  </r>
  <r>
    <x v="200"/>
    <x v="2"/>
    <n v="21.3"/>
    <n v="50.2"/>
    <n v="5.4"/>
    <n v="746.3"/>
    <n v="14.8"/>
    <n v="4000"/>
    <n v="4811.3"/>
    <n v="1"/>
    <n v="761.09999999999991"/>
    <n v="4761.1000000000004"/>
    <x v="8"/>
  </r>
  <r>
    <x v="201"/>
    <x v="2"/>
    <n v="24.5"/>
    <n v="75.3"/>
    <n v="11.8"/>
    <n v="621.1"/>
    <n v="158"/>
    <n v="4000"/>
    <n v="5024.3999999999996"/>
    <n v="1"/>
    <n v="779.1"/>
    <n v="4779.1000000000004"/>
    <x v="9"/>
  </r>
  <r>
    <x v="202"/>
    <x v="2"/>
    <n v="26.2"/>
    <n v="54.5"/>
    <n v="4.9000000000000004"/>
    <n v="1016.2"/>
    <n v="11.5"/>
    <n v="4000"/>
    <n v="7272.3"/>
    <n v="1"/>
    <n v="1027.7"/>
    <n v="5027.7"/>
    <x v="10"/>
  </r>
  <r>
    <x v="203"/>
    <x v="2"/>
    <n v="25.6"/>
    <n v="61.4"/>
    <n v="6.2"/>
    <n v="992.8"/>
    <n v="22.4"/>
    <n v="4000"/>
    <n v="7327.1"/>
    <n v="1"/>
    <n v="1015.1999999999999"/>
    <n v="5015.2"/>
    <x v="11"/>
  </r>
  <r>
    <x v="204"/>
    <x v="2"/>
    <n v="24.3"/>
    <n v="69.7"/>
    <n v="5.8"/>
    <n v="885"/>
    <n v="18.899999999999999"/>
    <n v="4000"/>
    <n v="7074.7"/>
    <n v="1"/>
    <n v="903.9"/>
    <n v="4903.8999999999996"/>
    <x v="12"/>
  </r>
  <r>
    <x v="205"/>
    <x v="2"/>
    <n v="25.8"/>
    <n v="96.6"/>
    <n v="3.4"/>
    <n v="442.6"/>
    <n v="3.7"/>
    <n v="4000"/>
    <n v="7225"/>
    <n v="1"/>
    <n v="446.3"/>
    <n v="4446.3"/>
    <x v="13"/>
  </r>
  <r>
    <x v="206"/>
    <x v="2"/>
    <n v="22.8"/>
    <n v="73"/>
    <n v="7.4"/>
    <n v="749"/>
    <n v="39.299999999999997"/>
    <n v="4000"/>
    <n v="7406.8"/>
    <n v="1"/>
    <n v="788.3"/>
    <n v="4788.3"/>
    <x v="14"/>
  </r>
  <r>
    <x v="207"/>
    <x v="2"/>
    <n v="26.4"/>
    <n v="98.4"/>
    <n v="0"/>
    <n v="332.9"/>
    <n v="0"/>
    <n v="4000"/>
    <n v="4830.7"/>
    <n v="1"/>
    <n v="332.9"/>
    <n v="4332.8999999999996"/>
    <x v="15"/>
  </r>
  <r>
    <x v="208"/>
    <x v="2"/>
    <n v="19.5"/>
    <n v="31"/>
    <n v="10.9"/>
    <n v="937.4"/>
    <n v="123.9"/>
    <n v="3964.1"/>
    <n v="5025.3999999999996"/>
    <n v="0"/>
    <n v="1061.3"/>
    <n v="5025.3999999999996"/>
    <x v="16"/>
  </r>
  <r>
    <x v="209"/>
    <x v="2"/>
    <n v="20.9"/>
    <n v="54.1"/>
    <n v="12.2"/>
    <n v="492.5"/>
    <n v="174.5"/>
    <n v="4000"/>
    <n v="4862.7"/>
    <n v="1"/>
    <n v="667"/>
    <n v="4667"/>
    <x v="17"/>
  </r>
  <r>
    <x v="210"/>
    <x v="2"/>
    <n v="19.899999999999999"/>
    <n v="100"/>
    <n v="11.6"/>
    <n v="89"/>
    <n v="148.80000000000001"/>
    <n v="4000"/>
    <n v="7425.2"/>
    <n v="1"/>
    <n v="237.8"/>
    <n v="4237.8"/>
    <x v="18"/>
  </r>
  <r>
    <x v="211"/>
    <x v="2"/>
    <n v="18.2"/>
    <n v="100"/>
    <n v="10.8"/>
    <n v="0"/>
    <n v="120.4"/>
    <n v="4000"/>
    <n v="7684.5"/>
    <n v="1"/>
    <n v="120.4"/>
    <n v="4120.3999999999996"/>
    <x v="19"/>
  </r>
  <r>
    <x v="212"/>
    <x v="2"/>
    <n v="17.899999999999999"/>
    <n v="58.5"/>
    <n v="5.5"/>
    <n v="0"/>
    <n v="16.100000000000001"/>
    <n v="4000"/>
    <n v="7801.8"/>
    <n v="1"/>
    <n v="16.100000000000001"/>
    <n v="4016.1"/>
    <x v="20"/>
  </r>
  <r>
    <x v="213"/>
    <x v="2"/>
    <n v="21.4"/>
    <n v="86.4"/>
    <n v="2.8"/>
    <n v="0"/>
    <n v="2"/>
    <n v="4000"/>
    <n v="7749.6"/>
    <n v="1"/>
    <n v="2"/>
    <n v="4002"/>
    <x v="21"/>
  </r>
  <r>
    <x v="214"/>
    <x v="2"/>
    <n v="18.3"/>
    <n v="80.599999999999994"/>
    <n v="10.4"/>
    <n v="0"/>
    <n v="108"/>
    <n v="4000"/>
    <n v="5156.5"/>
    <n v="1"/>
    <n v="108"/>
    <n v="4108"/>
    <x v="22"/>
  </r>
  <r>
    <x v="215"/>
    <x v="2"/>
    <n v="17.100000000000001"/>
    <n v="44.1"/>
    <n v="1.3"/>
    <n v="0"/>
    <n v="0.2"/>
    <n v="4000"/>
    <n v="4783.3"/>
    <n v="1"/>
    <n v="0.2"/>
    <n v="4000.2"/>
    <x v="23"/>
  </r>
  <r>
    <x v="216"/>
    <x v="2"/>
    <n v="22"/>
    <n v="4.8"/>
    <n v="5.9"/>
    <n v="0"/>
    <n v="19.7"/>
    <n v="4000"/>
    <n v="5002"/>
    <n v="1"/>
    <n v="19.7"/>
    <n v="4019.7"/>
    <x v="0"/>
  </r>
  <r>
    <x v="217"/>
    <x v="2"/>
    <n v="17.399999999999999"/>
    <n v="56.6"/>
    <n v="2.1"/>
    <n v="0"/>
    <n v="0.9"/>
    <n v="4000"/>
    <n v="5046.1000000000004"/>
    <n v="1"/>
    <n v="0.9"/>
    <n v="4000.9"/>
    <x v="1"/>
  </r>
  <r>
    <x v="218"/>
    <x v="2"/>
    <n v="16.2"/>
    <n v="0"/>
    <n v="9.6"/>
    <n v="0"/>
    <n v="84.5"/>
    <n v="4000"/>
    <n v="4984.8999999999996"/>
    <n v="1"/>
    <n v="84.5"/>
    <n v="4084.5"/>
    <x v="2"/>
  </r>
  <r>
    <x v="219"/>
    <x v="2"/>
    <n v="18.600000000000001"/>
    <n v="66.900000000000006"/>
    <n v="9.1999999999999993"/>
    <n v="0"/>
    <n v="75.3"/>
    <n v="4000"/>
    <n v="5093.8"/>
    <n v="1"/>
    <n v="75.3"/>
    <n v="4075.3"/>
    <x v="3"/>
  </r>
  <r>
    <x v="220"/>
    <x v="2"/>
    <n v="21.3"/>
    <n v="51.1"/>
    <n v="9.9"/>
    <n v="0"/>
    <n v="94.2"/>
    <n v="4000"/>
    <n v="4983.7"/>
    <n v="1"/>
    <n v="94.2"/>
    <n v="4094.2"/>
    <x v="4"/>
  </r>
  <r>
    <x v="221"/>
    <x v="2"/>
    <n v="21.1"/>
    <n v="21.9"/>
    <n v="6.9"/>
    <n v="0"/>
    <n v="31"/>
    <n v="4000"/>
    <n v="4998.1000000000004"/>
    <n v="1"/>
    <n v="31"/>
    <n v="4031"/>
    <x v="5"/>
  </r>
  <r>
    <x v="222"/>
    <x v="2"/>
    <n v="20.7"/>
    <n v="35.5"/>
    <n v="2.8"/>
    <n v="318.5"/>
    <n v="2.1"/>
    <n v="4000"/>
    <n v="4825.2"/>
    <n v="1"/>
    <n v="320.60000000000002"/>
    <n v="4320.6000000000004"/>
    <x v="6"/>
  </r>
  <r>
    <x v="223"/>
    <x v="2"/>
    <n v="26"/>
    <n v="100"/>
    <n v="2.2999999999999998"/>
    <n v="173.6"/>
    <n v="1.2"/>
    <n v="4000"/>
    <n v="5268.7"/>
    <n v="1"/>
    <n v="174.79999999999998"/>
    <n v="4174.8"/>
    <x v="7"/>
  </r>
  <r>
    <x v="224"/>
    <x v="2"/>
    <n v="21.9"/>
    <n v="39.1"/>
    <n v="3.2"/>
    <n v="856.6"/>
    <n v="3.3"/>
    <n v="4000"/>
    <n v="4960.7"/>
    <n v="1"/>
    <n v="859.9"/>
    <n v="4859.8999999999996"/>
    <x v="8"/>
  </r>
  <r>
    <x v="225"/>
    <x v="2"/>
    <n v="24.7"/>
    <n v="92.1"/>
    <n v="7.8"/>
    <n v="412.2"/>
    <n v="45.8"/>
    <n v="4000"/>
    <n v="5135.8999999999996"/>
    <n v="1"/>
    <n v="458"/>
    <n v="4458"/>
    <x v="9"/>
  </r>
  <r>
    <x v="226"/>
    <x v="2"/>
    <n v="23.4"/>
    <n v="97.8"/>
    <n v="9.4"/>
    <n v="392.4"/>
    <n v="80.7"/>
    <n v="4000"/>
    <n v="7495.5"/>
    <n v="1"/>
    <n v="473.09999999999997"/>
    <n v="4473.1000000000004"/>
    <x v="10"/>
  </r>
  <r>
    <x v="227"/>
    <x v="2"/>
    <n v="28.8"/>
    <n v="70.099999999999994"/>
    <n v="5.3"/>
    <n v="856.6"/>
    <n v="14.4"/>
    <n v="4000"/>
    <n v="7004"/>
    <n v="1"/>
    <n v="871"/>
    <n v="4871"/>
    <x v="11"/>
  </r>
  <r>
    <x v="228"/>
    <x v="2"/>
    <n v="25.6"/>
    <n v="100"/>
    <n v="6"/>
    <n v="400"/>
    <n v="20.8"/>
    <n v="4000"/>
    <n v="7026.4"/>
    <n v="1"/>
    <n v="420.8"/>
    <n v="4420.8"/>
    <x v="12"/>
  </r>
  <r>
    <x v="229"/>
    <x v="2"/>
    <n v="25.2"/>
    <n v="36.6"/>
    <n v="9.1999999999999993"/>
    <n v="1378.9"/>
    <n v="75.900000000000006"/>
    <n v="4000"/>
    <n v="7267.3"/>
    <n v="1"/>
    <n v="1454.8000000000002"/>
    <n v="5454.8"/>
    <x v="13"/>
  </r>
  <r>
    <x v="230"/>
    <x v="2"/>
    <n v="25.5"/>
    <n v="61"/>
    <n v="6.3"/>
    <n v="922.3"/>
    <n v="24.4"/>
    <n v="4000"/>
    <n v="6947.6"/>
    <n v="1"/>
    <n v="946.69999999999993"/>
    <n v="4946.7"/>
    <x v="14"/>
  </r>
  <r>
    <x v="231"/>
    <x v="2"/>
    <n v="26.3"/>
    <n v="80.8"/>
    <n v="8.1999999999999993"/>
    <n v="553.1"/>
    <n v="53"/>
    <n v="4000"/>
    <n v="4923.1000000000004"/>
    <n v="1"/>
    <n v="606.1"/>
    <n v="4606.1000000000004"/>
    <x v="15"/>
  </r>
  <r>
    <x v="232"/>
    <x v="2"/>
    <n v="23.9"/>
    <n v="95.8"/>
    <n v="8.6999999999999993"/>
    <n v="290.89999999999998"/>
    <n v="62.9"/>
    <n v="4000"/>
    <n v="4802.1000000000004"/>
    <n v="1"/>
    <n v="353.79999999999995"/>
    <n v="4353.8"/>
    <x v="16"/>
  </r>
  <r>
    <x v="233"/>
    <x v="2"/>
    <n v="24"/>
    <n v="0.7"/>
    <n v="6.1"/>
    <n v="863.2"/>
    <n v="22.2"/>
    <n v="3858.7"/>
    <n v="4744.1000000000004"/>
    <n v="0"/>
    <n v="885.40000000000009"/>
    <n v="4744.1000000000004"/>
    <x v="17"/>
  </r>
  <r>
    <x v="234"/>
    <x v="2"/>
    <n v="20.100000000000001"/>
    <n v="35"/>
    <n v="8.3000000000000007"/>
    <n v="320.5"/>
    <n v="54.7"/>
    <n v="4000"/>
    <n v="7984.7"/>
    <n v="1"/>
    <n v="375.2"/>
    <n v="4375.2"/>
    <x v="18"/>
  </r>
  <r>
    <x v="235"/>
    <x v="2"/>
    <n v="19.399999999999999"/>
    <n v="77.900000000000006"/>
    <n v="4.0999999999999996"/>
    <n v="0"/>
    <n v="6.6"/>
    <n v="4000"/>
    <n v="7468.6"/>
    <n v="1"/>
    <n v="6.6"/>
    <n v="4006.6"/>
    <x v="19"/>
  </r>
  <r>
    <x v="236"/>
    <x v="2"/>
    <n v="21"/>
    <n v="72.599999999999994"/>
    <n v="6.8"/>
    <n v="0"/>
    <n v="30.2"/>
    <n v="4000"/>
    <n v="7664.6"/>
    <n v="1"/>
    <n v="30.2"/>
    <n v="4030.2"/>
    <x v="20"/>
  </r>
  <r>
    <x v="237"/>
    <x v="2"/>
    <n v="19.2"/>
    <n v="56.3"/>
    <n v="7.4"/>
    <n v="0"/>
    <n v="38.5"/>
    <n v="4000"/>
    <n v="7649.1"/>
    <n v="1"/>
    <n v="38.5"/>
    <n v="4038.5"/>
    <x v="21"/>
  </r>
  <r>
    <x v="238"/>
    <x v="2"/>
    <n v="17.3"/>
    <n v="30.3"/>
    <n v="5.9"/>
    <n v="0"/>
    <n v="19.7"/>
    <n v="4000"/>
    <n v="4875.5"/>
    <n v="1"/>
    <n v="19.7"/>
    <n v="4019.7"/>
    <x v="22"/>
  </r>
  <r>
    <x v="239"/>
    <x v="2"/>
    <n v="14.9"/>
    <n v="67.8"/>
    <n v="6.6"/>
    <n v="0"/>
    <n v="28.1"/>
    <n v="4000"/>
    <n v="4828.3"/>
    <n v="1"/>
    <n v="28.1"/>
    <n v="4028.1"/>
    <x v="23"/>
  </r>
  <r>
    <x v="240"/>
    <x v="2"/>
    <n v="16.100000000000001"/>
    <n v="72.2"/>
    <n v="7.7"/>
    <n v="0"/>
    <n v="43"/>
    <n v="4000"/>
    <n v="5067.3999999999996"/>
    <n v="1"/>
    <n v="43"/>
    <n v="4043"/>
    <x v="0"/>
  </r>
  <r>
    <x v="241"/>
    <x v="2"/>
    <n v="15.5"/>
    <n v="64.5"/>
    <n v="7.1"/>
    <n v="0"/>
    <n v="34.200000000000003"/>
    <n v="4000"/>
    <n v="5016.7"/>
    <n v="1"/>
    <n v="34.200000000000003"/>
    <n v="4034.2"/>
    <x v="1"/>
  </r>
  <r>
    <x v="242"/>
    <x v="2"/>
    <n v="13.5"/>
    <n v="64.8"/>
    <n v="12.6"/>
    <n v="0"/>
    <n v="193.8"/>
    <n v="4000"/>
    <n v="4951.1000000000004"/>
    <n v="1"/>
    <n v="193.8"/>
    <n v="4193.8"/>
    <x v="2"/>
  </r>
  <r>
    <x v="243"/>
    <x v="2"/>
    <n v="17"/>
    <n v="71.2"/>
    <n v="6.9"/>
    <n v="0"/>
    <n v="32"/>
    <n v="4000"/>
    <n v="4896"/>
    <n v="1"/>
    <n v="32"/>
    <n v="4032"/>
    <x v="3"/>
  </r>
  <r>
    <x v="244"/>
    <x v="2"/>
    <n v="17"/>
    <n v="81.900000000000006"/>
    <n v="7.8"/>
    <n v="0"/>
    <n v="45.1"/>
    <n v="4000"/>
    <n v="5128.8999999999996"/>
    <n v="1"/>
    <n v="45.1"/>
    <n v="4045.1"/>
    <x v="4"/>
  </r>
  <r>
    <x v="245"/>
    <x v="2"/>
    <n v="21.4"/>
    <n v="90.9"/>
    <n v="8.6"/>
    <n v="0"/>
    <n v="61.4"/>
    <n v="4000"/>
    <n v="4928.7"/>
    <n v="1"/>
    <n v="61.4"/>
    <n v="4061.4"/>
    <x v="5"/>
  </r>
  <r>
    <x v="246"/>
    <x v="2"/>
    <n v="23.6"/>
    <n v="58.1"/>
    <n v="6.2"/>
    <n v="238.3"/>
    <n v="23.1"/>
    <n v="4000"/>
    <n v="4778.5"/>
    <n v="1"/>
    <n v="261.40000000000003"/>
    <n v="4261.3999999999996"/>
    <x v="6"/>
  </r>
  <r>
    <x v="247"/>
    <x v="2"/>
    <n v="23"/>
    <n v="95.8"/>
    <n v="5.7"/>
    <n v="203"/>
    <n v="18.2"/>
    <n v="4000"/>
    <n v="4961"/>
    <n v="1"/>
    <n v="221.2"/>
    <n v="4221.2"/>
    <x v="7"/>
  </r>
  <r>
    <x v="248"/>
    <x v="2"/>
    <n v="23.7"/>
    <n v="65.400000000000006"/>
    <n v="9.6999999999999993"/>
    <n v="595"/>
    <n v="87.3"/>
    <n v="4000"/>
    <n v="4782.1000000000004"/>
    <n v="1"/>
    <n v="682.3"/>
    <n v="4682.3"/>
    <x v="8"/>
  </r>
  <r>
    <x v="249"/>
    <x v="2"/>
    <n v="23.8"/>
    <n v="100"/>
    <n v="6.8"/>
    <n v="312.7"/>
    <n v="30.1"/>
    <n v="4000"/>
    <n v="5040.5"/>
    <n v="1"/>
    <n v="342.8"/>
    <n v="4342.8"/>
    <x v="9"/>
  </r>
  <r>
    <x v="250"/>
    <x v="2"/>
    <n v="26"/>
    <n v="76"/>
    <n v="8.5"/>
    <n v="706.3"/>
    <n v="59.3"/>
    <n v="4000"/>
    <n v="7341.3"/>
    <n v="1"/>
    <n v="765.59999999999991"/>
    <n v="4765.6000000000004"/>
    <x v="10"/>
  </r>
  <r>
    <x v="251"/>
    <x v="2"/>
    <n v="28.9"/>
    <n v="86.2"/>
    <n v="5.0999999999999996"/>
    <n v="605.79999999999995"/>
    <n v="12.4"/>
    <n v="4000"/>
    <n v="7332.7"/>
    <n v="1"/>
    <n v="618.19999999999993"/>
    <n v="4618.2"/>
    <x v="11"/>
  </r>
  <r>
    <x v="252"/>
    <x v="2"/>
    <n v="27.7"/>
    <n v="88"/>
    <n v="5.3"/>
    <n v="592.1"/>
    <n v="14.6"/>
    <n v="4000"/>
    <n v="7064.2"/>
    <n v="1"/>
    <n v="606.70000000000005"/>
    <n v="4606.7"/>
    <x v="12"/>
  </r>
  <r>
    <x v="253"/>
    <x v="2"/>
    <n v="29.7"/>
    <n v="32.5"/>
    <n v="3.5"/>
    <n v="1442.7"/>
    <n v="4.0999999999999996"/>
    <n v="4000"/>
    <n v="7309.8"/>
    <n v="1"/>
    <n v="1446.8"/>
    <n v="5446.8"/>
    <x v="13"/>
  </r>
  <r>
    <x v="254"/>
    <x v="2"/>
    <n v="26.9"/>
    <n v="44.3"/>
    <n v="10.1"/>
    <n v="1163.9000000000001"/>
    <n v="97.6"/>
    <n v="4000"/>
    <n v="7128.9"/>
    <n v="1"/>
    <n v="1261.5"/>
    <n v="5261.5"/>
    <x v="14"/>
  </r>
  <r>
    <x v="255"/>
    <x v="2"/>
    <n v="25.6"/>
    <n v="16.899999999999999"/>
    <n v="2.1"/>
    <n v="1352"/>
    <n v="0.8"/>
    <n v="3660.8"/>
    <n v="5013.6000000000004"/>
    <n v="0"/>
    <n v="1352.8"/>
    <n v="5013.6000000000004"/>
    <x v="15"/>
  </r>
  <r>
    <x v="256"/>
    <x v="2"/>
    <n v="20.2"/>
    <n v="90.4"/>
    <n v="5.5"/>
    <n v="345.4"/>
    <n v="16.2"/>
    <n v="4000"/>
    <n v="4992.2"/>
    <n v="1"/>
    <n v="361.59999999999997"/>
    <n v="4361.6000000000004"/>
    <x v="16"/>
  </r>
  <r>
    <x v="257"/>
    <x v="2"/>
    <n v="27.9"/>
    <n v="54.6"/>
    <n v="5.7"/>
    <n v="489"/>
    <n v="17.600000000000001"/>
    <n v="4000"/>
    <n v="5436.5"/>
    <n v="1"/>
    <n v="506.6"/>
    <n v="4506.6000000000004"/>
    <x v="17"/>
  </r>
  <r>
    <x v="258"/>
    <x v="2"/>
    <n v="25.4"/>
    <n v="10.9"/>
    <n v="0.6"/>
    <n v="406.4"/>
    <n v="0"/>
    <n v="4000"/>
    <n v="7849.3"/>
    <n v="1"/>
    <n v="406.4"/>
    <n v="4406.3999999999996"/>
    <x v="18"/>
  </r>
  <r>
    <x v="259"/>
    <x v="2"/>
    <n v="21.9"/>
    <n v="74.900000000000006"/>
    <n v="9.1999999999999993"/>
    <n v="0"/>
    <n v="75"/>
    <n v="4000"/>
    <n v="7606.7"/>
    <n v="1"/>
    <n v="75"/>
    <n v="4075"/>
    <x v="19"/>
  </r>
  <r>
    <x v="260"/>
    <x v="2"/>
    <n v="14.9"/>
    <n v="85.7"/>
    <n v="3.5"/>
    <n v="0"/>
    <n v="4.2"/>
    <n v="4000"/>
    <n v="7520"/>
    <n v="1"/>
    <n v="4.2"/>
    <n v="4004.2"/>
    <x v="20"/>
  </r>
  <r>
    <x v="261"/>
    <x v="2"/>
    <n v="18.8"/>
    <n v="83.8"/>
    <n v="5.6"/>
    <n v="0"/>
    <n v="17.2"/>
    <n v="4000"/>
    <n v="7397.2"/>
    <n v="1"/>
    <n v="17.2"/>
    <n v="4017.2"/>
    <x v="21"/>
  </r>
  <r>
    <x v="262"/>
    <x v="2"/>
    <n v="17.399999999999999"/>
    <n v="48.9"/>
    <n v="2"/>
    <n v="0"/>
    <n v="0.7"/>
    <n v="4000"/>
    <n v="4881.3"/>
    <n v="1"/>
    <n v="0.7"/>
    <n v="4000.7"/>
    <x v="22"/>
  </r>
  <r>
    <x v="263"/>
    <x v="2"/>
    <n v="18.2"/>
    <n v="69.7"/>
    <n v="6.5"/>
    <n v="0"/>
    <n v="26.4"/>
    <n v="4000"/>
    <n v="4842.8"/>
    <n v="1"/>
    <n v="26.4"/>
    <n v="4026.4"/>
    <x v="23"/>
  </r>
  <r>
    <x v="264"/>
    <x v="2"/>
    <n v="16.600000000000001"/>
    <n v="0"/>
    <n v="6.5"/>
    <n v="0"/>
    <n v="26.8"/>
    <n v="4000"/>
    <n v="4170.7"/>
    <n v="1"/>
    <n v="26.8"/>
    <n v="4026.8"/>
    <x v="0"/>
  </r>
  <r>
    <x v="265"/>
    <x v="2"/>
    <n v="14.2"/>
    <n v="42.4"/>
    <n v="7"/>
    <n v="0"/>
    <n v="32.700000000000003"/>
    <n v="4000"/>
    <n v="4534.3"/>
    <n v="1"/>
    <n v="32.700000000000003"/>
    <n v="4032.7"/>
    <x v="1"/>
  </r>
  <r>
    <x v="266"/>
    <x v="2"/>
    <n v="16.8"/>
    <n v="39.200000000000003"/>
    <n v="0.1"/>
    <n v="0"/>
    <n v="0"/>
    <n v="4000"/>
    <n v="4507.8999999999996"/>
    <n v="1"/>
    <n v="0"/>
    <n v="4000"/>
    <x v="2"/>
  </r>
  <r>
    <x v="267"/>
    <x v="2"/>
    <n v="22.5"/>
    <n v="68.3"/>
    <n v="5.9"/>
    <n v="0"/>
    <n v="20.100000000000001"/>
    <n v="4000"/>
    <n v="4335.5"/>
    <n v="1"/>
    <n v="20.100000000000001"/>
    <n v="4020.1"/>
    <x v="3"/>
  </r>
  <r>
    <x v="268"/>
    <x v="2"/>
    <n v="19.5"/>
    <n v="35.6"/>
    <n v="8.5"/>
    <n v="0"/>
    <n v="58.3"/>
    <n v="4000"/>
    <n v="4368.3"/>
    <n v="1"/>
    <n v="58.3"/>
    <n v="4058.3"/>
    <x v="4"/>
  </r>
  <r>
    <x v="269"/>
    <x v="2"/>
    <n v="20.7"/>
    <n v="30.7"/>
    <n v="9.9"/>
    <n v="0"/>
    <n v="93.4"/>
    <n v="4000"/>
    <n v="4353.8999999999996"/>
    <n v="1"/>
    <n v="93.4"/>
    <n v="4093.4"/>
    <x v="5"/>
  </r>
  <r>
    <x v="270"/>
    <x v="2"/>
    <n v="20.9"/>
    <n v="90.1"/>
    <n v="4.5"/>
    <n v="124.4"/>
    <n v="8.8000000000000007"/>
    <n v="4000"/>
    <n v="4419.7"/>
    <n v="1"/>
    <n v="133.20000000000002"/>
    <n v="4133.2"/>
    <x v="6"/>
  </r>
  <r>
    <x v="271"/>
    <x v="2"/>
    <n v="21.8"/>
    <n v="6.9"/>
    <n v="7.4"/>
    <n v="820.1"/>
    <n v="39.1"/>
    <n v="3343.5"/>
    <n v="4202.7"/>
    <n v="0"/>
    <n v="859.2"/>
    <n v="4202.7"/>
    <x v="7"/>
  </r>
  <r>
    <x v="272"/>
    <x v="2"/>
    <n v="22"/>
    <n v="0"/>
    <n v="5.7"/>
    <n v="1247"/>
    <n v="18.2"/>
    <n v="2780.1"/>
    <n v="4045.3"/>
    <n v="0"/>
    <n v="1265.2"/>
    <n v="4045.3"/>
    <x v="8"/>
  </r>
  <r>
    <x v="273"/>
    <x v="2"/>
    <n v="24.9"/>
    <n v="28.7"/>
    <n v="2.5"/>
    <n v="1204.4000000000001"/>
    <n v="1.5"/>
    <n v="3091.6"/>
    <n v="4297.5"/>
    <n v="0"/>
    <n v="1205.9000000000001"/>
    <n v="4297.5"/>
    <x v="9"/>
  </r>
  <r>
    <x v="274"/>
    <x v="2"/>
    <n v="25.2"/>
    <n v="69.5"/>
    <n v="3.3"/>
    <n v="800.2"/>
    <n v="3.6"/>
    <n v="4000"/>
    <n v="6309.7"/>
    <n v="1"/>
    <n v="803.80000000000007"/>
    <n v="4803.8"/>
    <x v="10"/>
  </r>
  <r>
    <x v="275"/>
    <x v="2"/>
    <n v="29.4"/>
    <n v="77.599999999999994"/>
    <n v="4.8"/>
    <n v="739.6"/>
    <n v="10.4"/>
    <n v="4000"/>
    <n v="6267.2"/>
    <n v="1"/>
    <n v="750"/>
    <n v="4750"/>
    <x v="11"/>
  </r>
  <r>
    <x v="276"/>
    <x v="2"/>
    <n v="26.5"/>
    <n v="60.2"/>
    <n v="5"/>
    <n v="1036.2"/>
    <n v="12.2"/>
    <n v="4000"/>
    <n v="6278.6"/>
    <n v="1"/>
    <n v="1048.4000000000001"/>
    <n v="5048.3999999999996"/>
    <x v="12"/>
  </r>
  <r>
    <x v="277"/>
    <x v="2"/>
    <n v="27.3"/>
    <n v="30.2"/>
    <n v="3"/>
    <n v="1478.8"/>
    <n v="2.5"/>
    <n v="4000"/>
    <n v="6215.3"/>
    <n v="1"/>
    <n v="1481.3"/>
    <n v="5481.3"/>
    <x v="13"/>
  </r>
  <r>
    <x v="278"/>
    <x v="2"/>
    <n v="23.1"/>
    <n v="23.5"/>
    <n v="6.5"/>
    <n v="1463.4"/>
    <n v="26.1"/>
    <n v="4000"/>
    <n v="6031.7"/>
    <n v="1"/>
    <n v="1489.5"/>
    <n v="5489.5"/>
    <x v="14"/>
  </r>
  <r>
    <x v="279"/>
    <x v="2"/>
    <n v="26.6"/>
    <n v="61"/>
    <n v="0.1"/>
    <n v="800.1"/>
    <n v="0"/>
    <n v="3386"/>
    <n v="4186.1000000000004"/>
    <n v="0"/>
    <n v="800.1"/>
    <n v="4186.1000000000004"/>
    <x v="15"/>
  </r>
  <r>
    <x v="280"/>
    <x v="2"/>
    <n v="26.1"/>
    <n v="30.2"/>
    <n v="7.3"/>
    <n v="945.9"/>
    <n v="36.700000000000003"/>
    <n v="3435.6"/>
    <n v="4418.2"/>
    <n v="0"/>
    <n v="982.6"/>
    <n v="4418.2"/>
    <x v="16"/>
  </r>
  <r>
    <x v="281"/>
    <x v="2"/>
    <n v="23.5"/>
    <n v="22.1"/>
    <n v="0.6"/>
    <n v="714.6"/>
    <n v="0"/>
    <n v="3476.9"/>
    <n v="4191.5"/>
    <n v="0"/>
    <n v="714.6"/>
    <n v="4191.5"/>
    <x v="17"/>
  </r>
  <r>
    <x v="282"/>
    <x v="2"/>
    <n v="21.8"/>
    <n v="48.1"/>
    <n v="2.4"/>
    <n v="273.89999999999998"/>
    <n v="1.4"/>
    <n v="4000"/>
    <n v="6662.6"/>
    <n v="1"/>
    <n v="275.29999999999995"/>
    <n v="4275.3"/>
    <x v="18"/>
  </r>
  <r>
    <x v="283"/>
    <x v="2"/>
    <n v="21.2"/>
    <n v="58.7"/>
    <n v="6.5"/>
    <n v="0"/>
    <n v="26.9"/>
    <n v="4000"/>
    <n v="6660"/>
    <n v="1"/>
    <n v="26.9"/>
    <n v="4026.9"/>
    <x v="19"/>
  </r>
  <r>
    <x v="284"/>
    <x v="2"/>
    <n v="21.8"/>
    <n v="24.7"/>
    <n v="7.5"/>
    <n v="0"/>
    <n v="39.9"/>
    <n v="4000"/>
    <n v="6619.5"/>
    <n v="1"/>
    <n v="39.9"/>
    <n v="4039.9"/>
    <x v="20"/>
  </r>
  <r>
    <x v="285"/>
    <x v="2"/>
    <n v="19.399999999999999"/>
    <n v="53.9"/>
    <n v="4.4000000000000004"/>
    <n v="0"/>
    <n v="8.3000000000000007"/>
    <n v="4000"/>
    <n v="6897.3"/>
    <n v="1"/>
    <n v="8.3000000000000007"/>
    <n v="4008.3"/>
    <x v="21"/>
  </r>
  <r>
    <x v="286"/>
    <x v="2"/>
    <n v="14.8"/>
    <n v="30.9"/>
    <n v="4.8"/>
    <n v="0"/>
    <n v="10.7"/>
    <n v="4000"/>
    <n v="4475.3999999999996"/>
    <n v="1"/>
    <n v="10.7"/>
    <n v="4010.7"/>
    <x v="22"/>
  </r>
  <r>
    <x v="287"/>
    <x v="2"/>
    <n v="17.899999999999999"/>
    <n v="31"/>
    <n v="5.0999999999999996"/>
    <n v="0"/>
    <n v="12.5"/>
    <n v="4000"/>
    <n v="4505.6000000000004"/>
    <n v="1"/>
    <n v="12.5"/>
    <n v="4012.5"/>
    <x v="23"/>
  </r>
  <r>
    <x v="288"/>
    <x v="2"/>
    <n v="15.6"/>
    <n v="89.4"/>
    <n v="1.9"/>
    <n v="0"/>
    <n v="0.6"/>
    <n v="4000"/>
    <n v="4227.8999999999996"/>
    <n v="1"/>
    <n v="0.6"/>
    <n v="4000.6"/>
    <x v="0"/>
  </r>
  <r>
    <x v="289"/>
    <x v="2"/>
    <n v="18.8"/>
    <n v="92.7"/>
    <n v="4.5999999999999996"/>
    <n v="0"/>
    <n v="9.4"/>
    <n v="4000"/>
    <n v="4561.3"/>
    <n v="1"/>
    <n v="9.4"/>
    <n v="4009.4"/>
    <x v="1"/>
  </r>
  <r>
    <x v="290"/>
    <x v="2"/>
    <n v="14.8"/>
    <n v="44.3"/>
    <n v="7.5"/>
    <n v="0"/>
    <n v="40.200000000000003"/>
    <n v="4000"/>
    <n v="4297.5"/>
    <n v="1"/>
    <n v="40.200000000000003"/>
    <n v="4040.2"/>
    <x v="2"/>
  </r>
  <r>
    <x v="291"/>
    <x v="2"/>
    <n v="16.3"/>
    <n v="49"/>
    <n v="5.5"/>
    <n v="0"/>
    <n v="16.399999999999999"/>
    <n v="4000"/>
    <n v="4514.3999999999996"/>
    <n v="1"/>
    <n v="16.399999999999999"/>
    <n v="4016.4"/>
    <x v="3"/>
  </r>
  <r>
    <x v="292"/>
    <x v="2"/>
    <n v="20.7"/>
    <n v="38.299999999999997"/>
    <n v="5.4"/>
    <n v="0"/>
    <n v="15.2"/>
    <n v="4000"/>
    <n v="4110.6000000000004"/>
    <n v="1"/>
    <n v="15.2"/>
    <n v="4015.2"/>
    <x v="4"/>
  </r>
  <r>
    <x v="293"/>
    <x v="2"/>
    <n v="19.100000000000001"/>
    <n v="59.8"/>
    <n v="5.4"/>
    <n v="0"/>
    <n v="14.7"/>
    <n v="4000"/>
    <n v="4252.2"/>
    <n v="1"/>
    <n v="14.7"/>
    <n v="4014.7"/>
    <x v="5"/>
  </r>
  <r>
    <x v="294"/>
    <x v="2"/>
    <n v="20.5"/>
    <n v="69.599999999999994"/>
    <n v="11"/>
    <n v="197.3"/>
    <n v="126.4"/>
    <n v="3940.5"/>
    <n v="4264.2"/>
    <n v="0"/>
    <n v="323.70000000000005"/>
    <n v="4264.2"/>
    <x v="6"/>
  </r>
  <r>
    <x v="295"/>
    <x v="2"/>
    <n v="25.3"/>
    <n v="18.3"/>
    <n v="6.5"/>
    <n v="740.8"/>
    <n v="26"/>
    <n v="3574.2"/>
    <n v="4341"/>
    <n v="0"/>
    <n v="766.8"/>
    <n v="4341"/>
    <x v="7"/>
  </r>
  <r>
    <x v="296"/>
    <x v="2"/>
    <n v="21.5"/>
    <n v="37.799999999999997"/>
    <n v="9.6"/>
    <n v="869.7"/>
    <n v="84.3"/>
    <n v="3201.4"/>
    <n v="4155.3999999999996"/>
    <n v="0"/>
    <n v="954"/>
    <n v="4155.3999999999996"/>
    <x v="8"/>
  </r>
  <r>
    <x v="297"/>
    <x v="2"/>
    <n v="26"/>
    <n v="14"/>
    <n v="5.4"/>
    <n v="1388.3"/>
    <n v="15.2"/>
    <n v="3059"/>
    <n v="4462.5"/>
    <n v="0"/>
    <n v="1403.5"/>
    <n v="4462.5"/>
    <x v="9"/>
  </r>
  <r>
    <x v="298"/>
    <x v="2"/>
    <n v="26.7"/>
    <n v="4.7"/>
    <n v="3.3"/>
    <n v="1734.4"/>
    <n v="3.5"/>
    <n v="4000"/>
    <n v="6285.3"/>
    <n v="1"/>
    <n v="1737.9"/>
    <n v="5737.9"/>
    <x v="10"/>
  </r>
  <r>
    <x v="299"/>
    <x v="2"/>
    <n v="27.9"/>
    <n v="0"/>
    <n v="5.5"/>
    <n v="1949.9"/>
    <n v="16.100000000000001"/>
    <n v="4000"/>
    <n v="6230.4"/>
    <n v="1"/>
    <n v="1966"/>
    <n v="5966"/>
    <x v="11"/>
  </r>
  <r>
    <x v="300"/>
    <x v="2"/>
    <n v="28.7"/>
    <n v="80.8"/>
    <n v="7.7"/>
    <n v="707.4"/>
    <n v="44.6"/>
    <n v="4000"/>
    <n v="6261.5"/>
    <n v="1"/>
    <n v="752"/>
    <n v="4752"/>
    <x v="12"/>
  </r>
  <r>
    <x v="301"/>
    <x v="2"/>
    <n v="23"/>
    <n v="48.2"/>
    <n v="9"/>
    <n v="1197.9000000000001"/>
    <n v="70.099999999999994"/>
    <n v="4000"/>
    <n v="6120"/>
    <n v="1"/>
    <n v="1268"/>
    <n v="5268"/>
    <x v="13"/>
  </r>
  <r>
    <x v="302"/>
    <x v="2"/>
    <n v="27.8"/>
    <n v="72.900000000000006"/>
    <n v="7.1"/>
    <n v="751.3"/>
    <n v="34.9"/>
    <n v="4000"/>
    <n v="6449"/>
    <n v="1"/>
    <n v="786.19999999999993"/>
    <n v="4786.2"/>
    <x v="14"/>
  </r>
  <r>
    <x v="303"/>
    <x v="2"/>
    <n v="25.3"/>
    <n v="100"/>
    <n v="3.2"/>
    <n v="312.7"/>
    <n v="3.1"/>
    <n v="3920.8"/>
    <n v="4236.6000000000004"/>
    <n v="0"/>
    <n v="315.8"/>
    <n v="4236.6000000000004"/>
    <x v="15"/>
  </r>
  <r>
    <x v="304"/>
    <x v="2"/>
    <n v="23.9"/>
    <n v="99.8"/>
    <n v="1.8"/>
    <n v="251.8"/>
    <n v="0.5"/>
    <n v="4000"/>
    <n v="4562.2"/>
    <n v="1"/>
    <n v="252.3"/>
    <n v="4252.3"/>
    <x v="16"/>
  </r>
  <r>
    <x v="305"/>
    <x v="2"/>
    <n v="21.8"/>
    <n v="17.5"/>
    <n v="6.7"/>
    <n v="746"/>
    <n v="28.3"/>
    <n v="3633.6"/>
    <n v="4407.8999999999996"/>
    <n v="0"/>
    <n v="774.3"/>
    <n v="4407.8999999999996"/>
    <x v="17"/>
  </r>
  <r>
    <x v="306"/>
    <x v="2"/>
    <n v="20.3"/>
    <n v="15"/>
    <n v="5.7"/>
    <n v="391.5"/>
    <n v="18"/>
    <n v="4000"/>
    <n v="6871.4"/>
    <n v="1"/>
    <n v="409.5"/>
    <n v="4409.5"/>
    <x v="18"/>
  </r>
  <r>
    <x v="307"/>
    <x v="2"/>
    <n v="21.8"/>
    <n v="88.5"/>
    <n v="5.8"/>
    <n v="0"/>
    <n v="18.899999999999999"/>
    <n v="4000"/>
    <n v="6706.9"/>
    <n v="1"/>
    <n v="18.899999999999999"/>
    <n v="4018.9"/>
    <x v="19"/>
  </r>
  <r>
    <x v="308"/>
    <x v="2"/>
    <n v="19.899999999999999"/>
    <n v="49.6"/>
    <n v="1.2"/>
    <n v="0"/>
    <n v="0.2"/>
    <n v="4000"/>
    <n v="6998.3"/>
    <n v="1"/>
    <n v="0.2"/>
    <n v="4000.2"/>
    <x v="20"/>
  </r>
  <r>
    <x v="309"/>
    <x v="2"/>
    <n v="17.8"/>
    <n v="88.8"/>
    <n v="7.4"/>
    <n v="0"/>
    <n v="38.700000000000003"/>
    <n v="4000"/>
    <n v="6680.6"/>
    <n v="1"/>
    <n v="38.700000000000003"/>
    <n v="4038.7"/>
    <x v="21"/>
  </r>
  <r>
    <x v="310"/>
    <x v="2"/>
    <n v="18"/>
    <n v="80.099999999999994"/>
    <n v="10.6"/>
    <n v="0"/>
    <n v="113.8"/>
    <n v="4000"/>
    <n v="4143.1000000000004"/>
    <n v="1"/>
    <n v="113.8"/>
    <n v="4113.8"/>
    <x v="22"/>
  </r>
  <r>
    <x v="311"/>
    <x v="2"/>
    <n v="18.7"/>
    <n v="61.8"/>
    <n v="7.2"/>
    <n v="0"/>
    <n v="35.299999999999997"/>
    <n v="4000"/>
    <n v="4453.1000000000004"/>
    <n v="1"/>
    <n v="35.299999999999997"/>
    <n v="4035.3"/>
    <x v="23"/>
  </r>
  <r>
    <x v="312"/>
    <x v="2"/>
    <n v="14.3"/>
    <n v="49.5"/>
    <n v="3.7"/>
    <n v="0"/>
    <n v="4.8"/>
    <n v="4000"/>
    <n v="5137.3999999999996"/>
    <n v="1"/>
    <n v="4.8"/>
    <n v="4004.8"/>
    <x v="0"/>
  </r>
  <r>
    <x v="313"/>
    <x v="2"/>
    <n v="19.600000000000001"/>
    <n v="42.1"/>
    <n v="0"/>
    <n v="0"/>
    <n v="0"/>
    <n v="4000"/>
    <n v="5006.8999999999996"/>
    <n v="1"/>
    <n v="0"/>
    <n v="4000"/>
    <x v="1"/>
  </r>
  <r>
    <x v="314"/>
    <x v="2"/>
    <n v="19.5"/>
    <n v="76.099999999999994"/>
    <n v="7.3"/>
    <n v="0"/>
    <n v="37.1"/>
    <n v="4000"/>
    <n v="4888.2"/>
    <n v="1"/>
    <n v="37.1"/>
    <n v="4037.1"/>
    <x v="2"/>
  </r>
  <r>
    <x v="315"/>
    <x v="2"/>
    <n v="15.9"/>
    <n v="75.5"/>
    <n v="3.5"/>
    <n v="0"/>
    <n v="4.0999999999999996"/>
    <n v="4000"/>
    <n v="4908"/>
    <n v="1"/>
    <n v="4.0999999999999996"/>
    <n v="4004.1"/>
    <x v="3"/>
  </r>
  <r>
    <x v="316"/>
    <x v="2"/>
    <n v="20.6"/>
    <n v="42.6"/>
    <n v="4.2"/>
    <n v="0"/>
    <n v="6.9"/>
    <n v="4000"/>
    <n v="5277.6"/>
    <n v="1"/>
    <n v="6.9"/>
    <n v="4006.9"/>
    <x v="4"/>
  </r>
  <r>
    <x v="317"/>
    <x v="2"/>
    <n v="20.2"/>
    <n v="93.5"/>
    <n v="6.6"/>
    <n v="0"/>
    <n v="27.1"/>
    <n v="4000"/>
    <n v="4936.1000000000004"/>
    <n v="1"/>
    <n v="27.1"/>
    <n v="4027.1"/>
    <x v="5"/>
  </r>
  <r>
    <x v="318"/>
    <x v="2"/>
    <n v="25.8"/>
    <n v="61.5"/>
    <n v="8.3000000000000007"/>
    <n v="226.2"/>
    <n v="55"/>
    <n v="4000"/>
    <n v="4840.3"/>
    <n v="1"/>
    <n v="281.2"/>
    <n v="4281.2"/>
    <x v="6"/>
  </r>
  <r>
    <x v="319"/>
    <x v="2"/>
    <n v="24"/>
    <n v="69.3"/>
    <n v="0.3"/>
    <n v="386.4"/>
    <n v="0"/>
    <n v="4000"/>
    <n v="4858.8"/>
    <n v="1"/>
    <n v="386.4"/>
    <n v="4386.3999999999996"/>
    <x v="7"/>
  </r>
  <r>
    <x v="320"/>
    <x v="2"/>
    <n v="27.1"/>
    <n v="48.1"/>
    <n v="2.7"/>
    <n v="767.3"/>
    <n v="1.9"/>
    <n v="4000"/>
    <n v="5252.3"/>
    <n v="1"/>
    <n v="769.19999999999993"/>
    <n v="4769.2"/>
    <x v="8"/>
  </r>
  <r>
    <x v="321"/>
    <x v="2"/>
    <n v="25.7"/>
    <n v="70.7"/>
    <n v="6.6"/>
    <n v="679.6"/>
    <n v="27.3"/>
    <n v="4000"/>
    <n v="5002.1000000000004"/>
    <n v="1"/>
    <n v="706.9"/>
    <n v="4706.8999999999996"/>
    <x v="9"/>
  </r>
  <r>
    <x v="322"/>
    <x v="2"/>
    <n v="29.2"/>
    <n v="77"/>
    <n v="2.9"/>
    <n v="691.3"/>
    <n v="2.2000000000000002"/>
    <n v="4000"/>
    <n v="7225.9"/>
    <n v="1"/>
    <n v="693.5"/>
    <n v="4693.5"/>
    <x v="10"/>
  </r>
  <r>
    <x v="323"/>
    <x v="2"/>
    <n v="30.1"/>
    <n v="100"/>
    <n v="2.6"/>
    <n v="390"/>
    <n v="1.7"/>
    <n v="4000"/>
    <n v="7354.4"/>
    <n v="1"/>
    <n v="391.7"/>
    <n v="4391.7"/>
    <x v="11"/>
  </r>
  <r>
    <x v="324"/>
    <x v="2"/>
    <n v="22.8"/>
    <n v="76.599999999999994"/>
    <n v="4.4000000000000004"/>
    <n v="774.5"/>
    <n v="7.9"/>
    <n v="4000"/>
    <n v="7186.4"/>
    <n v="1"/>
    <n v="782.4"/>
    <n v="4782.3999999999996"/>
    <x v="12"/>
  </r>
  <r>
    <x v="325"/>
    <x v="2"/>
    <n v="25.3"/>
    <n v="9.3000000000000007"/>
    <n v="4.5999999999999996"/>
    <n v="1804.4"/>
    <n v="9.3000000000000007"/>
    <n v="4000"/>
    <n v="7438.5"/>
    <n v="1"/>
    <n v="1813.7"/>
    <n v="5813.7"/>
    <x v="13"/>
  </r>
  <r>
    <x v="326"/>
    <x v="2"/>
    <n v="27.8"/>
    <n v="0"/>
    <n v="6.1"/>
    <n v="1801.9"/>
    <n v="21.6"/>
    <n v="4000"/>
    <n v="6853.7"/>
    <n v="1"/>
    <n v="1823.5"/>
    <n v="5823.5"/>
    <x v="14"/>
  </r>
  <r>
    <x v="327"/>
    <x v="2"/>
    <n v="24.9"/>
    <n v="100"/>
    <n v="7.1"/>
    <n v="312.7"/>
    <n v="34.1"/>
    <n v="4000"/>
    <n v="4638.3"/>
    <n v="1"/>
    <n v="346.8"/>
    <n v="4346.8"/>
    <x v="15"/>
  </r>
  <r>
    <x v="328"/>
    <x v="2"/>
    <n v="24.4"/>
    <n v="60.5"/>
    <n v="7.4"/>
    <n v="643"/>
    <n v="39.200000000000003"/>
    <n v="4000"/>
    <n v="4820.5"/>
    <n v="1"/>
    <n v="682.2"/>
    <n v="4682.2"/>
    <x v="16"/>
  </r>
  <r>
    <x v="329"/>
    <x v="2"/>
    <n v="24.5"/>
    <n v="0"/>
    <n v="4.0999999999999996"/>
    <n v="867.8"/>
    <n v="6.7"/>
    <n v="3870.5"/>
    <n v="4745"/>
    <n v="0"/>
    <n v="874.5"/>
    <n v="4745"/>
    <x v="17"/>
  </r>
  <r>
    <x v="330"/>
    <x v="2"/>
    <n v="23.3"/>
    <n v="60.7"/>
    <n v="1.8"/>
    <n v="229"/>
    <n v="0.5"/>
    <n v="4000"/>
    <n v="7626.8"/>
    <n v="1"/>
    <n v="229.5"/>
    <n v="4229.5"/>
    <x v="18"/>
  </r>
  <r>
    <x v="331"/>
    <x v="2"/>
    <n v="21.1"/>
    <n v="57.6"/>
    <n v="4.3"/>
    <n v="0"/>
    <n v="7.4"/>
    <n v="4000"/>
    <n v="7552.3"/>
    <n v="1"/>
    <n v="7.4"/>
    <n v="4007.4"/>
    <x v="19"/>
  </r>
  <r>
    <x v="332"/>
    <x v="2"/>
    <n v="20.9"/>
    <n v="44.5"/>
    <n v="5.7"/>
    <n v="0"/>
    <n v="18.100000000000001"/>
    <n v="4000"/>
    <n v="7627.9"/>
    <n v="1"/>
    <n v="18.100000000000001"/>
    <n v="4018.1"/>
    <x v="20"/>
  </r>
  <r>
    <x v="333"/>
    <x v="2"/>
    <n v="15.6"/>
    <n v="4.4000000000000004"/>
    <n v="8.4"/>
    <n v="0"/>
    <n v="55.9"/>
    <n v="4000"/>
    <n v="8025.5"/>
    <n v="1"/>
    <n v="55.9"/>
    <n v="4055.9"/>
    <x v="21"/>
  </r>
  <r>
    <x v="334"/>
    <x v="2"/>
    <n v="17"/>
    <n v="36.6"/>
    <n v="5.2"/>
    <n v="0"/>
    <n v="13.7"/>
    <n v="4000"/>
    <n v="4848.2"/>
    <n v="1"/>
    <n v="13.7"/>
    <n v="4013.7"/>
    <x v="22"/>
  </r>
  <r>
    <x v="335"/>
    <x v="2"/>
    <n v="18.8"/>
    <n v="85.9"/>
    <n v="1.8"/>
    <n v="0"/>
    <n v="0.5"/>
    <n v="4000"/>
    <n v="5189.8"/>
    <n v="1"/>
    <n v="0.5"/>
    <n v="4000.5"/>
    <x v="23"/>
  </r>
  <r>
    <x v="336"/>
    <x v="3"/>
    <m/>
    <m/>
    <m/>
    <m/>
    <m/>
    <m/>
    <m/>
    <m/>
    <m/>
    <m/>
    <x v="2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d v="2026-09-01T00:00:00"/>
    <x v="0"/>
    <n v="21.8"/>
    <n v="38"/>
    <n v="7"/>
    <n v="0"/>
    <n v="22.4"/>
    <n v="4000"/>
    <n v="5024.5"/>
    <n v="1"/>
    <n v="22.4"/>
    <n v="4022.4"/>
    <n v="0"/>
  </r>
  <r>
    <d v="2026-09-01T01:00:00"/>
    <x v="0"/>
    <n v="21.9"/>
    <n v="56.6"/>
    <n v="5.5"/>
    <n v="0"/>
    <n v="10.9"/>
    <n v="4000"/>
    <n v="4914.8999999999996"/>
    <n v="1"/>
    <n v="10.9"/>
    <n v="4010.9"/>
    <n v="1"/>
  </r>
  <r>
    <d v="2026-09-01T02:00:00"/>
    <x v="0"/>
    <n v="23.6"/>
    <n v="15.7"/>
    <n v="3.1"/>
    <n v="0"/>
    <n v="1.8"/>
    <n v="4000"/>
    <n v="4879.6000000000004"/>
    <n v="1"/>
    <n v="1.8"/>
    <n v="4001.8"/>
    <n v="2"/>
  </r>
  <r>
    <d v="2026-09-01T03:00:00"/>
    <x v="0"/>
    <n v="20.9"/>
    <n v="0"/>
    <n v="2.9"/>
    <n v="0"/>
    <n v="1.5"/>
    <n v="4000"/>
    <n v="4986.3"/>
    <n v="1"/>
    <n v="1.5"/>
    <n v="4001.5"/>
    <n v="3"/>
  </r>
  <r>
    <d v="2026-09-01T04:00:00"/>
    <x v="0"/>
    <n v="25.5"/>
    <n v="6.8"/>
    <n v="1.2"/>
    <n v="0"/>
    <n v="0.1"/>
    <n v="4000"/>
    <n v="4798.1000000000004"/>
    <n v="1"/>
    <n v="0.1"/>
    <n v="4000.1"/>
    <n v="4"/>
  </r>
  <r>
    <d v="2026-09-01T05:00:00"/>
    <x v="0"/>
    <n v="26.1"/>
    <n v="26.4"/>
    <n v="1.2"/>
    <n v="0"/>
    <n v="0.1"/>
    <n v="4000"/>
    <n v="5169.8"/>
    <n v="1"/>
    <n v="0.1"/>
    <n v="4000.1"/>
    <n v="5"/>
  </r>
  <r>
    <d v="2026-09-01T06:00:00"/>
    <x v="0"/>
    <n v="28.2"/>
    <n v="2"/>
    <n v="4.8"/>
    <n v="658.3"/>
    <n v="6.9"/>
    <n v="4000"/>
    <n v="4868.3"/>
    <n v="1"/>
    <n v="665.19999999999993"/>
    <n v="4665.2"/>
    <n v="6"/>
  </r>
  <r>
    <d v="2026-09-01T07:00:00"/>
    <x v="0"/>
    <n v="29.1"/>
    <n v="13"/>
    <n v="7.7"/>
    <n v="1183.5"/>
    <n v="29.3"/>
    <n v="3647.1"/>
    <n v="4859.8999999999996"/>
    <n v="0"/>
    <n v="1212.8"/>
    <n v="4859.8999999999996"/>
    <n v="7"/>
  </r>
  <r>
    <d v="2026-09-01T08:00:00"/>
    <x v="0"/>
    <n v="29.4"/>
    <n v="41.5"/>
    <n v="1.6"/>
    <n v="1327.7"/>
    <n v="0.2"/>
    <n v="3620.1"/>
    <n v="4948"/>
    <n v="0"/>
    <n v="1327.9"/>
    <n v="4948"/>
    <n v="8"/>
  </r>
  <r>
    <d v="2026-09-01T09:00:00"/>
    <x v="0"/>
    <n v="29.3"/>
    <n v="0"/>
    <n v="4.4000000000000004"/>
    <n v="2345.5"/>
    <n v="5.4"/>
    <n v="2630.4"/>
    <n v="4981.3"/>
    <n v="0"/>
    <n v="2350.9"/>
    <n v="4981.3"/>
    <n v="9"/>
  </r>
  <r>
    <d v="2026-09-01T10:00:00"/>
    <x v="0"/>
    <n v="33.5"/>
    <n v="22.7"/>
    <n v="3.4"/>
    <n v="2273.6999999999998"/>
    <n v="2.5"/>
    <n v="4000"/>
    <n v="7260.8"/>
    <n v="1"/>
    <n v="2276.1999999999998"/>
    <n v="6276.2"/>
    <n v="10"/>
  </r>
  <r>
    <d v="2026-09-01T11:00:00"/>
    <x v="0"/>
    <n v="32.700000000000003"/>
    <n v="15.8"/>
    <n v="6.1"/>
    <n v="2601.6"/>
    <n v="14.6"/>
    <n v="4000"/>
    <n v="6928.2"/>
    <n v="1"/>
    <n v="2616.1999999999998"/>
    <n v="6616.2"/>
    <n v="11"/>
  </r>
  <r>
    <d v="2026-09-01T12:00:00"/>
    <x v="0"/>
    <n v="31.4"/>
    <n v="31.5"/>
    <n v="3.2"/>
    <n v="2338.9"/>
    <n v="2.2000000000000002"/>
    <n v="4000"/>
    <n v="7201.5"/>
    <n v="1"/>
    <n v="2341.1"/>
    <n v="6341.1"/>
    <n v="12"/>
  </r>
  <r>
    <d v="2026-09-01T13:00:00"/>
    <x v="0"/>
    <n v="34.700000000000003"/>
    <n v="45.6"/>
    <n v="5.9"/>
    <n v="1990.8"/>
    <n v="12.9"/>
    <n v="4000"/>
    <n v="7048.5"/>
    <n v="1"/>
    <n v="2003.7"/>
    <n v="6003.7"/>
    <n v="13"/>
  </r>
  <r>
    <d v="2026-09-01T14:00:00"/>
    <x v="0"/>
    <n v="32.700000000000003"/>
    <n v="31.6"/>
    <n v="6"/>
    <n v="2104.5"/>
    <n v="13.5"/>
    <n v="4000"/>
    <n v="7024.1"/>
    <n v="1"/>
    <n v="2118"/>
    <n v="6118"/>
    <n v="14"/>
  </r>
  <r>
    <d v="2026-09-01T15:00:00"/>
    <x v="0"/>
    <n v="32"/>
    <n v="2.9"/>
    <n v="1.6"/>
    <n v="2298.3000000000002"/>
    <n v="0.3"/>
    <n v="2579.5"/>
    <n v="4878.1000000000004"/>
    <n v="0"/>
    <n v="2298.6000000000004"/>
    <n v="4878.1000000000004"/>
    <n v="15"/>
  </r>
  <r>
    <d v="2026-09-01T16:00:00"/>
    <x v="0"/>
    <n v="33"/>
    <n v="23.6"/>
    <n v="6"/>
    <n v="1562"/>
    <n v="13.9"/>
    <n v="3496"/>
    <n v="5071.8999999999996"/>
    <n v="0"/>
    <n v="1575.9"/>
    <n v="5071.8999999999996"/>
    <n v="16"/>
  </r>
  <r>
    <d v="2026-09-01T17:00:00"/>
    <x v="0"/>
    <n v="28.6"/>
    <n v="32.200000000000003"/>
    <n v="7.1"/>
    <n v="1008"/>
    <n v="22.7"/>
    <n v="3973.5"/>
    <n v="5004.2"/>
    <n v="0"/>
    <n v="1030.7"/>
    <n v="5004.2"/>
    <n v="17"/>
  </r>
  <r>
    <d v="2026-09-01T18:00:00"/>
    <x v="0"/>
    <n v="30.3"/>
    <n v="0"/>
    <n v="5.6"/>
    <n v="667.6"/>
    <n v="11.5"/>
    <n v="4000"/>
    <n v="7694.6"/>
    <n v="1"/>
    <n v="679.1"/>
    <n v="4679.1000000000004"/>
    <n v="18"/>
  </r>
  <r>
    <d v="2026-09-01T19:00:00"/>
    <x v="0"/>
    <n v="26"/>
    <n v="26.8"/>
    <n v="0"/>
    <n v="0"/>
    <n v="0"/>
    <n v="4000"/>
    <n v="7713.1"/>
    <n v="1"/>
    <n v="0"/>
    <n v="4000"/>
    <n v="19"/>
  </r>
  <r>
    <d v="2026-09-01T20:00:00"/>
    <x v="0"/>
    <n v="25.5"/>
    <n v="54.6"/>
    <n v="3"/>
    <n v="0"/>
    <n v="1.7"/>
    <n v="4000"/>
    <n v="7667"/>
    <n v="1"/>
    <n v="1.7"/>
    <n v="4001.7"/>
    <n v="20"/>
  </r>
  <r>
    <d v="2026-09-01T21:00:00"/>
    <x v="0"/>
    <n v="23"/>
    <n v="43.3"/>
    <n v="4.7"/>
    <n v="0"/>
    <n v="6.5"/>
    <n v="4000"/>
    <n v="7578.7"/>
    <n v="1"/>
    <n v="6.5"/>
    <n v="4006.5"/>
    <n v="21"/>
  </r>
  <r>
    <d v="2026-09-01T22:00:00"/>
    <x v="0"/>
    <n v="23.6"/>
    <n v="26.9"/>
    <n v="5.9"/>
    <n v="0"/>
    <n v="13.4"/>
    <n v="4000"/>
    <n v="4870.5"/>
    <n v="1"/>
    <n v="13.4"/>
    <n v="4013.4"/>
    <n v="22"/>
  </r>
  <r>
    <d v="2026-09-01T23:00:00"/>
    <x v="0"/>
    <n v="21.7"/>
    <n v="17.2"/>
    <n v="1.1000000000000001"/>
    <n v="0"/>
    <n v="0.1"/>
    <n v="4000"/>
    <n v="4844.7"/>
    <n v="1"/>
    <n v="0.1"/>
    <n v="4000.1"/>
    <n v="23"/>
  </r>
  <r>
    <d v="2026-09-02T00:00:00"/>
    <x v="0"/>
    <n v="22.4"/>
    <n v="25.1"/>
    <n v="3.5"/>
    <n v="0"/>
    <n v="2.8"/>
    <n v="4000"/>
    <n v="4994.3999999999996"/>
    <n v="1"/>
    <n v="2.8"/>
    <n v="4002.8"/>
    <n v="0"/>
  </r>
  <r>
    <d v="2026-09-02T01:00:00"/>
    <x v="0"/>
    <n v="21.6"/>
    <n v="18.100000000000001"/>
    <n v="2.4"/>
    <n v="0"/>
    <n v="0.9"/>
    <n v="4000"/>
    <n v="4737.7"/>
    <n v="1"/>
    <n v="0.9"/>
    <n v="4000.9"/>
    <n v="1"/>
  </r>
  <r>
    <d v="2026-09-02T02:00:00"/>
    <x v="0"/>
    <n v="23.4"/>
    <n v="62.7"/>
    <n v="4.3"/>
    <n v="0"/>
    <n v="5.3"/>
    <n v="4000"/>
    <n v="4925.8"/>
    <n v="1"/>
    <n v="5.3"/>
    <n v="4005.3"/>
    <n v="2"/>
  </r>
  <r>
    <d v="2026-09-02T03:00:00"/>
    <x v="0"/>
    <n v="23.6"/>
    <n v="0"/>
    <n v="3.9"/>
    <n v="0"/>
    <n v="3.9"/>
    <n v="4000"/>
    <n v="4988.6000000000004"/>
    <n v="1"/>
    <n v="3.9"/>
    <n v="4003.9"/>
    <n v="3"/>
  </r>
  <r>
    <d v="2026-09-02T04:00:00"/>
    <x v="0"/>
    <n v="28.7"/>
    <n v="21.2"/>
    <n v="4.5999999999999996"/>
    <n v="0"/>
    <n v="6.2"/>
    <n v="4000"/>
    <n v="4959"/>
    <n v="1"/>
    <n v="6.2"/>
    <n v="4006.2"/>
    <n v="4"/>
  </r>
  <r>
    <d v="2026-09-02T05:00:00"/>
    <x v="0"/>
    <n v="24.7"/>
    <n v="47.9"/>
    <n v="5.5"/>
    <n v="0"/>
    <n v="10.7"/>
    <n v="4000"/>
    <n v="4944.8"/>
    <n v="1"/>
    <n v="10.7"/>
    <n v="4010.7"/>
    <n v="5"/>
  </r>
  <r>
    <d v="2026-09-02T06:00:00"/>
    <x v="0"/>
    <n v="26.6"/>
    <n v="53.1"/>
    <n v="1.2"/>
    <n v="419.6"/>
    <n v="0.1"/>
    <n v="4000"/>
    <n v="5068.7"/>
    <n v="1"/>
    <n v="419.70000000000005"/>
    <n v="4419.7"/>
    <n v="6"/>
  </r>
  <r>
    <d v="2026-09-02T07:00:00"/>
    <x v="0"/>
    <n v="32.799999999999997"/>
    <n v="5.2"/>
    <n v="2.9"/>
    <n v="1254.4000000000001"/>
    <n v="1.5"/>
    <n v="3782.1"/>
    <n v="5038"/>
    <n v="0"/>
    <n v="1255.9000000000001"/>
    <n v="5038"/>
    <n v="7"/>
  </r>
  <r>
    <d v="2026-09-02T08:00:00"/>
    <x v="0"/>
    <n v="30.2"/>
    <n v="0"/>
    <n v="4.0999999999999996"/>
    <n v="1870.5"/>
    <n v="4.5"/>
    <n v="3089.9"/>
    <n v="4964.8999999999996"/>
    <n v="0"/>
    <n v="1875"/>
    <n v="4964.8999999999996"/>
    <n v="8"/>
  </r>
  <r>
    <d v="2026-09-02T09:00:00"/>
    <x v="0"/>
    <n v="33"/>
    <n v="6.6"/>
    <n v="7.1"/>
    <n v="2236.9"/>
    <n v="22.9"/>
    <n v="2530.9"/>
    <n v="4790.7"/>
    <n v="0"/>
    <n v="2259.8000000000002"/>
    <n v="4790.7000000000007"/>
    <n v="9"/>
  </r>
  <r>
    <d v="2026-09-02T10:00:00"/>
    <x v="0"/>
    <n v="32.700000000000003"/>
    <n v="41.3"/>
    <n v="1.5"/>
    <n v="1922.1"/>
    <n v="0.2"/>
    <n v="4000"/>
    <n v="7032.5"/>
    <n v="1"/>
    <n v="1922.3"/>
    <n v="5922.3"/>
    <n v="10"/>
  </r>
  <r>
    <d v="2026-09-02T11:00:00"/>
    <x v="0"/>
    <n v="35.799999999999997"/>
    <n v="0"/>
    <n v="4.4000000000000004"/>
    <n v="2924.8"/>
    <n v="5.3"/>
    <n v="4000"/>
    <n v="7184.1"/>
    <n v="1"/>
    <n v="2930.1000000000004"/>
    <n v="6930.1"/>
    <n v="11"/>
  </r>
  <r>
    <d v="2026-09-02T12:00:00"/>
    <x v="0"/>
    <n v="35.200000000000003"/>
    <n v="0.3"/>
    <n v="1.4"/>
    <n v="2994.5"/>
    <n v="0.2"/>
    <n v="4000"/>
    <n v="7189"/>
    <n v="1"/>
    <n v="2994.7"/>
    <n v="6994.7"/>
    <n v="12"/>
  </r>
  <r>
    <d v="2026-09-02T13:00:00"/>
    <x v="0"/>
    <n v="34.200000000000003"/>
    <n v="30"/>
    <n v="4.7"/>
    <n v="2310.4"/>
    <n v="6.6"/>
    <n v="4000"/>
    <n v="7228.3"/>
    <n v="1"/>
    <n v="2317"/>
    <n v="6317"/>
    <n v="13"/>
  </r>
  <r>
    <d v="2026-09-02T14:00:00"/>
    <x v="0"/>
    <n v="33.5"/>
    <n v="30.9"/>
    <n v="2.6"/>
    <n v="2119"/>
    <n v="1.1000000000000001"/>
    <n v="4000"/>
    <n v="7048"/>
    <n v="1"/>
    <n v="2120.1"/>
    <n v="6120.1"/>
    <n v="14"/>
  </r>
  <r>
    <d v="2026-09-02T15:00:00"/>
    <x v="0"/>
    <n v="33"/>
    <n v="1.2"/>
    <n v="5.3"/>
    <n v="2326.1999999999998"/>
    <n v="9.6"/>
    <n v="2894.1"/>
    <n v="5229.8999999999996"/>
    <n v="0"/>
    <n v="2335.7999999999997"/>
    <n v="5229.8999999999996"/>
    <n v="15"/>
  </r>
  <r>
    <d v="2026-09-02T16:00:00"/>
    <x v="0"/>
    <n v="32.200000000000003"/>
    <n v="48.2"/>
    <n v="2.4"/>
    <n v="1239.7"/>
    <n v="0.8"/>
    <n v="3563.3"/>
    <n v="4803.8"/>
    <n v="0"/>
    <n v="1240.5"/>
    <n v="4803.8"/>
    <n v="16"/>
  </r>
  <r>
    <d v="2026-09-02T17:00:00"/>
    <x v="0"/>
    <n v="30.2"/>
    <n v="41.4"/>
    <n v="7.8"/>
    <n v="924.1"/>
    <n v="30.3"/>
    <n v="4000"/>
    <n v="5094.5"/>
    <n v="1"/>
    <n v="954.4"/>
    <n v="4954.3999999999996"/>
    <n v="17"/>
  </r>
  <r>
    <d v="2026-09-02T18:00:00"/>
    <x v="0"/>
    <n v="26.9"/>
    <n v="7.2"/>
    <n v="2.4"/>
    <n v="633.9"/>
    <n v="0.9"/>
    <n v="4000"/>
    <n v="7663.2"/>
    <n v="1"/>
    <n v="634.79999999999995"/>
    <n v="4634.8"/>
    <n v="18"/>
  </r>
  <r>
    <d v="2026-09-02T19:00:00"/>
    <x v="0"/>
    <n v="27"/>
    <n v="30.5"/>
    <n v="5.7"/>
    <n v="0"/>
    <n v="11.6"/>
    <n v="4000"/>
    <n v="7688.4"/>
    <n v="1"/>
    <n v="11.6"/>
    <n v="4011.6"/>
    <n v="19"/>
  </r>
  <r>
    <d v="2026-09-02T20:00:00"/>
    <x v="0"/>
    <n v="27.2"/>
    <n v="19.7"/>
    <n v="9.4"/>
    <n v="0"/>
    <n v="53.8"/>
    <n v="4000"/>
    <n v="7702"/>
    <n v="1"/>
    <n v="53.8"/>
    <n v="4053.8"/>
    <n v="20"/>
  </r>
  <r>
    <d v="2026-09-02T21:00:00"/>
    <x v="0"/>
    <n v="22.5"/>
    <n v="3.6"/>
    <n v="5"/>
    <n v="0"/>
    <n v="7.8"/>
    <n v="4000"/>
    <n v="7793.9"/>
    <n v="1"/>
    <n v="7.8"/>
    <n v="4007.8"/>
    <n v="21"/>
  </r>
  <r>
    <d v="2026-09-02T22:00:00"/>
    <x v="0"/>
    <n v="23.9"/>
    <n v="34.5"/>
    <n v="3.9"/>
    <n v="0"/>
    <n v="3.7"/>
    <n v="4000"/>
    <n v="4916.5"/>
    <n v="1"/>
    <n v="3.7"/>
    <n v="4003.7"/>
    <n v="22"/>
  </r>
  <r>
    <d v="2026-09-02T23:00:00"/>
    <x v="0"/>
    <n v="19.899999999999999"/>
    <n v="16.100000000000001"/>
    <n v="5.7"/>
    <n v="0"/>
    <n v="11.9"/>
    <n v="4000"/>
    <n v="4823"/>
    <n v="1"/>
    <n v="11.9"/>
    <n v="4011.9"/>
    <n v="23"/>
  </r>
  <r>
    <d v="2026-09-03T00:00:00"/>
    <x v="0"/>
    <n v="20.100000000000001"/>
    <n v="28.5"/>
    <n v="4.8"/>
    <n v="0"/>
    <n v="6.9"/>
    <n v="4000"/>
    <n v="4982.1000000000004"/>
    <n v="1"/>
    <n v="6.9"/>
    <n v="4006.9"/>
    <n v="0"/>
  </r>
  <r>
    <d v="2026-09-03T01:00:00"/>
    <x v="0"/>
    <n v="22.4"/>
    <n v="26.2"/>
    <n v="1.7"/>
    <n v="0"/>
    <n v="0.3"/>
    <n v="4000"/>
    <n v="4817.3999999999996"/>
    <n v="1"/>
    <n v="0.3"/>
    <n v="4000.3"/>
    <n v="1"/>
  </r>
  <r>
    <d v="2026-09-03T02:00:00"/>
    <x v="0"/>
    <n v="23.6"/>
    <n v="46.7"/>
    <n v="6.1"/>
    <n v="0"/>
    <n v="14.6"/>
    <n v="4000"/>
    <n v="5003.7"/>
    <n v="1"/>
    <n v="14.6"/>
    <n v="4014.6"/>
    <n v="2"/>
  </r>
  <r>
    <d v="2026-09-03T03:00:00"/>
    <x v="0"/>
    <n v="22.4"/>
    <n v="35.299999999999997"/>
    <n v="5"/>
    <n v="0"/>
    <n v="8.1"/>
    <n v="4000"/>
    <n v="4743.3"/>
    <n v="1"/>
    <n v="8.1"/>
    <n v="4008.1"/>
    <n v="3"/>
  </r>
  <r>
    <d v="2026-09-03T04:00:00"/>
    <x v="0"/>
    <n v="30.8"/>
    <n v="36.4"/>
    <n v="6.3"/>
    <n v="0"/>
    <n v="15.8"/>
    <n v="4000"/>
    <n v="5027.3"/>
    <n v="1"/>
    <n v="15.8"/>
    <n v="4015.8"/>
    <n v="4"/>
  </r>
  <r>
    <d v="2026-09-03T05:00:00"/>
    <x v="0"/>
    <n v="27.4"/>
    <n v="18.7"/>
    <n v="5.5"/>
    <n v="0"/>
    <n v="10.8"/>
    <n v="4000"/>
    <n v="5093.1000000000004"/>
    <n v="1"/>
    <n v="10.8"/>
    <n v="4010.8"/>
    <n v="5"/>
  </r>
  <r>
    <d v="2026-09-03T06:00:00"/>
    <x v="0"/>
    <n v="27.6"/>
    <n v="15.3"/>
    <n v="4.2"/>
    <n v="596.1"/>
    <n v="4.5999999999999996"/>
    <n v="4000"/>
    <n v="4834.1000000000004"/>
    <n v="1"/>
    <n v="600.70000000000005"/>
    <n v="4600.7"/>
    <n v="6"/>
  </r>
  <r>
    <d v="2026-09-03T07:00:00"/>
    <x v="0"/>
    <n v="26.8"/>
    <n v="38.700000000000003"/>
    <n v="0.8"/>
    <n v="948.8"/>
    <n v="0"/>
    <n v="4000"/>
    <n v="5297.2"/>
    <n v="1"/>
    <n v="948.8"/>
    <n v="4948.8"/>
    <n v="7"/>
  </r>
  <r>
    <d v="2026-09-03T08:00:00"/>
    <x v="0"/>
    <n v="32.6"/>
    <n v="26.3"/>
    <n v="1.8"/>
    <n v="1526.3"/>
    <n v="0.4"/>
    <n v="3352.5"/>
    <n v="4879.2"/>
    <n v="0"/>
    <n v="1526.7"/>
    <n v="4879.2"/>
    <n v="8"/>
  </r>
  <r>
    <d v="2026-09-03T09:00:00"/>
    <x v="0"/>
    <n v="33.299999999999997"/>
    <n v="10.4"/>
    <n v="4.4000000000000004"/>
    <n v="2174.9"/>
    <n v="5.6"/>
    <n v="2662.2"/>
    <n v="4842.7"/>
    <n v="0"/>
    <n v="2180.5"/>
    <n v="4842.7"/>
    <n v="9"/>
  </r>
  <r>
    <d v="2026-09-03T10:00:00"/>
    <x v="0"/>
    <n v="32.200000000000003"/>
    <n v="67.900000000000006"/>
    <n v="5.3"/>
    <n v="1418.6"/>
    <n v="9.4"/>
    <n v="4000"/>
    <n v="7156.8"/>
    <n v="1"/>
    <n v="1428"/>
    <n v="5428"/>
    <n v="10"/>
  </r>
  <r>
    <d v="2026-09-03T11:00:00"/>
    <x v="0"/>
    <n v="34.1"/>
    <n v="11.8"/>
    <n v="5.7"/>
    <n v="2683.9"/>
    <n v="11.9"/>
    <n v="4000"/>
    <n v="6846.2"/>
    <n v="1"/>
    <n v="2695.8"/>
    <n v="6695.8"/>
    <n v="11"/>
  </r>
  <r>
    <d v="2026-09-03T12:00:00"/>
    <x v="0"/>
    <n v="33.799999999999997"/>
    <n v="35.1"/>
    <n v="5.7"/>
    <n v="2262.9"/>
    <n v="12.1"/>
    <n v="4000"/>
    <n v="7031.1"/>
    <n v="1"/>
    <n v="2275"/>
    <n v="6275"/>
    <n v="12"/>
  </r>
  <r>
    <d v="2026-09-03T13:00:00"/>
    <x v="0"/>
    <n v="33.299999999999997"/>
    <n v="15.5"/>
    <n v="2.7"/>
    <n v="2607.4"/>
    <n v="1.3"/>
    <n v="4000"/>
    <n v="6970"/>
    <n v="1"/>
    <n v="2608.7000000000003"/>
    <n v="6608.7000000000007"/>
    <n v="13"/>
  </r>
  <r>
    <d v="2026-09-03T14:00:00"/>
    <x v="0"/>
    <n v="33.799999999999997"/>
    <n v="0"/>
    <n v="5.8"/>
    <n v="2702.9"/>
    <n v="12.7"/>
    <n v="4000"/>
    <n v="7414.8"/>
    <n v="1"/>
    <n v="2715.6"/>
    <n v="6715.6"/>
    <n v="14"/>
  </r>
  <r>
    <d v="2026-09-03T15:00:00"/>
    <x v="0"/>
    <n v="33.799999999999997"/>
    <n v="0"/>
    <n v="3"/>
    <n v="2345.5"/>
    <n v="1.8"/>
    <n v="2921"/>
    <n v="5268.3"/>
    <n v="0"/>
    <n v="2347.3000000000002"/>
    <n v="5268.3"/>
    <n v="15"/>
  </r>
  <r>
    <d v="2026-09-03T16:00:00"/>
    <x v="0"/>
    <n v="29.9"/>
    <n v="33.9"/>
    <n v="5.5"/>
    <n v="1426.9"/>
    <n v="10.9"/>
    <n v="3702.2"/>
    <n v="5140"/>
    <n v="0"/>
    <n v="1437.8000000000002"/>
    <n v="5140"/>
    <n v="16"/>
  </r>
  <r>
    <d v="2026-09-03T17:00:00"/>
    <x v="0"/>
    <n v="29.5"/>
    <n v="0"/>
    <n v="2"/>
    <n v="1301.7"/>
    <n v="0.5"/>
    <n v="3508.8"/>
    <n v="4811"/>
    <n v="0"/>
    <n v="1302.2"/>
    <n v="4811"/>
    <n v="17"/>
  </r>
  <r>
    <d v="2026-09-03T18:00:00"/>
    <x v="0"/>
    <n v="26.1"/>
    <n v="57.6"/>
    <n v="1.1000000000000001"/>
    <n v="398.2"/>
    <n v="0.1"/>
    <n v="4000"/>
    <n v="7662.1"/>
    <n v="1"/>
    <n v="398.3"/>
    <n v="4398.3"/>
    <n v="18"/>
  </r>
  <r>
    <d v="2026-09-03T19:00:00"/>
    <x v="0"/>
    <n v="26.6"/>
    <n v="53.8"/>
    <n v="1.1000000000000001"/>
    <n v="0"/>
    <n v="0.1"/>
    <n v="4000"/>
    <n v="7634"/>
    <n v="1"/>
    <n v="0.1"/>
    <n v="4000.1"/>
    <n v="19"/>
  </r>
  <r>
    <d v="2026-09-03T20:00:00"/>
    <x v="0"/>
    <n v="25"/>
    <n v="5.4"/>
    <n v="4.9000000000000004"/>
    <n v="0"/>
    <n v="7.6"/>
    <n v="4000"/>
    <n v="7874.5"/>
    <n v="1"/>
    <n v="7.6"/>
    <n v="4007.6"/>
    <n v="20"/>
  </r>
  <r>
    <d v="2026-09-03T21:00:00"/>
    <x v="0"/>
    <n v="22.9"/>
    <n v="26.4"/>
    <n v="3.2"/>
    <n v="0"/>
    <n v="2.2000000000000002"/>
    <n v="4000"/>
    <n v="7729.9"/>
    <n v="1"/>
    <n v="2.2000000000000002"/>
    <n v="4002.2"/>
    <n v="21"/>
  </r>
  <r>
    <d v="2026-09-03T22:00:00"/>
    <x v="0"/>
    <n v="23.8"/>
    <n v="56.7"/>
    <n v="1.5"/>
    <n v="0"/>
    <n v="0.2"/>
    <n v="4000"/>
    <n v="4967"/>
    <n v="1"/>
    <n v="0.2"/>
    <n v="4000.2"/>
    <n v="22"/>
  </r>
  <r>
    <d v="2026-09-03T23:00:00"/>
    <x v="0"/>
    <n v="19.3"/>
    <n v="22"/>
    <n v="5.2"/>
    <n v="0"/>
    <n v="8.9"/>
    <n v="4000"/>
    <n v="5270"/>
    <n v="1"/>
    <n v="8.9"/>
    <n v="4008.9"/>
    <n v="23"/>
  </r>
  <r>
    <d v="2026-09-04T00:00:00"/>
    <x v="0"/>
    <n v="21.1"/>
    <n v="20.8"/>
    <n v="3"/>
    <n v="0"/>
    <n v="1.8"/>
    <n v="4000"/>
    <n v="4992.1000000000004"/>
    <n v="1"/>
    <n v="1.8"/>
    <n v="4001.8"/>
    <n v="0"/>
  </r>
  <r>
    <d v="2026-09-04T01:00:00"/>
    <x v="0"/>
    <n v="23.5"/>
    <n v="32.1"/>
    <n v="2.6"/>
    <n v="0"/>
    <n v="1.1000000000000001"/>
    <n v="4000"/>
    <n v="4861.6000000000004"/>
    <n v="1"/>
    <n v="1.1000000000000001"/>
    <n v="4001.1"/>
    <n v="1"/>
  </r>
  <r>
    <d v="2026-09-04T02:00:00"/>
    <x v="0"/>
    <n v="23.3"/>
    <n v="41.3"/>
    <n v="5.3"/>
    <n v="0"/>
    <n v="9.3000000000000007"/>
    <n v="4000"/>
    <n v="5084.8999999999996"/>
    <n v="1"/>
    <n v="9.3000000000000007"/>
    <n v="4009.3"/>
    <n v="2"/>
  </r>
  <r>
    <d v="2026-09-04T03:00:00"/>
    <x v="0"/>
    <n v="22.9"/>
    <n v="39.9"/>
    <n v="5.2"/>
    <n v="0"/>
    <n v="9.1"/>
    <n v="4000"/>
    <n v="4825.7"/>
    <n v="1"/>
    <n v="9.1"/>
    <n v="4009.1"/>
    <n v="3"/>
  </r>
  <r>
    <d v="2026-09-04T04:00:00"/>
    <x v="0"/>
    <n v="25.2"/>
    <n v="50.6"/>
    <n v="2.8"/>
    <n v="0"/>
    <n v="1.4"/>
    <n v="4000"/>
    <n v="4946.8999999999996"/>
    <n v="1"/>
    <n v="1.4"/>
    <n v="4001.4"/>
    <n v="4"/>
  </r>
  <r>
    <d v="2026-09-04T05:00:00"/>
    <x v="0"/>
    <n v="26.1"/>
    <n v="20.6"/>
    <n v="6.2"/>
    <n v="0"/>
    <n v="15.2"/>
    <n v="4000"/>
    <n v="5032.1000000000004"/>
    <n v="1"/>
    <n v="15.2"/>
    <n v="4015.2"/>
    <n v="5"/>
  </r>
  <r>
    <d v="2026-09-04T06:00:00"/>
    <x v="0"/>
    <n v="29.2"/>
    <n v="51.1"/>
    <n v="4"/>
    <n v="428.7"/>
    <n v="4.2"/>
    <n v="4000"/>
    <n v="5073.8"/>
    <n v="1"/>
    <n v="432.9"/>
    <n v="4432.8999999999996"/>
    <n v="6"/>
  </r>
  <r>
    <d v="2026-09-04T07:00:00"/>
    <x v="0"/>
    <n v="29.1"/>
    <n v="31.5"/>
    <n v="3.7"/>
    <n v="1014.8"/>
    <n v="3.3"/>
    <n v="4000"/>
    <n v="5052.3"/>
    <n v="1"/>
    <n v="1018.0999999999999"/>
    <n v="5018.1000000000004"/>
    <n v="7"/>
  </r>
  <r>
    <d v="2026-09-04T08:00:00"/>
    <x v="0"/>
    <n v="31.9"/>
    <n v="8.6"/>
    <n v="8.1999999999999993"/>
    <n v="1757.4"/>
    <n v="35.1"/>
    <n v="3172"/>
    <n v="4964.5"/>
    <n v="0"/>
    <n v="1792.5"/>
    <n v="4964.5"/>
    <n v="8"/>
  </r>
  <r>
    <d v="2026-09-04T09:00:00"/>
    <x v="0"/>
    <n v="30.4"/>
    <n v="48.2"/>
    <n v="5.6"/>
    <n v="1554.7"/>
    <n v="11.1"/>
    <n v="3233.3"/>
    <n v="4799.1000000000004"/>
    <n v="0"/>
    <n v="1565.8"/>
    <n v="4799.1000000000004"/>
    <n v="9"/>
  </r>
  <r>
    <d v="2026-09-04T10:00:00"/>
    <x v="0"/>
    <n v="34.1"/>
    <n v="24.8"/>
    <n v="2.2000000000000002"/>
    <n v="2234.5"/>
    <n v="0.7"/>
    <n v="4000"/>
    <n v="7243.6"/>
    <n v="1"/>
    <n v="2235.1999999999998"/>
    <n v="6235.2"/>
    <n v="10"/>
  </r>
  <r>
    <d v="2026-09-04T11:00:00"/>
    <x v="0"/>
    <n v="32.799999999999997"/>
    <n v="44.5"/>
    <n v="3.7"/>
    <n v="2013.7"/>
    <n v="3.3"/>
    <n v="4000"/>
    <n v="7161.4"/>
    <n v="1"/>
    <n v="2017"/>
    <n v="6017"/>
    <n v="11"/>
  </r>
  <r>
    <d v="2026-09-04T12:00:00"/>
    <x v="0"/>
    <n v="33.5"/>
    <n v="33.299999999999997"/>
    <n v="2.9"/>
    <n v="2301.6"/>
    <n v="1.5"/>
    <n v="4000"/>
    <n v="7026.2"/>
    <n v="1"/>
    <n v="2303.1"/>
    <n v="6303.1"/>
    <n v="12"/>
  </r>
  <r>
    <d v="2026-09-04T13:00:00"/>
    <x v="0"/>
    <n v="34.200000000000003"/>
    <n v="29.9"/>
    <n v="3"/>
    <n v="2312.6"/>
    <n v="1.7"/>
    <n v="4000"/>
    <n v="7026.7"/>
    <n v="1"/>
    <n v="2314.2999999999997"/>
    <n v="6314.2999999999993"/>
    <n v="13"/>
  </r>
  <r>
    <d v="2026-09-04T14:00:00"/>
    <x v="0"/>
    <n v="33.5"/>
    <n v="0"/>
    <n v="1.2"/>
    <n v="2702.9"/>
    <n v="0.1"/>
    <n v="4000"/>
    <n v="7079.3"/>
    <n v="1"/>
    <n v="2703"/>
    <n v="6703"/>
    <n v="14"/>
  </r>
  <r>
    <d v="2026-09-04T15:00:00"/>
    <x v="0"/>
    <n v="31.9"/>
    <n v="31.2"/>
    <n v="7"/>
    <n v="1832.9"/>
    <n v="21.5"/>
    <n v="2987.8"/>
    <n v="4842.2"/>
    <n v="0"/>
    <n v="1854.4"/>
    <n v="4842.2000000000007"/>
    <n v="15"/>
  </r>
  <r>
    <d v="2026-09-04T16:00:00"/>
    <x v="0"/>
    <n v="30.8"/>
    <n v="24.6"/>
    <n v="2"/>
    <n v="1548.1"/>
    <n v="0.5"/>
    <n v="3530"/>
    <n v="5078.6000000000004"/>
    <n v="0"/>
    <n v="1548.6"/>
    <n v="5078.6000000000004"/>
    <n v="16"/>
  </r>
  <r>
    <d v="2026-09-04T17:00:00"/>
    <x v="0"/>
    <n v="29.1"/>
    <n v="31.5"/>
    <n v="2.2999999999999998"/>
    <n v="1015.1"/>
    <n v="0.8"/>
    <n v="3931.3"/>
    <n v="4947.2"/>
    <n v="0"/>
    <n v="1015.9"/>
    <n v="4947.2"/>
    <n v="17"/>
  </r>
  <r>
    <d v="2026-09-04T18:00:00"/>
    <x v="0"/>
    <n v="30.3"/>
    <n v="22.8"/>
    <n v="4.8"/>
    <n v="560.9"/>
    <n v="7.1"/>
    <n v="4000"/>
    <n v="7777.9"/>
    <n v="1"/>
    <n v="568"/>
    <n v="4568"/>
    <n v="18"/>
  </r>
  <r>
    <d v="2026-09-04T19:00:00"/>
    <x v="0"/>
    <n v="25.8"/>
    <n v="29.5"/>
    <n v="4"/>
    <n v="0"/>
    <n v="4.2"/>
    <n v="4000"/>
    <n v="7803.5"/>
    <n v="1"/>
    <n v="4.2"/>
    <n v="4004.2"/>
    <n v="19"/>
  </r>
  <r>
    <d v="2026-09-04T20:00:00"/>
    <x v="0"/>
    <n v="23.8"/>
    <n v="25.5"/>
    <n v="5"/>
    <n v="0"/>
    <n v="8"/>
    <n v="4000"/>
    <n v="7714.7"/>
    <n v="1"/>
    <n v="8"/>
    <n v="4008"/>
    <n v="20"/>
  </r>
  <r>
    <d v="2026-09-04T21:00:00"/>
    <x v="0"/>
    <n v="25.2"/>
    <n v="68.099999999999994"/>
    <n v="2.5"/>
    <n v="0"/>
    <n v="1"/>
    <n v="4000"/>
    <n v="7917.7"/>
    <n v="1"/>
    <n v="1"/>
    <n v="4001"/>
    <n v="21"/>
  </r>
  <r>
    <d v="2026-09-04T22:00:00"/>
    <x v="0"/>
    <n v="23.1"/>
    <n v="68.8"/>
    <n v="2.4"/>
    <n v="0"/>
    <n v="0.9"/>
    <n v="4000"/>
    <n v="5080.8"/>
    <n v="1"/>
    <n v="0.9"/>
    <n v="4000.9"/>
    <n v="22"/>
  </r>
  <r>
    <d v="2026-09-04T23:00:00"/>
    <x v="0"/>
    <n v="21.3"/>
    <n v="0"/>
    <n v="2.9"/>
    <n v="0"/>
    <n v="1.6"/>
    <n v="4000"/>
    <n v="4824"/>
    <n v="1"/>
    <n v="1.6"/>
    <n v="4001.6"/>
    <n v="23"/>
  </r>
  <r>
    <d v="2026-09-05T00:00:00"/>
    <x v="0"/>
    <n v="22.2"/>
    <n v="31.8"/>
    <n v="7.8"/>
    <n v="0"/>
    <n v="29.8"/>
    <n v="4000"/>
    <n v="4206.1000000000004"/>
    <n v="1"/>
    <n v="29.8"/>
    <n v="4029.8"/>
    <n v="0"/>
  </r>
  <r>
    <d v="2026-09-05T01:00:00"/>
    <x v="0"/>
    <n v="21.3"/>
    <n v="7"/>
    <n v="5"/>
    <n v="0"/>
    <n v="7.9"/>
    <n v="4000"/>
    <n v="4462.6000000000004"/>
    <n v="1"/>
    <n v="7.9"/>
    <n v="4007.9"/>
    <n v="1"/>
  </r>
  <r>
    <d v="2026-09-05T02:00:00"/>
    <x v="0"/>
    <n v="25.6"/>
    <n v="48.6"/>
    <n v="3.1"/>
    <n v="0"/>
    <n v="1.8"/>
    <n v="4000"/>
    <n v="4122"/>
    <n v="1"/>
    <n v="1.8"/>
    <n v="4001.8"/>
    <n v="2"/>
  </r>
  <r>
    <d v="2026-09-05T03:00:00"/>
    <x v="0"/>
    <n v="25.8"/>
    <n v="22.7"/>
    <n v="6.5"/>
    <n v="0"/>
    <n v="17.399999999999999"/>
    <n v="4000"/>
    <n v="4063"/>
    <n v="1"/>
    <n v="17.399999999999999"/>
    <n v="4017.4"/>
    <n v="3"/>
  </r>
  <r>
    <d v="2026-09-05T04:00:00"/>
    <x v="0"/>
    <n v="24.1"/>
    <n v="25.1"/>
    <n v="4.0999999999999996"/>
    <n v="0"/>
    <n v="4.4000000000000004"/>
    <n v="4000"/>
    <n v="4080.8"/>
    <n v="1"/>
    <n v="4.4000000000000004"/>
    <n v="4004.4"/>
    <n v="4"/>
  </r>
  <r>
    <d v="2026-09-05T05:00:00"/>
    <x v="0"/>
    <n v="27.4"/>
    <n v="3.6"/>
    <n v="3.7"/>
    <n v="0"/>
    <n v="3.3"/>
    <n v="4000"/>
    <n v="4252.5"/>
    <n v="1"/>
    <n v="3.3"/>
    <n v="4003.3"/>
    <n v="5"/>
  </r>
  <r>
    <d v="2026-09-05T06:00:00"/>
    <x v="0"/>
    <n v="28.8"/>
    <n v="39.200000000000003"/>
    <n v="1.8"/>
    <n v="484.2"/>
    <n v="0.3"/>
    <n v="3853.5"/>
    <n v="4338"/>
    <n v="0"/>
    <n v="484.5"/>
    <n v="4338"/>
    <n v="6"/>
  </r>
  <r>
    <d v="2026-09-05T07:00:00"/>
    <x v="0"/>
    <n v="31.5"/>
    <n v="31.6"/>
    <n v="2.5"/>
    <n v="1013.3"/>
    <n v="1"/>
    <n v="3075.6"/>
    <n v="4089.9"/>
    <n v="0"/>
    <n v="1014.3"/>
    <n v="4089.8999999999996"/>
    <n v="7"/>
  </r>
  <r>
    <d v="2026-09-05T08:00:00"/>
    <x v="0"/>
    <n v="31.2"/>
    <n v="48.6"/>
    <n v="4.0999999999999996"/>
    <n v="1234.3"/>
    <n v="4.5"/>
    <n v="3313.9"/>
    <n v="4552.7"/>
    <n v="0"/>
    <n v="1238.8"/>
    <n v="4552.7"/>
    <n v="8"/>
  </r>
  <r>
    <d v="2026-09-05T09:00:00"/>
    <x v="0"/>
    <n v="34.9"/>
    <n v="20"/>
    <n v="5.9"/>
    <n v="2016.8"/>
    <n v="13.4"/>
    <n v="2598.9"/>
    <n v="4629.1000000000004"/>
    <n v="0"/>
    <n v="2030.2"/>
    <n v="4629.1000000000004"/>
    <n v="9"/>
  </r>
  <r>
    <d v="2026-09-05T10:00:00"/>
    <x v="0"/>
    <n v="35.200000000000003"/>
    <n v="5.7"/>
    <n v="5.4"/>
    <n v="2595"/>
    <n v="9.9"/>
    <n v="3731.9"/>
    <n v="6336.8"/>
    <n v="0"/>
    <n v="2604.9"/>
    <n v="6336.8"/>
    <n v="10"/>
  </r>
  <r>
    <d v="2026-09-05T11:00:00"/>
    <x v="0"/>
    <n v="31.2"/>
    <n v="1.3"/>
    <n v="0"/>
    <n v="2897.5"/>
    <n v="0"/>
    <n v="3501.3"/>
    <n v="6398.8"/>
    <n v="0"/>
    <n v="2897.5"/>
    <n v="6398.8"/>
    <n v="11"/>
  </r>
  <r>
    <d v="2026-09-05T12:00:00"/>
    <x v="0"/>
    <n v="35.1"/>
    <n v="55"/>
    <n v="4.0999999999999996"/>
    <n v="1844"/>
    <n v="4.5999999999999996"/>
    <n v="4000"/>
    <n v="6199.6"/>
    <n v="1"/>
    <n v="1848.6"/>
    <n v="5848.6"/>
    <n v="12"/>
  </r>
  <r>
    <d v="2026-09-05T13:00:00"/>
    <x v="0"/>
    <n v="31.7"/>
    <n v="0"/>
    <n v="3.9"/>
    <n v="2924.8"/>
    <n v="3.8"/>
    <n v="3555.7"/>
    <n v="6484.3"/>
    <n v="0"/>
    <n v="2928.6000000000004"/>
    <n v="6484.3"/>
    <n v="13"/>
  </r>
  <r>
    <d v="2026-09-05T14:00:00"/>
    <x v="0"/>
    <n v="33.1"/>
    <n v="0"/>
    <n v="3.8"/>
    <n v="2702.9"/>
    <n v="3.6"/>
    <n v="3591.1"/>
    <n v="6297.6"/>
    <n v="0"/>
    <n v="2706.5"/>
    <n v="6297.6"/>
    <n v="14"/>
  </r>
  <r>
    <d v="2026-09-05T15:00:00"/>
    <x v="0"/>
    <n v="33.200000000000003"/>
    <n v="32.299999999999997"/>
    <n v="2.1"/>
    <n v="1814.7"/>
    <n v="0.6"/>
    <n v="2309"/>
    <n v="4124.3"/>
    <n v="0"/>
    <n v="1815.3"/>
    <n v="4124.3"/>
    <n v="15"/>
  </r>
  <r>
    <d v="2026-09-05T16:00:00"/>
    <x v="0"/>
    <n v="29.4"/>
    <n v="23.7"/>
    <n v="5.9"/>
    <n v="1559.6"/>
    <n v="13.2"/>
    <n v="2670.1"/>
    <n v="4242.8999999999996"/>
    <n v="0"/>
    <n v="1572.8"/>
    <n v="4242.8999999999996"/>
    <n v="16"/>
  </r>
  <r>
    <d v="2026-09-05T17:00:00"/>
    <x v="0"/>
    <n v="30.3"/>
    <n v="14.4"/>
    <n v="2.4"/>
    <n v="1170.5"/>
    <n v="0.9"/>
    <n v="3000.7"/>
    <n v="4172.1000000000004"/>
    <n v="0"/>
    <n v="1171.4000000000001"/>
    <n v="4172.1000000000004"/>
    <n v="17"/>
  </r>
  <r>
    <d v="2026-09-05T18:00:00"/>
    <x v="0"/>
    <n v="26.4"/>
    <n v="13.9"/>
    <n v="1.6"/>
    <n v="602.5"/>
    <n v="0.3"/>
    <n v="4000"/>
    <n v="6703.9"/>
    <n v="1"/>
    <n v="602.79999999999995"/>
    <n v="4602.8"/>
    <n v="18"/>
  </r>
  <r>
    <d v="2026-09-05T19:00:00"/>
    <x v="0"/>
    <n v="26.5"/>
    <n v="11"/>
    <n v="4.4000000000000004"/>
    <n v="0"/>
    <n v="5.6"/>
    <n v="4000"/>
    <n v="7014.7"/>
    <n v="1"/>
    <n v="5.6"/>
    <n v="4005.6"/>
    <n v="19"/>
  </r>
  <r>
    <d v="2026-09-05T20:00:00"/>
    <x v="0"/>
    <n v="24.7"/>
    <n v="37.299999999999997"/>
    <n v="5.5"/>
    <n v="0"/>
    <n v="10.7"/>
    <n v="4000"/>
    <n v="6703.2"/>
    <n v="1"/>
    <n v="10.7"/>
    <n v="4010.7"/>
    <n v="20"/>
  </r>
  <r>
    <d v="2026-09-05T21:00:00"/>
    <x v="0"/>
    <n v="22.9"/>
    <n v="19.5"/>
    <n v="0"/>
    <n v="0"/>
    <n v="0"/>
    <n v="4000"/>
    <n v="6640.4"/>
    <n v="1"/>
    <n v="0"/>
    <n v="4000"/>
    <n v="21"/>
  </r>
  <r>
    <d v="2026-09-05T22:00:00"/>
    <x v="0"/>
    <n v="24.9"/>
    <n v="57.9"/>
    <n v="3.5"/>
    <n v="0"/>
    <n v="2.7"/>
    <n v="4000"/>
    <n v="4092.7"/>
    <n v="1"/>
    <n v="2.7"/>
    <n v="4002.7"/>
    <n v="22"/>
  </r>
  <r>
    <d v="2026-09-05T23:00:00"/>
    <x v="0"/>
    <n v="22.7"/>
    <n v="86.6"/>
    <n v="6.2"/>
    <n v="0"/>
    <n v="15.5"/>
    <n v="4000"/>
    <n v="4406.5"/>
    <n v="1"/>
    <n v="15.5"/>
    <n v="4015.5"/>
    <n v="23"/>
  </r>
  <r>
    <d v="2026-09-06T00:00:00"/>
    <x v="0"/>
    <n v="20.6"/>
    <n v="0"/>
    <n v="4.4000000000000004"/>
    <n v="0"/>
    <n v="5.5"/>
    <n v="4000"/>
    <n v="4300.8"/>
    <n v="1"/>
    <n v="5.5"/>
    <n v="4005.5"/>
    <n v="0"/>
  </r>
  <r>
    <d v="2026-09-06T01:00:00"/>
    <x v="0"/>
    <n v="20.100000000000001"/>
    <n v="12.1"/>
    <n v="1.8"/>
    <n v="0"/>
    <n v="0.4"/>
    <n v="4000"/>
    <n v="4206.5"/>
    <n v="1"/>
    <n v="0.4"/>
    <n v="4000.4"/>
    <n v="1"/>
  </r>
  <r>
    <d v="2026-09-06T02:00:00"/>
    <x v="0"/>
    <n v="24.1"/>
    <n v="24.8"/>
    <n v="7"/>
    <n v="0"/>
    <n v="21.6"/>
    <n v="4000"/>
    <n v="4573.1000000000004"/>
    <n v="1"/>
    <n v="21.6"/>
    <n v="4021.6"/>
    <n v="2"/>
  </r>
  <r>
    <d v="2026-09-06T03:00:00"/>
    <x v="0"/>
    <n v="22.5"/>
    <n v="55.5"/>
    <n v="5.0999999999999996"/>
    <n v="0"/>
    <n v="8.4"/>
    <n v="4000"/>
    <n v="4331.6000000000004"/>
    <n v="1"/>
    <n v="8.4"/>
    <n v="4008.4"/>
    <n v="3"/>
  </r>
  <r>
    <d v="2026-09-06T04:00:00"/>
    <x v="0"/>
    <n v="24.7"/>
    <n v="7.5"/>
    <n v="1.2"/>
    <n v="0"/>
    <n v="0.1"/>
    <n v="4000"/>
    <n v="4164.3999999999996"/>
    <n v="1"/>
    <n v="0.1"/>
    <n v="4000.1"/>
    <n v="4"/>
  </r>
  <r>
    <d v="2026-09-06T05:00:00"/>
    <x v="0"/>
    <n v="29.3"/>
    <n v="0"/>
    <n v="5.0999999999999996"/>
    <n v="0"/>
    <n v="8.6"/>
    <n v="4000"/>
    <n v="4458.8999999999996"/>
    <n v="1"/>
    <n v="8.6"/>
    <n v="4008.6"/>
    <n v="5"/>
  </r>
  <r>
    <d v="2026-09-06T06:00:00"/>
    <x v="0"/>
    <n v="27.3"/>
    <n v="13.2"/>
    <n v="2.2999999999999998"/>
    <n v="606.1"/>
    <n v="0.8"/>
    <n v="3615.5"/>
    <n v="4222.3999999999996"/>
    <n v="0"/>
    <n v="606.9"/>
    <n v="4222.3999999999996"/>
    <n v="6"/>
  </r>
  <r>
    <d v="2026-09-06T07:00:00"/>
    <x v="0"/>
    <n v="28.3"/>
    <n v="30.4"/>
    <n v="3.9"/>
    <n v="1024.5999999999999"/>
    <n v="3.8"/>
    <n v="3298.9"/>
    <n v="4327.3"/>
    <n v="0"/>
    <n v="1028.3999999999999"/>
    <n v="4327.3"/>
    <n v="7"/>
  </r>
  <r>
    <d v="2026-09-06T08:00:00"/>
    <x v="0"/>
    <n v="29.6"/>
    <n v="13.5"/>
    <n v="5.5"/>
    <n v="1694.2"/>
    <n v="10.7"/>
    <n v="2579.3000000000002"/>
    <n v="4284.2"/>
    <n v="0"/>
    <n v="1704.9"/>
    <n v="4284.2000000000007"/>
    <n v="8"/>
  </r>
  <r>
    <d v="2026-09-06T09:00:00"/>
    <x v="0"/>
    <n v="30.8"/>
    <n v="27"/>
    <n v="5.5"/>
    <n v="1902.4"/>
    <n v="10.7"/>
    <n v="2482"/>
    <n v="4395.1000000000004"/>
    <n v="0"/>
    <n v="1913.1000000000001"/>
    <n v="4395.1000000000004"/>
    <n v="9"/>
  </r>
  <r>
    <d v="2026-09-06T10:00:00"/>
    <x v="0"/>
    <n v="34"/>
    <n v="11.7"/>
    <n v="5.0999999999999996"/>
    <n v="2480.6"/>
    <n v="8.6999999999999993"/>
    <n v="3500.3"/>
    <n v="5989.6"/>
    <n v="0"/>
    <n v="2489.2999999999997"/>
    <n v="5989.6"/>
    <n v="10"/>
  </r>
  <r>
    <d v="2026-09-06T11:00:00"/>
    <x v="0"/>
    <n v="31.1"/>
    <n v="0"/>
    <n v="4.0999999999999996"/>
    <n v="2924.8"/>
    <n v="4.4000000000000004"/>
    <n v="3196.3"/>
    <n v="6125.5"/>
    <n v="0"/>
    <n v="2929.2000000000003"/>
    <n v="6125.5"/>
    <n v="11"/>
  </r>
  <r>
    <d v="2026-09-06T12:00:00"/>
    <x v="0"/>
    <n v="32.6"/>
    <n v="37.799999999999997"/>
    <n v="0.7"/>
    <n v="2206.8000000000002"/>
    <n v="0"/>
    <n v="4000"/>
    <n v="6279"/>
    <n v="1"/>
    <n v="2206.8000000000002"/>
    <n v="6206.8"/>
    <n v="12"/>
  </r>
  <r>
    <d v="2026-09-06T13:00:00"/>
    <x v="0"/>
    <n v="32"/>
    <n v="12"/>
    <n v="4.0999999999999996"/>
    <n v="2679.9"/>
    <n v="4.4000000000000004"/>
    <n v="3545.8"/>
    <n v="6230.1"/>
    <n v="0"/>
    <n v="2684.3"/>
    <n v="6230.1"/>
    <n v="13"/>
  </r>
  <r>
    <d v="2026-09-06T14:00:00"/>
    <x v="0"/>
    <n v="32.6"/>
    <n v="45.1"/>
    <n v="2.8"/>
    <n v="1849.1"/>
    <n v="1.5"/>
    <n v="4000"/>
    <n v="6110.9"/>
    <n v="1"/>
    <n v="1850.6"/>
    <n v="5850.6"/>
    <n v="14"/>
  </r>
  <r>
    <d v="2026-09-06T15:00:00"/>
    <x v="0"/>
    <n v="30.5"/>
    <n v="35.6"/>
    <n v="6.9"/>
    <n v="1761.1"/>
    <n v="20.9"/>
    <n v="2663.4"/>
    <n v="4445.3999999999996"/>
    <n v="0"/>
    <n v="1782"/>
    <n v="4445.3999999999996"/>
    <n v="15"/>
  </r>
  <r>
    <d v="2026-09-06T16:00:00"/>
    <x v="0"/>
    <n v="29.8"/>
    <n v="36.5"/>
    <n v="3.6"/>
    <n v="1392"/>
    <n v="3"/>
    <n v="2554.3000000000002"/>
    <n v="3949.3"/>
    <n v="0"/>
    <n v="1395"/>
    <n v="3949.3"/>
    <n v="16"/>
  </r>
  <r>
    <d v="2026-09-06T17:00:00"/>
    <x v="0"/>
    <n v="28.6"/>
    <n v="26.7"/>
    <n v="3.7"/>
    <n v="1058.0999999999999"/>
    <n v="3.2"/>
    <n v="3314.4"/>
    <n v="4375.7"/>
    <n v="0"/>
    <n v="1061.3"/>
    <n v="4375.7"/>
    <n v="17"/>
  </r>
  <r>
    <d v="2026-09-06T18:00:00"/>
    <x v="0"/>
    <n v="28.4"/>
    <n v="31.8"/>
    <n v="3.2"/>
    <n v="519.20000000000005"/>
    <n v="2.1"/>
    <n v="4000"/>
    <n v="6895.2"/>
    <n v="1"/>
    <n v="521.30000000000007"/>
    <n v="4521.3"/>
    <n v="18"/>
  </r>
  <r>
    <d v="2026-09-06T19:00:00"/>
    <x v="0"/>
    <n v="25.8"/>
    <n v="32.9"/>
    <n v="3.2"/>
    <n v="0"/>
    <n v="2"/>
    <n v="4000"/>
    <n v="6646.9"/>
    <n v="1"/>
    <n v="2"/>
    <n v="4002"/>
    <n v="19"/>
  </r>
  <r>
    <d v="2026-09-06T20:00:00"/>
    <x v="0"/>
    <n v="28.1"/>
    <n v="42.4"/>
    <n v="3.3"/>
    <n v="0"/>
    <n v="2.4"/>
    <n v="4000"/>
    <n v="6763.5"/>
    <n v="1"/>
    <n v="2.4"/>
    <n v="4002.4"/>
    <n v="20"/>
  </r>
  <r>
    <d v="2026-09-06T21:00:00"/>
    <x v="0"/>
    <n v="23.1"/>
    <n v="0"/>
    <n v="2"/>
    <n v="0"/>
    <n v="0.5"/>
    <n v="4000"/>
    <n v="6900.2"/>
    <n v="1"/>
    <n v="0.5"/>
    <n v="4000.5"/>
    <n v="21"/>
  </r>
  <r>
    <d v="2026-09-06T22:00:00"/>
    <x v="0"/>
    <n v="22.3"/>
    <n v="25.4"/>
    <n v="7.4"/>
    <n v="0"/>
    <n v="25.4"/>
    <n v="4000"/>
    <n v="4039.4"/>
    <n v="1"/>
    <n v="25.4"/>
    <n v="4025.4"/>
    <n v="22"/>
  </r>
  <r>
    <d v="2026-09-06T23:00:00"/>
    <x v="0"/>
    <n v="21.9"/>
    <n v="41.6"/>
    <n v="0"/>
    <n v="0"/>
    <n v="0"/>
    <n v="4000"/>
    <n v="4369"/>
    <n v="1"/>
    <n v="0"/>
    <n v="4000"/>
    <n v="23"/>
  </r>
  <r>
    <d v="2026-09-07T00:00:00"/>
    <x v="0"/>
    <n v="23.2"/>
    <n v="0"/>
    <n v="6.3"/>
    <n v="0"/>
    <n v="15.9"/>
    <n v="4000"/>
    <n v="4985.3"/>
    <n v="1"/>
    <n v="15.9"/>
    <n v="4015.9"/>
    <n v="0"/>
  </r>
  <r>
    <d v="2026-09-07T01:00:00"/>
    <x v="0"/>
    <n v="21.6"/>
    <n v="37.700000000000003"/>
    <n v="8.5"/>
    <n v="0"/>
    <n v="39.9"/>
    <n v="4000"/>
    <n v="5000.8"/>
    <n v="1"/>
    <n v="39.9"/>
    <n v="4039.9"/>
    <n v="1"/>
  </r>
  <r>
    <d v="2026-09-07T02:00:00"/>
    <x v="0"/>
    <n v="23.2"/>
    <n v="15.8"/>
    <n v="2.2999999999999998"/>
    <n v="0"/>
    <n v="0.8"/>
    <n v="4000"/>
    <n v="4977.3"/>
    <n v="1"/>
    <n v="0.8"/>
    <n v="4000.8"/>
    <n v="2"/>
  </r>
  <r>
    <d v="2026-09-07T03:00:00"/>
    <x v="0"/>
    <n v="22.5"/>
    <n v="26.4"/>
    <n v="3"/>
    <n v="0"/>
    <n v="1.8"/>
    <n v="4000"/>
    <n v="5074.6000000000004"/>
    <n v="1"/>
    <n v="1.8"/>
    <n v="4001.8"/>
    <n v="3"/>
  </r>
  <r>
    <d v="2026-09-07T04:00:00"/>
    <x v="0"/>
    <n v="25.5"/>
    <n v="45.8"/>
    <n v="3"/>
    <n v="0"/>
    <n v="1.7"/>
    <n v="4000"/>
    <n v="5021.8"/>
    <n v="1"/>
    <n v="1.7"/>
    <n v="4001.7"/>
    <n v="4"/>
  </r>
  <r>
    <d v="2026-09-07T05:00:00"/>
    <x v="0"/>
    <n v="25"/>
    <n v="16.100000000000001"/>
    <n v="4.8"/>
    <n v="0"/>
    <n v="6.9"/>
    <n v="4000"/>
    <n v="4909.5"/>
    <n v="1"/>
    <n v="6.9"/>
    <n v="4006.9"/>
    <n v="5"/>
  </r>
  <r>
    <d v="2026-09-07T06:00:00"/>
    <x v="0"/>
    <n v="26.6"/>
    <n v="42.4"/>
    <n v="6.7"/>
    <n v="469.5"/>
    <n v="19.3"/>
    <n v="4000"/>
    <n v="5063.5"/>
    <n v="1"/>
    <n v="488.8"/>
    <n v="4488.8"/>
    <n v="6"/>
  </r>
  <r>
    <d v="2026-09-07T07:00:00"/>
    <x v="0"/>
    <n v="32.4"/>
    <n v="9.5"/>
    <n v="1.5"/>
    <n v="1214.9000000000001"/>
    <n v="0.2"/>
    <n v="3796.9"/>
    <n v="5012"/>
    <n v="0"/>
    <n v="1215.1000000000001"/>
    <n v="5012"/>
    <n v="7"/>
  </r>
  <r>
    <d v="2026-09-07T08:00:00"/>
    <x v="0"/>
    <n v="33.200000000000003"/>
    <n v="38.1"/>
    <n v="3.9"/>
    <n v="1371.8"/>
    <n v="3.8"/>
    <n v="3307.6"/>
    <n v="4683.2"/>
    <n v="0"/>
    <n v="1375.6"/>
    <n v="4683.2"/>
    <n v="8"/>
  </r>
  <r>
    <d v="2026-09-07T09:00:00"/>
    <x v="0"/>
    <n v="30.6"/>
    <n v="73.900000000000006"/>
    <n v="4.3"/>
    <n v="1131.9000000000001"/>
    <n v="4.9000000000000004"/>
    <n v="3855.2"/>
    <n v="4992"/>
    <n v="0"/>
    <n v="1136.8000000000002"/>
    <n v="4992"/>
    <n v="9"/>
  </r>
  <r>
    <d v="2026-09-07T10:00:00"/>
    <x v="0"/>
    <n v="34.299999999999997"/>
    <n v="34.6"/>
    <n v="4.4000000000000004"/>
    <n v="2047.9"/>
    <n v="5.6"/>
    <n v="4000"/>
    <n v="7166.4"/>
    <n v="1"/>
    <n v="2053.5"/>
    <n v="6053.5"/>
    <n v="10"/>
  </r>
  <r>
    <d v="2026-09-07T11:00:00"/>
    <x v="0"/>
    <n v="34.5"/>
    <n v="62.6"/>
    <n v="6.7"/>
    <n v="1642.3"/>
    <n v="19.2"/>
    <n v="4000"/>
    <n v="7031.4"/>
    <n v="1"/>
    <n v="1661.5"/>
    <n v="5661.5"/>
    <n v="11"/>
  </r>
  <r>
    <d v="2026-09-07T12:00:00"/>
    <x v="0"/>
    <n v="33.200000000000003"/>
    <n v="5.2"/>
    <n v="3.7"/>
    <n v="2890.6"/>
    <n v="3.4"/>
    <n v="4000"/>
    <n v="7389"/>
    <n v="1"/>
    <n v="2894"/>
    <n v="6894"/>
    <n v="12"/>
  </r>
  <r>
    <d v="2026-09-07T13:00:00"/>
    <x v="0"/>
    <n v="35.4"/>
    <n v="0"/>
    <n v="7.1"/>
    <n v="2924.8"/>
    <n v="22.5"/>
    <n v="4000"/>
    <n v="7158.4"/>
    <n v="1"/>
    <n v="2947.3"/>
    <n v="6947.3"/>
    <n v="13"/>
  </r>
  <r>
    <d v="2026-09-07T14:00:00"/>
    <x v="0"/>
    <n v="32.6"/>
    <n v="4.8"/>
    <n v="0.7"/>
    <n v="2612.9"/>
    <n v="0"/>
    <n v="4000"/>
    <n v="7126.3"/>
    <n v="1"/>
    <n v="2612.9"/>
    <n v="6612.9"/>
    <n v="14"/>
  </r>
  <r>
    <d v="2026-09-07T15:00:00"/>
    <x v="0"/>
    <n v="32.4"/>
    <n v="0"/>
    <n v="1.4"/>
    <n v="2345.5"/>
    <n v="0.2"/>
    <n v="2727.8"/>
    <n v="5073.5"/>
    <n v="0"/>
    <n v="2345.6999999999998"/>
    <n v="5073.5"/>
    <n v="15"/>
  </r>
  <r>
    <d v="2026-09-07T16:00:00"/>
    <x v="0"/>
    <n v="33.5"/>
    <n v="19.8"/>
    <n v="1"/>
    <n v="1611.1"/>
    <n v="0.1"/>
    <n v="3288.4"/>
    <n v="4899.6000000000004"/>
    <n v="0"/>
    <n v="1611.1999999999998"/>
    <n v="4899.6000000000004"/>
    <n v="16"/>
  </r>
  <r>
    <d v="2026-09-07T17:00:00"/>
    <x v="0"/>
    <n v="29.1"/>
    <n v="0"/>
    <n v="3.9"/>
    <n v="1301.7"/>
    <n v="3.8"/>
    <n v="3607.6"/>
    <n v="4913.1000000000004"/>
    <n v="0"/>
    <n v="1305.5"/>
    <n v="4913.1000000000004"/>
    <n v="17"/>
  </r>
  <r>
    <d v="2026-09-07T18:00:00"/>
    <x v="0"/>
    <n v="29"/>
    <n v="62"/>
    <n v="6.3"/>
    <n v="377.9"/>
    <n v="15.6"/>
    <n v="4000"/>
    <n v="7665.4"/>
    <n v="1"/>
    <n v="393.5"/>
    <n v="4393.5"/>
    <n v="18"/>
  </r>
  <r>
    <d v="2026-09-07T19:00:00"/>
    <x v="0"/>
    <n v="24.8"/>
    <n v="76.5"/>
    <n v="4.0999999999999996"/>
    <n v="0"/>
    <n v="4.5"/>
    <n v="4000"/>
    <n v="7659.7"/>
    <n v="1"/>
    <n v="4.5"/>
    <n v="4004.5"/>
    <n v="19"/>
  </r>
  <r>
    <d v="2026-09-07T20:00:00"/>
    <x v="0"/>
    <n v="25"/>
    <n v="29"/>
    <n v="3.7"/>
    <n v="0"/>
    <n v="3.3"/>
    <n v="4000"/>
    <n v="7702.1"/>
    <n v="1"/>
    <n v="3.3"/>
    <n v="4003.3"/>
    <n v="20"/>
  </r>
  <r>
    <d v="2026-09-07T21:00:00"/>
    <x v="0"/>
    <n v="22.9"/>
    <n v="24.3"/>
    <n v="2.9"/>
    <n v="0"/>
    <n v="1.6"/>
    <n v="4000"/>
    <n v="7614"/>
    <n v="1"/>
    <n v="1.6"/>
    <n v="4001.6"/>
    <n v="21"/>
  </r>
  <r>
    <d v="2026-09-07T22:00:00"/>
    <x v="0"/>
    <n v="23"/>
    <n v="19.899999999999999"/>
    <n v="7"/>
    <n v="0"/>
    <n v="22"/>
    <n v="4000"/>
    <n v="4843.1000000000004"/>
    <n v="1"/>
    <n v="22"/>
    <n v="4022"/>
    <n v="22"/>
  </r>
  <r>
    <d v="2026-09-07T23:00:00"/>
    <x v="0"/>
    <n v="23.8"/>
    <n v="49.9"/>
    <n v="0"/>
    <n v="0"/>
    <n v="0"/>
    <n v="4000"/>
    <n v="4552.3999999999996"/>
    <n v="1"/>
    <n v="0"/>
    <n v="4000"/>
    <n v="23"/>
  </r>
  <r>
    <d v="2026-09-08T00:00:00"/>
    <x v="0"/>
    <n v="21.4"/>
    <n v="0"/>
    <n v="2.4"/>
    <n v="0"/>
    <n v="0.9"/>
    <n v="4000"/>
    <n v="4898.6000000000004"/>
    <n v="1"/>
    <n v="0.9"/>
    <n v="4000.9"/>
    <n v="0"/>
  </r>
  <r>
    <d v="2026-09-08T01:00:00"/>
    <x v="0"/>
    <n v="24.8"/>
    <n v="43.7"/>
    <n v="6.5"/>
    <n v="0"/>
    <n v="17.899999999999999"/>
    <n v="4000"/>
    <n v="4783.3999999999996"/>
    <n v="1"/>
    <n v="17.899999999999999"/>
    <n v="4017.9"/>
    <n v="1"/>
  </r>
  <r>
    <d v="2026-09-08T02:00:00"/>
    <x v="0"/>
    <n v="21.1"/>
    <n v="14.5"/>
    <n v="5"/>
    <n v="0"/>
    <n v="7.9"/>
    <n v="4000"/>
    <n v="5058.3"/>
    <n v="1"/>
    <n v="7.9"/>
    <n v="4007.9"/>
    <n v="2"/>
  </r>
  <r>
    <d v="2026-09-08T03:00:00"/>
    <x v="0"/>
    <n v="24.8"/>
    <n v="20.2"/>
    <n v="3.3"/>
    <n v="0"/>
    <n v="2.2000000000000002"/>
    <n v="4000"/>
    <n v="4766.7"/>
    <n v="1"/>
    <n v="2.2000000000000002"/>
    <n v="4002.2"/>
    <n v="3"/>
  </r>
  <r>
    <d v="2026-09-08T04:00:00"/>
    <x v="0"/>
    <n v="25.7"/>
    <n v="17.8"/>
    <n v="6.3"/>
    <n v="0"/>
    <n v="16.100000000000001"/>
    <n v="4000"/>
    <n v="5056.6000000000004"/>
    <n v="1"/>
    <n v="16.100000000000001"/>
    <n v="4016.1"/>
    <n v="4"/>
  </r>
  <r>
    <d v="2026-09-08T05:00:00"/>
    <x v="0"/>
    <n v="27.4"/>
    <n v="36.9"/>
    <n v="3.4"/>
    <n v="0"/>
    <n v="2.5"/>
    <n v="4000"/>
    <n v="4787.8"/>
    <n v="1"/>
    <n v="2.5"/>
    <n v="4002.5"/>
    <n v="5"/>
  </r>
  <r>
    <d v="2026-09-08T06:00:00"/>
    <x v="0"/>
    <n v="26.1"/>
    <n v="43.5"/>
    <n v="3.6"/>
    <n v="464.4"/>
    <n v="3.1"/>
    <n v="4000"/>
    <n v="4998.8999999999996"/>
    <n v="1"/>
    <n v="467.5"/>
    <n v="4467.5"/>
    <n v="6"/>
  </r>
  <r>
    <d v="2026-09-08T07:00:00"/>
    <x v="0"/>
    <n v="31.1"/>
    <n v="10.9"/>
    <n v="1.2"/>
    <n v="1202.2"/>
    <n v="0.1"/>
    <n v="3669.3"/>
    <n v="4871.6000000000004"/>
    <n v="0"/>
    <n v="1202.3"/>
    <n v="4871.6000000000004"/>
    <n v="7"/>
  </r>
  <r>
    <d v="2026-09-08T08:00:00"/>
    <x v="0"/>
    <n v="31.9"/>
    <n v="0"/>
    <n v="7.5"/>
    <n v="1870.5"/>
    <n v="27.1"/>
    <n v="2818.9"/>
    <n v="4716.5"/>
    <n v="0"/>
    <n v="1897.6"/>
    <n v="4716.5"/>
    <n v="8"/>
  </r>
  <r>
    <d v="2026-09-08T09:00:00"/>
    <x v="0"/>
    <n v="34.799999999999997"/>
    <n v="29.2"/>
    <n v="3.8"/>
    <n v="1865.7"/>
    <n v="3.5"/>
    <n v="2768.5"/>
    <n v="4637.7"/>
    <n v="0"/>
    <n v="1869.2"/>
    <n v="4637.7"/>
    <n v="9"/>
  </r>
  <r>
    <d v="2026-09-08T10:00:00"/>
    <x v="0"/>
    <n v="33.799999999999997"/>
    <n v="24.2"/>
    <n v="6.2"/>
    <n v="2244.1"/>
    <n v="15.3"/>
    <n v="4000"/>
    <n v="7068.3"/>
    <n v="1"/>
    <n v="2259.4"/>
    <n v="6259.4"/>
    <n v="10"/>
  </r>
  <r>
    <d v="2026-09-08T11:00:00"/>
    <x v="0"/>
    <n v="34"/>
    <n v="17.7"/>
    <n v="3.9"/>
    <n v="2561.8000000000002"/>
    <n v="3.8"/>
    <n v="4000"/>
    <n v="7167.1"/>
    <n v="1"/>
    <n v="2565.6000000000004"/>
    <n v="6565.6"/>
    <n v="11"/>
  </r>
  <r>
    <d v="2026-09-08T12:00:00"/>
    <x v="0"/>
    <n v="31.4"/>
    <n v="0"/>
    <n v="5.5"/>
    <n v="3000"/>
    <n v="10.6"/>
    <n v="4000"/>
    <n v="7196.2"/>
    <n v="1"/>
    <n v="3010.6"/>
    <n v="7010.6"/>
    <n v="12"/>
  </r>
  <r>
    <d v="2026-09-08T13:00:00"/>
    <x v="0"/>
    <n v="33.5"/>
    <n v="25.4"/>
    <n v="4.7"/>
    <n v="2405.4"/>
    <n v="6.6"/>
    <n v="4000"/>
    <n v="7175.6"/>
    <n v="1"/>
    <n v="2412"/>
    <n v="6412"/>
    <n v="13"/>
  </r>
  <r>
    <d v="2026-09-08T14:00:00"/>
    <x v="0"/>
    <n v="32"/>
    <n v="28.9"/>
    <n v="2"/>
    <n v="2155.8000000000002"/>
    <n v="0.5"/>
    <n v="4000"/>
    <n v="7069"/>
    <n v="1"/>
    <n v="2156.3000000000002"/>
    <n v="6156.3"/>
    <n v="14"/>
  </r>
  <r>
    <d v="2026-09-08T15:00:00"/>
    <x v="0"/>
    <n v="29.7"/>
    <n v="45.6"/>
    <n v="4.9000000000000004"/>
    <n v="1597.1"/>
    <n v="7.7"/>
    <n v="3406.4"/>
    <n v="5011.2"/>
    <n v="0"/>
    <n v="1604.8"/>
    <n v="5011.2"/>
    <n v="15"/>
  </r>
  <r>
    <d v="2026-09-08T16:00:00"/>
    <x v="0"/>
    <n v="32.5"/>
    <n v="58.3"/>
    <n v="6"/>
    <n v="1107"/>
    <n v="14"/>
    <n v="3867.4"/>
    <n v="4988.3999999999996"/>
    <n v="0"/>
    <n v="1121"/>
    <n v="4988.3999999999996"/>
    <n v="16"/>
  </r>
  <r>
    <d v="2026-09-08T17:00:00"/>
    <x v="0"/>
    <n v="27.6"/>
    <n v="12.5"/>
    <n v="4.0999999999999996"/>
    <n v="1187.7"/>
    <n v="4.3"/>
    <n v="3481.9"/>
    <n v="4673.8999999999996"/>
    <n v="0"/>
    <n v="1192"/>
    <n v="4673.8999999999996"/>
    <n v="17"/>
  </r>
  <r>
    <d v="2026-09-08T18:00:00"/>
    <x v="0"/>
    <n v="26.9"/>
    <n v="28.7"/>
    <n v="2.5"/>
    <n v="533.29999999999995"/>
    <n v="1"/>
    <n v="4000"/>
    <n v="7777.6"/>
    <n v="1"/>
    <n v="534.29999999999995"/>
    <n v="4534.3"/>
    <n v="18"/>
  </r>
  <r>
    <d v="2026-09-08T19:00:00"/>
    <x v="0"/>
    <n v="24.3"/>
    <n v="6.5"/>
    <n v="1.3"/>
    <n v="0"/>
    <n v="0.1"/>
    <n v="4000"/>
    <n v="7608.3"/>
    <n v="1"/>
    <n v="0.1"/>
    <n v="4000.1"/>
    <n v="19"/>
  </r>
  <r>
    <d v="2026-09-08T20:00:00"/>
    <x v="0"/>
    <n v="26.6"/>
    <n v="6"/>
    <n v="9.3000000000000007"/>
    <n v="0"/>
    <n v="50.9"/>
    <n v="4000"/>
    <n v="7553.6"/>
    <n v="1"/>
    <n v="50.9"/>
    <n v="4050.9"/>
    <n v="20"/>
  </r>
  <r>
    <d v="2026-09-08T21:00:00"/>
    <x v="0"/>
    <n v="24"/>
    <n v="7.8"/>
    <n v="5.4"/>
    <n v="0"/>
    <n v="10.1"/>
    <n v="4000"/>
    <n v="7774"/>
    <n v="1"/>
    <n v="10.1"/>
    <n v="4010.1"/>
    <n v="21"/>
  </r>
  <r>
    <d v="2026-09-08T22:00:00"/>
    <x v="0"/>
    <n v="23"/>
    <n v="76.2"/>
    <n v="3.8"/>
    <n v="0"/>
    <n v="3.5"/>
    <n v="4000"/>
    <n v="4863.7"/>
    <n v="1"/>
    <n v="3.5"/>
    <n v="4003.5"/>
    <n v="22"/>
  </r>
  <r>
    <d v="2026-09-08T23:00:00"/>
    <x v="0"/>
    <n v="21.1"/>
    <n v="24.3"/>
    <n v="7.5"/>
    <n v="0"/>
    <n v="27.5"/>
    <n v="4000"/>
    <n v="5122.3999999999996"/>
    <n v="1"/>
    <n v="27.5"/>
    <n v="4027.5"/>
    <n v="23"/>
  </r>
  <r>
    <d v="2026-09-09T00:00:00"/>
    <x v="0"/>
    <n v="24.7"/>
    <n v="39.200000000000003"/>
    <n v="2.9"/>
    <n v="0"/>
    <n v="1.5"/>
    <n v="4000"/>
    <n v="4856"/>
    <n v="1"/>
    <n v="1.5"/>
    <n v="4001.5"/>
    <n v="0"/>
  </r>
  <r>
    <d v="2026-09-09T01:00:00"/>
    <x v="0"/>
    <n v="23.7"/>
    <n v="37.4"/>
    <n v="0.9"/>
    <n v="0"/>
    <n v="0"/>
    <n v="4000"/>
    <n v="5044.8999999999996"/>
    <n v="1"/>
    <n v="0"/>
    <n v="4000"/>
    <n v="1"/>
  </r>
  <r>
    <d v="2026-09-09T02:00:00"/>
    <x v="0"/>
    <n v="22.4"/>
    <n v="23.5"/>
    <n v="5.2"/>
    <n v="0"/>
    <n v="9.1999999999999993"/>
    <n v="4000"/>
    <n v="4840.8999999999996"/>
    <n v="1"/>
    <n v="9.1999999999999993"/>
    <n v="4009.2"/>
    <n v="2"/>
  </r>
  <r>
    <d v="2026-09-09T03:00:00"/>
    <x v="0"/>
    <n v="21.8"/>
    <n v="32.6"/>
    <n v="5.2"/>
    <n v="0"/>
    <n v="9.1"/>
    <n v="4000"/>
    <n v="4976.7"/>
    <n v="1"/>
    <n v="9.1"/>
    <n v="4009.1"/>
    <n v="3"/>
  </r>
  <r>
    <d v="2026-09-09T04:00:00"/>
    <x v="0"/>
    <n v="26.6"/>
    <n v="41.7"/>
    <n v="4.9000000000000004"/>
    <n v="0"/>
    <n v="7.6"/>
    <n v="4000"/>
    <n v="5034"/>
    <n v="1"/>
    <n v="7.6"/>
    <n v="4007.6"/>
    <n v="4"/>
  </r>
  <r>
    <d v="2026-09-09T05:00:00"/>
    <x v="0"/>
    <n v="24"/>
    <n v="33.6"/>
    <n v="4.4000000000000004"/>
    <n v="0"/>
    <n v="5.5"/>
    <n v="4000"/>
    <n v="4939.5"/>
    <n v="1"/>
    <n v="5.5"/>
    <n v="4005.5"/>
    <n v="5"/>
  </r>
  <r>
    <d v="2026-09-09T06:00:00"/>
    <x v="0"/>
    <n v="26.1"/>
    <n v="3.4"/>
    <n v="6.1"/>
    <n v="651.79999999999995"/>
    <n v="14.6"/>
    <n v="4000"/>
    <n v="4990.7"/>
    <n v="1"/>
    <n v="666.4"/>
    <n v="4666.3999999999996"/>
    <n v="6"/>
  </r>
  <r>
    <d v="2026-09-09T07:00:00"/>
    <x v="0"/>
    <n v="30.6"/>
    <n v="25.6"/>
    <n v="4.0999999999999996"/>
    <n v="1068.7"/>
    <n v="4.3"/>
    <n v="3871.1"/>
    <n v="4944.1000000000004"/>
    <n v="0"/>
    <n v="1073"/>
    <n v="4944.1000000000004"/>
    <n v="7"/>
  </r>
  <r>
    <d v="2026-09-09T08:00:00"/>
    <x v="0"/>
    <n v="30.2"/>
    <n v="26.9"/>
    <n v="3.1"/>
    <n v="1518"/>
    <n v="1.9"/>
    <n v="3570.8"/>
    <n v="5090.7"/>
    <n v="0"/>
    <n v="1519.9"/>
    <n v="5090.7000000000007"/>
    <n v="8"/>
  </r>
  <r>
    <d v="2026-09-09T09:00:00"/>
    <x v="0"/>
    <n v="31.8"/>
    <n v="29.4"/>
    <n v="3"/>
    <n v="1862.1"/>
    <n v="1.8"/>
    <n v="3020.9"/>
    <n v="4884.8"/>
    <n v="0"/>
    <n v="1863.8999999999999"/>
    <n v="4884.8"/>
    <n v="9"/>
  </r>
  <r>
    <d v="2026-09-09T10:00:00"/>
    <x v="0"/>
    <n v="31.9"/>
    <n v="21.3"/>
    <n v="3.1"/>
    <n v="2300.6"/>
    <n v="1.9"/>
    <n v="4000"/>
    <n v="7338.4"/>
    <n v="1"/>
    <n v="2302.5"/>
    <n v="6302.5"/>
    <n v="10"/>
  </r>
  <r>
    <d v="2026-09-09T11:00:00"/>
    <x v="0"/>
    <n v="34.1"/>
    <n v="45.6"/>
    <n v="1"/>
    <n v="1990.4"/>
    <n v="0.1"/>
    <n v="4000"/>
    <n v="7367"/>
    <n v="1"/>
    <n v="1990.5"/>
    <n v="5990.5"/>
    <n v="11"/>
  </r>
  <r>
    <d v="2026-09-09T12:00:00"/>
    <x v="0"/>
    <n v="35.299999999999997"/>
    <n v="26.6"/>
    <n v="6.1"/>
    <n v="2440.4"/>
    <n v="14.7"/>
    <n v="4000"/>
    <n v="7190.1"/>
    <n v="1"/>
    <n v="2455.1"/>
    <n v="6455.1"/>
    <n v="12"/>
  </r>
  <r>
    <d v="2026-09-09T13:00:00"/>
    <x v="0"/>
    <n v="35.9"/>
    <n v="71"/>
    <n v="3.3"/>
    <n v="1471.6"/>
    <n v="2.2000000000000002"/>
    <n v="4000"/>
    <n v="7072.4"/>
    <n v="1"/>
    <n v="1473.8"/>
    <n v="5473.8"/>
    <n v="13"/>
  </r>
  <r>
    <d v="2026-09-09T14:00:00"/>
    <x v="0"/>
    <n v="35.4"/>
    <n v="56.6"/>
    <n v="3"/>
    <n v="1632.2"/>
    <n v="1.7"/>
    <n v="4000"/>
    <n v="7083.2"/>
    <n v="1"/>
    <n v="1633.9"/>
    <n v="5633.9"/>
    <n v="14"/>
  </r>
  <r>
    <d v="2026-09-09T15:00:00"/>
    <x v="0"/>
    <n v="31.8"/>
    <n v="0"/>
    <n v="2.2000000000000002"/>
    <n v="2345.5"/>
    <n v="0.6"/>
    <n v="2540.9"/>
    <n v="4887"/>
    <n v="0"/>
    <n v="2346.1"/>
    <n v="4887"/>
    <n v="15"/>
  </r>
  <r>
    <d v="2026-09-09T16:00:00"/>
    <x v="0"/>
    <n v="29.8"/>
    <n v="24.3"/>
    <n v="4.5"/>
    <n v="1552.2"/>
    <n v="5.7"/>
    <n v="3241.5"/>
    <n v="4799.3999999999996"/>
    <n v="0"/>
    <n v="1557.9"/>
    <n v="4799.3999999999996"/>
    <n v="16"/>
  </r>
  <r>
    <d v="2026-09-09T17:00:00"/>
    <x v="0"/>
    <n v="28.1"/>
    <n v="44.7"/>
    <n v="3.6"/>
    <n v="894.5"/>
    <n v="2.9"/>
    <n v="4000"/>
    <n v="5182.6000000000004"/>
    <n v="1"/>
    <n v="897.4"/>
    <n v="4897.3999999999996"/>
    <n v="17"/>
  </r>
  <r>
    <d v="2026-09-09T18:00:00"/>
    <x v="0"/>
    <n v="29"/>
    <n v="2.5"/>
    <n v="4.8"/>
    <n v="655.7"/>
    <n v="6.9"/>
    <n v="4000"/>
    <n v="7692.6"/>
    <n v="1"/>
    <n v="662.6"/>
    <n v="4662.6000000000004"/>
    <n v="18"/>
  </r>
  <r>
    <d v="2026-09-09T19:00:00"/>
    <x v="0"/>
    <n v="27.2"/>
    <n v="30.8"/>
    <n v="8.9"/>
    <n v="0"/>
    <n v="45.3"/>
    <n v="4000"/>
    <n v="7725"/>
    <n v="1"/>
    <n v="45.3"/>
    <n v="4045.3"/>
    <n v="19"/>
  </r>
  <r>
    <d v="2026-09-09T20:00:00"/>
    <x v="0"/>
    <n v="24.2"/>
    <n v="12.5"/>
    <n v="2.9"/>
    <n v="0"/>
    <n v="1.5"/>
    <n v="4000"/>
    <n v="7604.3"/>
    <n v="1"/>
    <n v="1.5"/>
    <n v="4001.5"/>
    <n v="20"/>
  </r>
  <r>
    <d v="2026-09-09T21:00:00"/>
    <x v="0"/>
    <n v="25.5"/>
    <n v="53.4"/>
    <n v="2.9"/>
    <n v="0"/>
    <n v="1.5"/>
    <n v="4000"/>
    <n v="7604.4"/>
    <n v="1"/>
    <n v="1.5"/>
    <n v="4001.5"/>
    <n v="21"/>
  </r>
  <r>
    <d v="2026-09-09T22:00:00"/>
    <x v="0"/>
    <n v="23.5"/>
    <n v="14"/>
    <n v="5.3"/>
    <n v="0"/>
    <n v="9.3000000000000007"/>
    <n v="4000"/>
    <n v="4825.1000000000004"/>
    <n v="1"/>
    <n v="9.3000000000000007"/>
    <n v="4009.3"/>
    <n v="22"/>
  </r>
  <r>
    <d v="2026-09-09T23:00:00"/>
    <x v="0"/>
    <n v="19.899999999999999"/>
    <n v="56"/>
    <n v="7.6"/>
    <n v="0"/>
    <n v="28"/>
    <n v="4000"/>
    <n v="4980.3999999999996"/>
    <n v="1"/>
    <n v="28"/>
    <n v="4028"/>
    <n v="23"/>
  </r>
  <r>
    <d v="2026-09-10T00:00:00"/>
    <x v="0"/>
    <n v="21.4"/>
    <n v="30.7"/>
    <n v="4.7"/>
    <n v="0"/>
    <n v="6.5"/>
    <n v="4000"/>
    <n v="4858.1000000000004"/>
    <n v="1"/>
    <n v="6.5"/>
    <n v="4006.5"/>
    <n v="0"/>
  </r>
  <r>
    <d v="2026-09-10T01:00:00"/>
    <x v="0"/>
    <n v="25.2"/>
    <n v="21.5"/>
    <n v="2.4"/>
    <n v="0"/>
    <n v="0.9"/>
    <n v="4000"/>
    <n v="5048.8"/>
    <n v="1"/>
    <n v="0.9"/>
    <n v="4000.9"/>
    <n v="1"/>
  </r>
  <r>
    <d v="2026-09-10T02:00:00"/>
    <x v="0"/>
    <n v="21.7"/>
    <n v="24.3"/>
    <n v="7.6"/>
    <n v="0"/>
    <n v="28"/>
    <n v="4000"/>
    <n v="4743.1000000000004"/>
    <n v="1"/>
    <n v="28"/>
    <n v="4028"/>
    <n v="2"/>
  </r>
  <r>
    <d v="2026-09-10T03:00:00"/>
    <x v="0"/>
    <n v="24.1"/>
    <n v="24.7"/>
    <n v="6.4"/>
    <n v="0"/>
    <n v="16.600000000000001"/>
    <n v="4000"/>
    <n v="4872.3999999999996"/>
    <n v="1"/>
    <n v="16.600000000000001"/>
    <n v="4016.6"/>
    <n v="3"/>
  </r>
  <r>
    <d v="2026-09-10T04:00:00"/>
    <x v="0"/>
    <n v="24.2"/>
    <n v="15.2"/>
    <n v="6.1"/>
    <n v="0"/>
    <n v="14.4"/>
    <n v="4000"/>
    <n v="5329"/>
    <n v="1"/>
    <n v="14.4"/>
    <n v="4014.4"/>
    <n v="4"/>
  </r>
  <r>
    <d v="2026-09-10T05:00:00"/>
    <x v="0"/>
    <n v="29.2"/>
    <n v="36.700000000000003"/>
    <n v="3.3"/>
    <n v="0"/>
    <n v="2.2999999999999998"/>
    <n v="4000"/>
    <n v="5052.3"/>
    <n v="1"/>
    <n v="2.2999999999999998"/>
    <n v="4002.3"/>
    <n v="5"/>
  </r>
  <r>
    <d v="2026-09-10T06:00:00"/>
    <x v="0"/>
    <n v="29.7"/>
    <n v="41.4"/>
    <n v="5"/>
    <n v="474.1"/>
    <n v="8.1"/>
    <n v="4000"/>
    <n v="5038.6000000000004"/>
    <n v="1"/>
    <n v="482.20000000000005"/>
    <n v="4482.2"/>
    <n v="6"/>
  </r>
  <r>
    <d v="2026-09-10T07:00:00"/>
    <x v="0"/>
    <n v="31.3"/>
    <n v="52.6"/>
    <n v="5.3"/>
    <n v="822"/>
    <n v="9.5"/>
    <n v="4000"/>
    <n v="5110"/>
    <n v="1"/>
    <n v="831.5"/>
    <n v="4831.5"/>
    <n v="7"/>
  </r>
  <r>
    <d v="2026-09-10T08:00:00"/>
    <x v="0"/>
    <n v="31.2"/>
    <n v="49.1"/>
    <n v="2.4"/>
    <n v="1227.2"/>
    <n v="0.8"/>
    <n v="3696.9"/>
    <n v="4924.8999999999996"/>
    <n v="0"/>
    <n v="1228"/>
    <n v="4924.8999999999996"/>
    <n v="8"/>
  </r>
  <r>
    <d v="2026-09-10T09:00:00"/>
    <x v="0"/>
    <n v="31.7"/>
    <n v="25.6"/>
    <n v="6.6"/>
    <n v="1925.6"/>
    <n v="18"/>
    <n v="3061.7"/>
    <n v="5005.3"/>
    <n v="0"/>
    <n v="1943.6"/>
    <n v="5005.2999999999993"/>
    <n v="9"/>
  </r>
  <r>
    <d v="2026-09-10T10:00:00"/>
    <x v="0"/>
    <n v="33.299999999999997"/>
    <n v="0"/>
    <n v="5.5"/>
    <n v="2702.9"/>
    <n v="10.6"/>
    <n v="4000"/>
    <n v="7178.7"/>
    <n v="1"/>
    <n v="2713.5"/>
    <n v="6713.5"/>
    <n v="10"/>
  </r>
  <r>
    <d v="2026-09-10T11:00:00"/>
    <x v="0"/>
    <n v="37"/>
    <n v="18.8"/>
    <n v="4.4000000000000004"/>
    <n v="2539"/>
    <n v="5.6"/>
    <n v="4000"/>
    <n v="7246.8"/>
    <n v="1"/>
    <n v="2544.6"/>
    <n v="6544.6"/>
    <n v="11"/>
  </r>
  <r>
    <d v="2026-09-10T12:00:00"/>
    <x v="0"/>
    <n v="36.4"/>
    <n v="23.1"/>
    <n v="4.5999999999999996"/>
    <n v="2515"/>
    <n v="6.1"/>
    <n v="4000"/>
    <n v="7187.4"/>
    <n v="1"/>
    <n v="2521.1"/>
    <n v="6521.1"/>
    <n v="12"/>
  </r>
  <r>
    <d v="2026-09-10T13:00:00"/>
    <x v="0"/>
    <n v="34.1"/>
    <n v="16.100000000000001"/>
    <n v="4.4000000000000004"/>
    <n v="2595.6999999999998"/>
    <n v="5.4"/>
    <n v="4000"/>
    <n v="7241.2"/>
    <n v="1"/>
    <n v="2601.1"/>
    <n v="6601.1"/>
    <n v="13"/>
  </r>
  <r>
    <d v="2026-09-10T14:00:00"/>
    <x v="0"/>
    <n v="31.7"/>
    <n v="27.7"/>
    <n v="2.6"/>
    <n v="2179.6"/>
    <n v="1.1000000000000001"/>
    <n v="4000"/>
    <n v="7311"/>
    <n v="1"/>
    <n v="2180.6999999999998"/>
    <n v="6180.7"/>
    <n v="14"/>
  </r>
  <r>
    <d v="2026-09-10T15:00:00"/>
    <x v="0"/>
    <n v="30"/>
    <n v="13.8"/>
    <n v="4.8"/>
    <n v="2118.6"/>
    <n v="6.9"/>
    <n v="3003.8"/>
    <n v="5129.3"/>
    <n v="0"/>
    <n v="2125.5"/>
    <n v="5129.3"/>
    <n v="15"/>
  </r>
  <r>
    <d v="2026-09-10T16:00:00"/>
    <x v="0"/>
    <n v="30.9"/>
    <n v="13.9"/>
    <n v="7.8"/>
    <n v="1688.5"/>
    <n v="29.9"/>
    <n v="3466.4"/>
    <n v="5184.8"/>
    <n v="0"/>
    <n v="1718.4"/>
    <n v="5184.8"/>
    <n v="16"/>
  </r>
  <r>
    <d v="2026-09-10T17:00:00"/>
    <x v="0"/>
    <n v="26.3"/>
    <n v="33.799999999999997"/>
    <n v="3"/>
    <n v="993.7"/>
    <n v="1.7"/>
    <n v="3737.4"/>
    <n v="4732.8"/>
    <n v="0"/>
    <n v="995.40000000000009"/>
    <n v="4732.8"/>
    <n v="17"/>
  </r>
  <r>
    <d v="2026-09-10T18:00:00"/>
    <x v="0"/>
    <n v="29.1"/>
    <n v="29.9"/>
    <n v="2.9"/>
    <n v="528"/>
    <n v="1.5"/>
    <n v="4000"/>
    <n v="7546.8"/>
    <n v="1"/>
    <n v="529.5"/>
    <n v="4529.5"/>
    <n v="18"/>
  </r>
  <r>
    <d v="2026-09-10T19:00:00"/>
    <x v="0"/>
    <n v="27.8"/>
    <n v="38"/>
    <n v="3.8"/>
    <n v="0"/>
    <n v="3.5"/>
    <n v="4000"/>
    <n v="7508"/>
    <n v="1"/>
    <n v="3.5"/>
    <n v="4003.5"/>
    <n v="19"/>
  </r>
  <r>
    <d v="2026-09-10T20:00:00"/>
    <x v="0"/>
    <n v="23.4"/>
    <n v="0"/>
    <n v="2.6"/>
    <n v="0"/>
    <n v="1.1000000000000001"/>
    <n v="4000"/>
    <n v="7977"/>
    <n v="1"/>
    <n v="1.1000000000000001"/>
    <n v="4001.1"/>
    <n v="20"/>
  </r>
  <r>
    <d v="2026-09-10T21:00:00"/>
    <x v="0"/>
    <n v="24.1"/>
    <n v="20.2"/>
    <n v="4.7"/>
    <n v="0"/>
    <n v="6.7"/>
    <n v="4000"/>
    <n v="7693.2"/>
    <n v="1"/>
    <n v="6.7"/>
    <n v="4006.7"/>
    <n v="21"/>
  </r>
  <r>
    <d v="2026-09-10T22:00:00"/>
    <x v="0"/>
    <n v="25"/>
    <n v="23.4"/>
    <n v="6.2"/>
    <n v="0"/>
    <n v="15.5"/>
    <n v="4000"/>
    <n v="4762.3"/>
    <n v="1"/>
    <n v="15.5"/>
    <n v="4015.5"/>
    <n v="22"/>
  </r>
  <r>
    <d v="2026-09-10T23:00:00"/>
    <x v="0"/>
    <n v="22.9"/>
    <n v="36.4"/>
    <n v="4.9000000000000004"/>
    <n v="0"/>
    <n v="7.5"/>
    <n v="4000"/>
    <n v="5001.3999999999996"/>
    <n v="1"/>
    <n v="7.5"/>
    <n v="4007.5"/>
    <n v="23"/>
  </r>
  <r>
    <d v="2026-09-11T00:00:00"/>
    <x v="0"/>
    <n v="24"/>
    <n v="28.9"/>
    <n v="5.4"/>
    <n v="0"/>
    <n v="10.199999999999999"/>
    <n v="4000"/>
    <n v="5046.3999999999996"/>
    <n v="1"/>
    <n v="10.199999999999999"/>
    <n v="4010.2"/>
    <n v="0"/>
  </r>
  <r>
    <d v="2026-09-11T01:00:00"/>
    <x v="0"/>
    <n v="24.4"/>
    <n v="11.5"/>
    <n v="7.6"/>
    <n v="0"/>
    <n v="28.1"/>
    <n v="4000"/>
    <n v="4936.5"/>
    <n v="1"/>
    <n v="28.1"/>
    <n v="4028.1"/>
    <n v="1"/>
  </r>
  <r>
    <d v="2026-09-11T02:00:00"/>
    <x v="0"/>
    <n v="20.7"/>
    <n v="27.6"/>
    <n v="2.6"/>
    <n v="0"/>
    <n v="1.2"/>
    <n v="4000"/>
    <n v="4944"/>
    <n v="1"/>
    <n v="1.2"/>
    <n v="4001.2"/>
    <n v="2"/>
  </r>
  <r>
    <d v="2026-09-11T03:00:00"/>
    <x v="0"/>
    <n v="22.8"/>
    <n v="16.100000000000001"/>
    <n v="0.2"/>
    <n v="0"/>
    <n v="0"/>
    <n v="4000"/>
    <n v="5076.1000000000004"/>
    <n v="1"/>
    <n v="0"/>
    <n v="4000"/>
    <n v="3"/>
  </r>
  <r>
    <d v="2026-09-11T04:00:00"/>
    <x v="0"/>
    <n v="21.4"/>
    <n v="0"/>
    <n v="5.5"/>
    <n v="0"/>
    <n v="10.8"/>
    <n v="4000"/>
    <n v="4882.2"/>
    <n v="1"/>
    <n v="10.8"/>
    <n v="4010.8"/>
    <n v="4"/>
  </r>
  <r>
    <d v="2026-09-11T05:00:00"/>
    <x v="0"/>
    <n v="27.1"/>
    <n v="5.7"/>
    <n v="3.9"/>
    <n v="0"/>
    <n v="3.8"/>
    <n v="4000"/>
    <n v="5067.8999999999996"/>
    <n v="1"/>
    <n v="3.8"/>
    <n v="4003.8"/>
    <n v="5"/>
  </r>
  <r>
    <d v="2026-09-11T06:00:00"/>
    <x v="0"/>
    <n v="26.3"/>
    <n v="55.1"/>
    <n v="5.8"/>
    <n v="410.2"/>
    <n v="12.2"/>
    <n v="4000"/>
    <n v="4949.5"/>
    <n v="1"/>
    <n v="422.4"/>
    <n v="4422.3999999999996"/>
    <n v="6"/>
  </r>
  <r>
    <d v="2026-09-11T07:00:00"/>
    <x v="0"/>
    <n v="29.6"/>
    <n v="29.2"/>
    <n v="0"/>
    <n v="1035.9000000000001"/>
    <n v="0"/>
    <n v="3881"/>
    <n v="4916.8999999999996"/>
    <n v="0"/>
    <n v="1035.9000000000001"/>
    <n v="4916.8999999999996"/>
    <n v="7"/>
  </r>
  <r>
    <d v="2026-09-11T08:00:00"/>
    <x v="0"/>
    <n v="30"/>
    <n v="5"/>
    <n v="3.4"/>
    <n v="1805.4"/>
    <n v="2.6"/>
    <n v="3104.9"/>
    <n v="4912.8999999999996"/>
    <n v="0"/>
    <n v="1808"/>
    <n v="4912.8999999999996"/>
    <n v="8"/>
  </r>
  <r>
    <d v="2026-09-11T09:00:00"/>
    <x v="0"/>
    <n v="33.200000000000003"/>
    <n v="13.6"/>
    <n v="5.0999999999999996"/>
    <n v="2122.6"/>
    <n v="8.6999999999999993"/>
    <n v="3088.4"/>
    <n v="5219.7"/>
    <n v="0"/>
    <n v="2131.2999999999997"/>
    <n v="5219.7"/>
    <n v="9"/>
  </r>
  <r>
    <d v="2026-09-11T10:00:00"/>
    <x v="0"/>
    <n v="34.6"/>
    <n v="26.2"/>
    <n v="2.7"/>
    <n v="2207.3000000000002"/>
    <n v="1.3"/>
    <n v="4000"/>
    <n v="7359.9"/>
    <n v="1"/>
    <n v="2208.6000000000004"/>
    <n v="6208.6"/>
    <n v="10"/>
  </r>
  <r>
    <d v="2026-09-11T11:00:00"/>
    <x v="0"/>
    <n v="34.4"/>
    <n v="42.9"/>
    <n v="5.3"/>
    <n v="2046.4"/>
    <n v="9.4"/>
    <n v="4000"/>
    <n v="7254.7"/>
    <n v="1"/>
    <n v="2055.8000000000002"/>
    <n v="6055.8"/>
    <n v="11"/>
  </r>
  <r>
    <d v="2026-09-11T12:00:00"/>
    <x v="0"/>
    <n v="33.200000000000003"/>
    <n v="51.3"/>
    <n v="4.4000000000000004"/>
    <n v="1921.7"/>
    <n v="5.4"/>
    <n v="4000"/>
    <n v="7307.4"/>
    <n v="1"/>
    <n v="1927.1000000000001"/>
    <n v="5927.1"/>
    <n v="12"/>
  </r>
  <r>
    <d v="2026-09-11T13:00:00"/>
    <x v="0"/>
    <n v="32.799999999999997"/>
    <n v="59.7"/>
    <n v="4.4000000000000004"/>
    <n v="1702.1"/>
    <n v="5.4"/>
    <n v="4000"/>
    <n v="7461.3"/>
    <n v="1"/>
    <n v="1707.5"/>
    <n v="5707.5"/>
    <n v="13"/>
  </r>
  <r>
    <d v="2026-09-11T14:00:00"/>
    <x v="0"/>
    <n v="32.5"/>
    <n v="18.600000000000001"/>
    <n v="4.8"/>
    <n v="2351.1"/>
    <n v="7.3"/>
    <n v="4000"/>
    <n v="7052.3"/>
    <n v="1"/>
    <n v="2358.4"/>
    <n v="6358.4"/>
    <n v="14"/>
  </r>
  <r>
    <d v="2026-09-11T15:00:00"/>
    <x v="0"/>
    <n v="31.4"/>
    <n v="24.5"/>
    <n v="8.3000000000000007"/>
    <n v="1943"/>
    <n v="36.4"/>
    <n v="3049"/>
    <n v="5028.3999999999996"/>
    <n v="0"/>
    <n v="1979.4"/>
    <n v="5028.3999999999996"/>
    <n v="15"/>
  </r>
  <r>
    <d v="2026-09-11T16:00:00"/>
    <x v="0"/>
    <n v="31.7"/>
    <n v="25.8"/>
    <n v="4.2"/>
    <n v="1533.2"/>
    <n v="4.9000000000000004"/>
    <n v="3671"/>
    <n v="5209.1000000000004"/>
    <n v="0"/>
    <n v="1538.1000000000001"/>
    <n v="5209.1000000000004"/>
    <n v="16"/>
  </r>
  <r>
    <d v="2026-09-11T17:00:00"/>
    <x v="0"/>
    <n v="28"/>
    <n v="19.899999999999999"/>
    <n v="0.7"/>
    <n v="1120.8"/>
    <n v="0"/>
    <n v="3921.2"/>
    <n v="5042"/>
    <n v="0"/>
    <n v="1120.8"/>
    <n v="5042"/>
    <n v="17"/>
  </r>
  <r>
    <d v="2026-09-11T18:00:00"/>
    <x v="0"/>
    <n v="29"/>
    <n v="15.3"/>
    <n v="7.1"/>
    <n v="595.9"/>
    <n v="23.4"/>
    <n v="4000"/>
    <n v="7759.9"/>
    <n v="1"/>
    <n v="619.29999999999995"/>
    <n v="4619.3"/>
    <n v="18"/>
  </r>
  <r>
    <d v="2026-09-11T19:00:00"/>
    <x v="0"/>
    <n v="24.3"/>
    <n v="29.5"/>
    <n v="6.1"/>
    <n v="0"/>
    <n v="14.5"/>
    <n v="4000"/>
    <n v="7516.1"/>
    <n v="1"/>
    <n v="14.5"/>
    <n v="4014.5"/>
    <n v="19"/>
  </r>
  <r>
    <d v="2026-09-11T20:00:00"/>
    <x v="0"/>
    <n v="24.3"/>
    <n v="46.6"/>
    <n v="3.9"/>
    <n v="0"/>
    <n v="3.9"/>
    <n v="4000"/>
    <n v="7952.6"/>
    <n v="1"/>
    <n v="3.9"/>
    <n v="4003.9"/>
    <n v="20"/>
  </r>
  <r>
    <d v="2026-09-11T21:00:00"/>
    <x v="0"/>
    <n v="25.1"/>
    <n v="38"/>
    <n v="0.8"/>
    <n v="0"/>
    <n v="0"/>
    <n v="4000"/>
    <n v="7674.1"/>
    <n v="1"/>
    <n v="0"/>
    <n v="4000"/>
    <n v="21"/>
  </r>
  <r>
    <d v="2026-09-11T22:00:00"/>
    <x v="0"/>
    <n v="24.9"/>
    <n v="12.5"/>
    <n v="4.8"/>
    <n v="0"/>
    <n v="7"/>
    <n v="4000"/>
    <n v="5171.5"/>
    <n v="1"/>
    <n v="7"/>
    <n v="4007"/>
    <n v="22"/>
  </r>
  <r>
    <d v="2026-09-11T23:00:00"/>
    <x v="0"/>
    <n v="22.6"/>
    <n v="14"/>
    <n v="2.7"/>
    <n v="0"/>
    <n v="1.2"/>
    <n v="4000"/>
    <n v="5024.1000000000004"/>
    <n v="1"/>
    <n v="1.2"/>
    <n v="4001.2"/>
    <n v="23"/>
  </r>
  <r>
    <d v="2026-09-12T00:00:00"/>
    <x v="0"/>
    <n v="23.8"/>
    <n v="35.9"/>
    <n v="3.3"/>
    <n v="0"/>
    <n v="2.2000000000000002"/>
    <n v="4000"/>
    <n v="4316.2"/>
    <n v="1"/>
    <n v="2.2000000000000002"/>
    <n v="4002.2"/>
    <n v="0"/>
  </r>
  <r>
    <d v="2026-09-12T01:00:00"/>
    <x v="0"/>
    <n v="17.899999999999999"/>
    <n v="48"/>
    <n v="0.5"/>
    <n v="0"/>
    <n v="0"/>
    <n v="4000"/>
    <n v="4435.8"/>
    <n v="1"/>
    <n v="0"/>
    <n v="4000"/>
    <n v="1"/>
  </r>
  <r>
    <d v="2026-09-12T02:00:00"/>
    <x v="0"/>
    <n v="21.1"/>
    <n v="0"/>
    <n v="6.3"/>
    <n v="0"/>
    <n v="16.2"/>
    <n v="4000"/>
    <n v="4265.6000000000004"/>
    <n v="1"/>
    <n v="16.2"/>
    <n v="4016.2"/>
    <n v="2"/>
  </r>
  <r>
    <d v="2026-09-12T03:00:00"/>
    <x v="0"/>
    <n v="24.3"/>
    <n v="24.1"/>
    <n v="5"/>
    <n v="0"/>
    <n v="7.8"/>
    <n v="4000"/>
    <n v="4249.8"/>
    <n v="1"/>
    <n v="7.8"/>
    <n v="4007.8"/>
    <n v="3"/>
  </r>
  <r>
    <d v="2026-09-12T04:00:00"/>
    <x v="0"/>
    <n v="23.1"/>
    <n v="44.9"/>
    <n v="3"/>
    <n v="0"/>
    <n v="1.7"/>
    <n v="4000"/>
    <n v="4331.5"/>
    <n v="1"/>
    <n v="1.7"/>
    <n v="4001.7"/>
    <n v="4"/>
  </r>
  <r>
    <d v="2026-09-12T05:00:00"/>
    <x v="0"/>
    <n v="25.8"/>
    <n v="55"/>
    <n v="5.7"/>
    <n v="0"/>
    <n v="11.9"/>
    <n v="4000"/>
    <n v="4086.5"/>
    <n v="1"/>
    <n v="11.9"/>
    <n v="4011.9"/>
    <n v="5"/>
  </r>
  <r>
    <d v="2026-09-12T06:00:00"/>
    <x v="0"/>
    <n v="27.5"/>
    <n v="18.600000000000001"/>
    <n v="8.1999999999999993"/>
    <n v="580.79999999999995"/>
    <n v="34.700000000000003"/>
    <n v="3652.2"/>
    <n v="4267.7"/>
    <n v="0"/>
    <n v="615.5"/>
    <n v="4267.7"/>
    <n v="6"/>
  </r>
  <r>
    <d v="2026-09-12T07:00:00"/>
    <x v="0"/>
    <n v="30.2"/>
    <n v="45.6"/>
    <n v="4.5"/>
    <n v="886.1"/>
    <n v="5.7"/>
    <n v="3485.5"/>
    <n v="4377.3"/>
    <n v="0"/>
    <n v="891.80000000000007"/>
    <n v="4377.3"/>
    <n v="7"/>
  </r>
  <r>
    <d v="2026-09-12T08:00:00"/>
    <x v="0"/>
    <n v="30.7"/>
    <n v="23.6"/>
    <n v="3.9"/>
    <n v="1561.9"/>
    <n v="3.9"/>
    <n v="2715.3"/>
    <n v="4281.1000000000004"/>
    <n v="0"/>
    <n v="1565.8000000000002"/>
    <n v="4281.1000000000004"/>
    <n v="8"/>
  </r>
  <r>
    <d v="2026-09-12T09:00:00"/>
    <x v="0"/>
    <n v="32.299999999999997"/>
    <n v="39.700000000000003"/>
    <n v="3.8"/>
    <n v="1694.5"/>
    <n v="3.6"/>
    <n v="2731"/>
    <n v="4429.1000000000004"/>
    <n v="0"/>
    <n v="1698.1"/>
    <n v="4429.1000000000004"/>
    <n v="9"/>
  </r>
  <r>
    <d v="2026-09-12T10:00:00"/>
    <x v="0"/>
    <n v="30.2"/>
    <n v="43.3"/>
    <n v="4.7"/>
    <n v="1883.2"/>
    <n v="6.6"/>
    <n v="4000"/>
    <n v="6251.8"/>
    <n v="1"/>
    <n v="1889.8"/>
    <n v="5889.8"/>
    <n v="10"/>
  </r>
  <r>
    <d v="2026-09-12T11:00:00"/>
    <x v="0"/>
    <n v="29.5"/>
    <n v="66.8"/>
    <n v="3.7"/>
    <n v="1557.8"/>
    <n v="3.3"/>
    <n v="4000"/>
    <n v="6389.7"/>
    <n v="1"/>
    <n v="1561.1"/>
    <n v="5561.1"/>
    <n v="11"/>
  </r>
  <r>
    <d v="2026-09-12T12:00:00"/>
    <x v="0"/>
    <n v="32.4"/>
    <n v="37.299999999999997"/>
    <n v="1.9"/>
    <n v="2217.6"/>
    <n v="0.4"/>
    <n v="4000"/>
    <n v="6406.2"/>
    <n v="1"/>
    <n v="2218"/>
    <n v="6218"/>
    <n v="12"/>
  </r>
  <r>
    <d v="2026-09-12T13:00:00"/>
    <x v="0"/>
    <n v="36.700000000000003"/>
    <n v="21.2"/>
    <n v="4.4000000000000004"/>
    <n v="2491"/>
    <n v="5.6"/>
    <n v="3649.8"/>
    <n v="6146.4"/>
    <n v="0"/>
    <n v="2496.6"/>
    <n v="6146.4"/>
    <n v="13"/>
  </r>
  <r>
    <d v="2026-09-12T14:00:00"/>
    <x v="0"/>
    <n v="33.9"/>
    <n v="28"/>
    <n v="4.7"/>
    <n v="2173"/>
    <n v="6.8"/>
    <n v="4000"/>
    <n v="6370.5"/>
    <n v="1"/>
    <n v="2179.8000000000002"/>
    <n v="6179.8"/>
    <n v="14"/>
  </r>
  <r>
    <d v="2026-09-12T15:00:00"/>
    <x v="0"/>
    <n v="32.200000000000003"/>
    <n v="29"/>
    <n v="6.1"/>
    <n v="1869"/>
    <n v="14.5"/>
    <n v="2797"/>
    <n v="4680.5"/>
    <n v="0"/>
    <n v="1883.5"/>
    <n v="4680.5"/>
    <n v="15"/>
  </r>
  <r>
    <d v="2026-09-12T16:00:00"/>
    <x v="0"/>
    <n v="32.799999999999997"/>
    <n v="37.799999999999997"/>
    <n v="1.7"/>
    <n v="1375.9"/>
    <n v="0.3"/>
    <n v="3109.6"/>
    <n v="4485.8"/>
    <n v="0"/>
    <n v="1376.2"/>
    <n v="4485.8"/>
    <n v="16"/>
  </r>
  <r>
    <d v="2026-09-12T17:00:00"/>
    <x v="0"/>
    <n v="27.8"/>
    <n v="31.1"/>
    <n v="2.5"/>
    <n v="1018.7"/>
    <n v="1"/>
    <n v="3545.3"/>
    <n v="4565"/>
    <n v="0"/>
    <n v="1019.7"/>
    <n v="4565"/>
    <n v="17"/>
  </r>
  <r>
    <d v="2026-09-12T18:00:00"/>
    <x v="0"/>
    <n v="28.5"/>
    <n v="31.4"/>
    <n v="4.8"/>
    <n v="520.70000000000005"/>
    <n v="7.3"/>
    <n v="4000"/>
    <n v="6710.4"/>
    <n v="1"/>
    <n v="528"/>
    <n v="4528"/>
    <n v="18"/>
  </r>
  <r>
    <d v="2026-09-12T19:00:00"/>
    <x v="0"/>
    <n v="27.1"/>
    <n v="20.100000000000001"/>
    <n v="5.9"/>
    <n v="0"/>
    <n v="13.3"/>
    <n v="4000"/>
    <n v="6962.1"/>
    <n v="1"/>
    <n v="13.3"/>
    <n v="4013.3"/>
    <n v="19"/>
  </r>
  <r>
    <d v="2026-09-12T20:00:00"/>
    <x v="0"/>
    <n v="23.2"/>
    <n v="36.9"/>
    <n v="5.4"/>
    <n v="0"/>
    <n v="10.1"/>
    <n v="4000"/>
    <n v="6898.4"/>
    <n v="1"/>
    <n v="10.1"/>
    <n v="4010.1"/>
    <n v="20"/>
  </r>
  <r>
    <d v="2026-09-12T21:00:00"/>
    <x v="0"/>
    <n v="25.8"/>
    <n v="22"/>
    <n v="4.3"/>
    <n v="0"/>
    <n v="4.9000000000000004"/>
    <n v="4000"/>
    <n v="6675.4"/>
    <n v="1"/>
    <n v="4.9000000000000004"/>
    <n v="4004.9"/>
    <n v="21"/>
  </r>
  <r>
    <d v="2026-09-12T22:00:00"/>
    <x v="0"/>
    <n v="22.8"/>
    <n v="3.1"/>
    <n v="1.1000000000000001"/>
    <n v="0"/>
    <n v="0.1"/>
    <n v="4000"/>
    <n v="4294"/>
    <n v="1"/>
    <n v="0.1"/>
    <n v="4000.1"/>
    <n v="22"/>
  </r>
  <r>
    <d v="2026-09-12T23:00:00"/>
    <x v="0"/>
    <n v="20.9"/>
    <n v="5.2"/>
    <n v="0"/>
    <n v="0"/>
    <n v="0"/>
    <n v="4000"/>
    <n v="4559.2"/>
    <n v="1"/>
    <n v="0"/>
    <n v="4000"/>
    <n v="23"/>
  </r>
  <r>
    <d v="2026-09-13T00:00:00"/>
    <x v="0"/>
    <n v="20"/>
    <n v="57.8"/>
    <n v="6"/>
    <n v="0"/>
    <n v="14"/>
    <n v="4000"/>
    <n v="4224.2"/>
    <n v="1"/>
    <n v="14"/>
    <n v="4014"/>
    <n v="0"/>
  </r>
  <r>
    <d v="2026-09-13T01:00:00"/>
    <x v="0"/>
    <n v="25.6"/>
    <n v="44.6"/>
    <n v="3.4"/>
    <n v="0"/>
    <n v="2.4"/>
    <n v="4000"/>
    <n v="4216.8"/>
    <n v="1"/>
    <n v="2.4"/>
    <n v="4002.4"/>
    <n v="1"/>
  </r>
  <r>
    <d v="2026-09-13T02:00:00"/>
    <x v="0"/>
    <n v="26.2"/>
    <n v="0"/>
    <n v="0.7"/>
    <n v="0"/>
    <n v="0"/>
    <n v="3945.1"/>
    <n v="3945.1"/>
    <n v="0"/>
    <n v="0"/>
    <n v="3945.1"/>
    <n v="2"/>
  </r>
  <r>
    <d v="2026-09-13T03:00:00"/>
    <x v="0"/>
    <n v="27.4"/>
    <n v="52.7"/>
    <n v="5.0999999999999996"/>
    <n v="0"/>
    <n v="8.6"/>
    <n v="4000"/>
    <n v="4473.3999999999996"/>
    <n v="1"/>
    <n v="8.6"/>
    <n v="4008.6"/>
    <n v="3"/>
  </r>
  <r>
    <d v="2026-09-13T04:00:00"/>
    <x v="0"/>
    <n v="26.3"/>
    <n v="40.200000000000003"/>
    <n v="4.5999999999999996"/>
    <n v="0"/>
    <n v="6.1"/>
    <n v="4000"/>
    <n v="4409.2"/>
    <n v="1"/>
    <n v="6.1"/>
    <n v="4006.1"/>
    <n v="4"/>
  </r>
  <r>
    <d v="2026-09-13T05:00:00"/>
    <x v="0"/>
    <n v="26.4"/>
    <n v="9.9"/>
    <n v="3.4"/>
    <n v="0"/>
    <n v="2.6"/>
    <n v="4000"/>
    <n v="4335.6000000000004"/>
    <n v="1"/>
    <n v="2.6"/>
    <n v="4002.6"/>
    <n v="5"/>
  </r>
  <r>
    <d v="2026-09-13T06:00:00"/>
    <x v="0"/>
    <n v="27.9"/>
    <n v="5.2"/>
    <n v="1.8"/>
    <n v="643.1"/>
    <n v="0.4"/>
    <n v="3422.6"/>
    <n v="4066.1"/>
    <n v="0"/>
    <n v="643.5"/>
    <n v="4066.1"/>
    <n v="6"/>
  </r>
  <r>
    <d v="2026-09-13T07:00:00"/>
    <x v="0"/>
    <n v="31.6"/>
    <n v="43.4"/>
    <n v="0.9"/>
    <n v="906.5"/>
    <n v="0"/>
    <n v="3440.5"/>
    <n v="4347"/>
    <n v="0"/>
    <n v="906.5"/>
    <n v="4347"/>
    <n v="7"/>
  </r>
  <r>
    <d v="2026-09-13T08:00:00"/>
    <x v="0"/>
    <n v="32.4"/>
    <n v="5.4"/>
    <n v="3.6"/>
    <n v="1800.4"/>
    <n v="2.9"/>
    <n v="2368.3000000000002"/>
    <n v="4171.6000000000004"/>
    <n v="0"/>
    <n v="1803.3000000000002"/>
    <n v="4171.6000000000004"/>
    <n v="8"/>
  </r>
  <r>
    <d v="2026-09-13T09:00:00"/>
    <x v="0"/>
    <n v="30.8"/>
    <n v="27.1"/>
    <n v="1.3"/>
    <n v="1900.4"/>
    <n v="0.2"/>
    <n v="2501.9"/>
    <n v="4402.5"/>
    <n v="0"/>
    <n v="1900.6000000000001"/>
    <n v="4402.5"/>
    <n v="9"/>
  </r>
  <r>
    <d v="2026-09-13T10:00:00"/>
    <x v="0"/>
    <n v="33.700000000000003"/>
    <n v="0"/>
    <n v="4.9000000000000004"/>
    <n v="2702.9"/>
    <n v="7.4"/>
    <n v="3439.5"/>
    <n v="6149.8"/>
    <n v="0"/>
    <n v="2710.3"/>
    <n v="6149.8"/>
    <n v="10"/>
  </r>
  <r>
    <d v="2026-09-13T11:00:00"/>
    <x v="0"/>
    <n v="34.6"/>
    <n v="29.5"/>
    <n v="6.7"/>
    <n v="2321.3000000000002"/>
    <n v="19.5"/>
    <n v="3896.3"/>
    <n v="6237.1"/>
    <n v="0"/>
    <n v="2340.8000000000002"/>
    <n v="6237.1"/>
    <n v="11"/>
  </r>
  <r>
    <d v="2026-09-13T12:00:00"/>
    <x v="0"/>
    <n v="33.4"/>
    <n v="27.4"/>
    <n v="5.0999999999999996"/>
    <n v="2423.6"/>
    <n v="8.4"/>
    <n v="3826.8"/>
    <n v="6258.8"/>
    <n v="0"/>
    <n v="2432"/>
    <n v="6258.8"/>
    <n v="12"/>
  </r>
  <r>
    <d v="2026-09-13T13:00:00"/>
    <x v="0"/>
    <n v="33.9"/>
    <n v="11"/>
    <n v="2.7"/>
    <n v="2700.4"/>
    <n v="1.2"/>
    <n v="3545.7"/>
    <n v="6247.3"/>
    <n v="0"/>
    <n v="2701.6"/>
    <n v="6247.2999999999993"/>
    <n v="13"/>
  </r>
  <r>
    <d v="2026-09-13T14:00:00"/>
    <x v="0"/>
    <n v="35.799999999999997"/>
    <n v="0.1"/>
    <n v="2.6"/>
    <n v="2700.6"/>
    <n v="1.1000000000000001"/>
    <n v="3327.9"/>
    <n v="6029.6"/>
    <n v="0"/>
    <n v="2701.7"/>
    <n v="6029.6"/>
    <n v="14"/>
  </r>
  <r>
    <d v="2026-09-13T15:00:00"/>
    <x v="0"/>
    <n v="33.6"/>
    <n v="19.100000000000001"/>
    <n v="6.5"/>
    <n v="2031.9"/>
    <n v="17.5"/>
    <n v="2162.8000000000002"/>
    <n v="4212.2"/>
    <n v="0"/>
    <n v="2049.4"/>
    <n v="4212.2000000000007"/>
    <n v="15"/>
  </r>
  <r>
    <d v="2026-09-13T16:00:00"/>
    <x v="0"/>
    <n v="31.4"/>
    <n v="8.3000000000000007"/>
    <n v="8.3000000000000007"/>
    <n v="1761.9"/>
    <n v="36.5"/>
    <n v="2420.6"/>
    <n v="4219"/>
    <n v="0"/>
    <n v="1798.4"/>
    <n v="4219"/>
    <n v="16"/>
  </r>
  <r>
    <d v="2026-09-13T17:00:00"/>
    <x v="0"/>
    <n v="30"/>
    <n v="37.700000000000003"/>
    <n v="4.8"/>
    <n v="958.4"/>
    <n v="7.2"/>
    <n v="3176.3"/>
    <n v="4141.8999999999996"/>
    <n v="0"/>
    <n v="965.6"/>
    <n v="4141.9000000000005"/>
    <n v="17"/>
  </r>
  <r>
    <d v="2026-09-13T18:00:00"/>
    <x v="0"/>
    <n v="27.8"/>
    <n v="25.9"/>
    <n v="3.7"/>
    <n v="546.6"/>
    <n v="3.3"/>
    <n v="4000"/>
    <n v="6692.2"/>
    <n v="1"/>
    <n v="549.9"/>
    <n v="4549.8999999999996"/>
    <n v="18"/>
  </r>
  <r>
    <d v="2026-09-13T19:00:00"/>
    <x v="0"/>
    <n v="29.8"/>
    <n v="13.9"/>
    <n v="1.3"/>
    <n v="0"/>
    <n v="0.1"/>
    <n v="4000"/>
    <n v="6864.6"/>
    <n v="1"/>
    <n v="0.1"/>
    <n v="4000.1"/>
    <n v="19"/>
  </r>
  <r>
    <d v="2026-09-13T20:00:00"/>
    <x v="0"/>
    <n v="28.9"/>
    <n v="8.9"/>
    <n v="7.3"/>
    <n v="0"/>
    <n v="24.7"/>
    <n v="4000"/>
    <n v="6706.8"/>
    <n v="1"/>
    <n v="24.7"/>
    <n v="4024.7"/>
    <n v="20"/>
  </r>
  <r>
    <d v="2026-09-13T21:00:00"/>
    <x v="0"/>
    <n v="22.9"/>
    <n v="36.4"/>
    <n v="7.3"/>
    <n v="0"/>
    <n v="24.5"/>
    <n v="4000"/>
    <n v="6971.7"/>
    <n v="1"/>
    <n v="24.5"/>
    <n v="4024.5"/>
    <n v="21"/>
  </r>
  <r>
    <d v="2026-09-13T22:00:00"/>
    <x v="0"/>
    <n v="22.5"/>
    <n v="13.4"/>
    <n v="2"/>
    <n v="0"/>
    <n v="0.5"/>
    <n v="4000"/>
    <n v="4263.1000000000004"/>
    <n v="1"/>
    <n v="0.5"/>
    <n v="4000.5"/>
    <n v="22"/>
  </r>
  <r>
    <d v="2026-09-13T23:00:00"/>
    <x v="0"/>
    <n v="20.399999999999999"/>
    <n v="25.7"/>
    <n v="2.5"/>
    <n v="0"/>
    <n v="1"/>
    <n v="4000"/>
    <n v="4222.6000000000004"/>
    <n v="1"/>
    <n v="1"/>
    <n v="4001"/>
    <n v="23"/>
  </r>
  <r>
    <d v="2026-09-14T00:00:00"/>
    <x v="0"/>
    <n v="19.7"/>
    <n v="31.6"/>
    <n v="5.7"/>
    <n v="0"/>
    <n v="11.6"/>
    <n v="4000"/>
    <n v="4985.1000000000004"/>
    <n v="1"/>
    <n v="11.6"/>
    <n v="4011.6"/>
    <n v="0"/>
  </r>
  <r>
    <d v="2026-09-14T01:00:00"/>
    <x v="0"/>
    <n v="22.8"/>
    <n v="49.6"/>
    <n v="1.6"/>
    <n v="0"/>
    <n v="0.3"/>
    <n v="4000"/>
    <n v="4650.8999999999996"/>
    <n v="1"/>
    <n v="0.3"/>
    <n v="4000.3"/>
    <n v="1"/>
  </r>
  <r>
    <d v="2026-09-14T02:00:00"/>
    <x v="0"/>
    <n v="23.4"/>
    <n v="10.9"/>
    <n v="3.9"/>
    <n v="0"/>
    <n v="3.8"/>
    <n v="4000"/>
    <n v="5200.8999999999996"/>
    <n v="1"/>
    <n v="3.8"/>
    <n v="4003.8"/>
    <n v="2"/>
  </r>
  <r>
    <d v="2026-09-14T03:00:00"/>
    <x v="0"/>
    <n v="23.9"/>
    <n v="35.799999999999997"/>
    <n v="2.2000000000000002"/>
    <n v="0"/>
    <n v="0.6"/>
    <n v="4000"/>
    <n v="5033.7"/>
    <n v="1"/>
    <n v="0.6"/>
    <n v="4000.6"/>
    <n v="3"/>
  </r>
  <r>
    <d v="2026-09-14T04:00:00"/>
    <x v="0"/>
    <n v="22.9"/>
    <n v="22.8"/>
    <n v="2.2000000000000002"/>
    <n v="0"/>
    <n v="0.7"/>
    <n v="4000"/>
    <n v="4975.3999999999996"/>
    <n v="1"/>
    <n v="0.7"/>
    <n v="4000.7"/>
    <n v="4"/>
  </r>
  <r>
    <d v="2026-09-14T05:00:00"/>
    <x v="0"/>
    <n v="28.3"/>
    <n v="46.8"/>
    <n v="5.2"/>
    <n v="0"/>
    <n v="9.1"/>
    <n v="4000"/>
    <n v="4839.7"/>
    <n v="1"/>
    <n v="9.1"/>
    <n v="4009.1"/>
    <n v="5"/>
  </r>
  <r>
    <d v="2026-09-14T06:00:00"/>
    <x v="0"/>
    <n v="27.5"/>
    <n v="49.3"/>
    <n v="4.3"/>
    <n v="437.4"/>
    <n v="5"/>
    <n v="4000"/>
    <n v="4786.2"/>
    <n v="1"/>
    <n v="442.4"/>
    <n v="4442.3999999999996"/>
    <n v="6"/>
  </r>
  <r>
    <d v="2026-09-14T07:00:00"/>
    <x v="0"/>
    <n v="30.1"/>
    <n v="28.8"/>
    <n v="3.4"/>
    <n v="1038.9000000000001"/>
    <n v="2.5"/>
    <n v="4000"/>
    <n v="5297.9"/>
    <n v="1"/>
    <n v="1041.4000000000001"/>
    <n v="5041.3999999999996"/>
    <n v="7"/>
  </r>
  <r>
    <d v="2026-09-14T08:00:00"/>
    <x v="0"/>
    <n v="30.8"/>
    <n v="39.200000000000003"/>
    <n v="5.9"/>
    <n v="1357.7"/>
    <n v="13.2"/>
    <n v="3599.1"/>
    <n v="4970"/>
    <n v="0"/>
    <n v="1370.9"/>
    <n v="4970"/>
    <n v="8"/>
  </r>
  <r>
    <d v="2026-09-14T09:00:00"/>
    <x v="0"/>
    <n v="30.2"/>
    <n v="0"/>
    <n v="5"/>
    <n v="2345.5"/>
    <n v="8.1"/>
    <n v="2478.5"/>
    <n v="4832.1000000000004"/>
    <n v="0"/>
    <n v="2353.6"/>
    <n v="4832.1000000000004"/>
    <n v="9"/>
  </r>
  <r>
    <d v="2026-09-14T10:00:00"/>
    <x v="0"/>
    <n v="30"/>
    <n v="32.799999999999997"/>
    <n v="9"/>
    <n v="2082.9"/>
    <n v="46.4"/>
    <n v="4000"/>
    <n v="6984.5"/>
    <n v="1"/>
    <n v="2129.3000000000002"/>
    <n v="6129.3"/>
    <n v="10"/>
  </r>
  <r>
    <d v="2026-09-14T11:00:00"/>
    <x v="0"/>
    <n v="35.1"/>
    <n v="26.6"/>
    <n v="3.8"/>
    <n v="2379.4"/>
    <n v="3.5"/>
    <n v="4000"/>
    <n v="7149.1"/>
    <n v="1"/>
    <n v="2382.9"/>
    <n v="6382.9"/>
    <n v="11"/>
  </r>
  <r>
    <d v="2026-09-14T12:00:00"/>
    <x v="0"/>
    <n v="33.6"/>
    <n v="30.3"/>
    <n v="4.5999999999999996"/>
    <n v="2362.6999999999998"/>
    <n v="6.4"/>
    <n v="4000"/>
    <n v="7287.9"/>
    <n v="1"/>
    <n v="2369.1"/>
    <n v="6369.1"/>
    <n v="12"/>
  </r>
  <r>
    <d v="2026-09-14T13:00:00"/>
    <x v="0"/>
    <n v="35.299999999999997"/>
    <n v="21.5"/>
    <n v="2.5"/>
    <n v="2484.6"/>
    <n v="1"/>
    <n v="4000"/>
    <n v="7049.8"/>
    <n v="1"/>
    <n v="2485.6"/>
    <n v="6485.6"/>
    <n v="13"/>
  </r>
  <r>
    <d v="2026-09-14T14:00:00"/>
    <x v="0"/>
    <n v="31.8"/>
    <n v="25.6"/>
    <n v="4"/>
    <n v="2219.1999999999998"/>
    <n v="4"/>
    <n v="4000"/>
    <n v="7230.5"/>
    <n v="1"/>
    <n v="2223.1999999999998"/>
    <n v="6223.2"/>
    <n v="14"/>
  </r>
  <r>
    <d v="2026-09-14T15:00:00"/>
    <x v="0"/>
    <n v="33"/>
    <n v="24.5"/>
    <n v="5.6"/>
    <n v="1943.3"/>
    <n v="11.5"/>
    <n v="3158.1"/>
    <n v="5112.8999999999996"/>
    <n v="0"/>
    <n v="1954.8"/>
    <n v="5112.8999999999996"/>
    <n v="15"/>
  </r>
  <r>
    <d v="2026-09-14T16:00:00"/>
    <x v="0"/>
    <n v="31.8"/>
    <n v="25.2"/>
    <n v="1.4"/>
    <n v="1540.4"/>
    <n v="0.2"/>
    <n v="3617.9"/>
    <n v="5158.5"/>
    <n v="0"/>
    <n v="1540.6000000000001"/>
    <n v="5158.5"/>
    <n v="16"/>
  </r>
  <r>
    <d v="2026-09-14T17:00:00"/>
    <x v="0"/>
    <n v="29.1"/>
    <n v="12.8"/>
    <n v="3.6"/>
    <n v="1184.9000000000001"/>
    <n v="3.1"/>
    <n v="3602.2"/>
    <n v="4790.2"/>
    <n v="0"/>
    <n v="1188"/>
    <n v="4790.2"/>
    <n v="17"/>
  </r>
  <r>
    <d v="2026-09-14T18:00:00"/>
    <x v="0"/>
    <n v="28.8"/>
    <n v="23.6"/>
    <n v="5"/>
    <n v="557.29999999999995"/>
    <n v="7.9"/>
    <n v="4000"/>
    <n v="7708.5"/>
    <n v="1"/>
    <n v="565.19999999999993"/>
    <n v="4565.2"/>
    <n v="18"/>
  </r>
  <r>
    <d v="2026-09-14T19:00:00"/>
    <x v="0"/>
    <n v="23.5"/>
    <n v="6.2"/>
    <n v="3.7"/>
    <n v="0"/>
    <n v="3.3"/>
    <n v="4000"/>
    <n v="7709.7"/>
    <n v="1"/>
    <n v="3.3"/>
    <n v="4003.3"/>
    <n v="19"/>
  </r>
  <r>
    <d v="2026-09-14T20:00:00"/>
    <x v="0"/>
    <n v="25.9"/>
    <n v="55.6"/>
    <n v="6.4"/>
    <n v="0"/>
    <n v="17.100000000000001"/>
    <n v="4000"/>
    <n v="7518.5"/>
    <n v="1"/>
    <n v="17.100000000000001"/>
    <n v="4017.1"/>
    <n v="20"/>
  </r>
  <r>
    <d v="2026-09-14T21:00:00"/>
    <x v="0"/>
    <n v="26"/>
    <n v="28"/>
    <n v="3.3"/>
    <n v="0"/>
    <n v="2.4"/>
    <n v="4000"/>
    <n v="7668"/>
    <n v="1"/>
    <n v="2.4"/>
    <n v="4002.4"/>
    <n v="21"/>
  </r>
  <r>
    <d v="2026-09-14T22:00:00"/>
    <x v="0"/>
    <n v="22.4"/>
    <n v="17.2"/>
    <n v="4.3"/>
    <n v="0"/>
    <n v="5.2"/>
    <n v="4000"/>
    <n v="4858"/>
    <n v="1"/>
    <n v="5.2"/>
    <n v="4005.2"/>
    <n v="22"/>
  </r>
  <r>
    <d v="2026-09-14T23:00:00"/>
    <x v="0"/>
    <n v="22.2"/>
    <n v="33.700000000000003"/>
    <n v="6.4"/>
    <n v="0"/>
    <n v="16.600000000000001"/>
    <n v="4000"/>
    <n v="4974.1000000000004"/>
    <n v="1"/>
    <n v="16.600000000000001"/>
    <n v="4016.6"/>
    <n v="23"/>
  </r>
  <r>
    <d v="2026-09-01T00:00:00"/>
    <x v="1"/>
    <n v="18.5"/>
    <n v="0"/>
    <n v="16.7"/>
    <n v="0"/>
    <n v="741.4"/>
    <n v="4000"/>
    <n v="5092.3999999999996"/>
    <n v="1"/>
    <n v="741.4"/>
    <n v="4741.3999999999996"/>
    <n v="0"/>
  </r>
  <r>
    <d v="2026-09-01T01:00:00"/>
    <x v="1"/>
    <n v="19.899999999999999"/>
    <n v="15.7"/>
    <n v="3"/>
    <n v="0"/>
    <n v="4.3"/>
    <n v="4000"/>
    <n v="4745"/>
    <n v="1"/>
    <n v="4.3"/>
    <n v="4004.3"/>
    <n v="1"/>
  </r>
  <r>
    <d v="2026-09-01T02:00:00"/>
    <x v="1"/>
    <n v="21.3"/>
    <n v="30.6"/>
    <n v="0"/>
    <n v="0"/>
    <n v="0"/>
    <n v="4000"/>
    <n v="5031.2"/>
    <n v="1"/>
    <n v="0"/>
    <n v="4000"/>
    <n v="2"/>
  </r>
  <r>
    <d v="2026-09-01T03:00:00"/>
    <x v="1"/>
    <n v="21.6"/>
    <n v="8"/>
    <n v="12.9"/>
    <n v="0"/>
    <n v="344.8"/>
    <n v="4000"/>
    <n v="4868.1000000000004"/>
    <n v="1"/>
    <n v="344.8"/>
    <n v="4344.8"/>
    <n v="3"/>
  </r>
  <r>
    <d v="2026-09-01T04:00:00"/>
    <x v="1"/>
    <n v="22.6"/>
    <n v="48"/>
    <n v="7.1"/>
    <n v="0"/>
    <n v="58.1"/>
    <n v="4000"/>
    <n v="4947.7"/>
    <n v="1"/>
    <n v="58.1"/>
    <n v="4058.1"/>
    <n v="4"/>
  </r>
  <r>
    <d v="2026-09-01T05:00:00"/>
    <x v="1"/>
    <n v="22.8"/>
    <n v="44.3"/>
    <n v="7.3"/>
    <n v="0"/>
    <n v="63.1"/>
    <n v="4000"/>
    <n v="5129.5"/>
    <n v="1"/>
    <n v="63.1"/>
    <n v="4063.1"/>
    <n v="5"/>
  </r>
  <r>
    <d v="2026-09-01T06:00:00"/>
    <x v="1"/>
    <n v="23.1"/>
    <n v="40.700000000000003"/>
    <n v="20.6"/>
    <n v="252.3"/>
    <n v="1390.3"/>
    <n v="3240.9"/>
    <n v="4883.5"/>
    <n v="0"/>
    <n v="1642.6"/>
    <n v="4883.5"/>
    <n v="6"/>
  </r>
  <r>
    <d v="2026-09-01T07:00:00"/>
    <x v="1"/>
    <n v="23.4"/>
    <n v="81.8"/>
    <n v="11"/>
    <n v="331.5"/>
    <n v="210.3"/>
    <n v="4000"/>
    <n v="4744.2"/>
    <n v="1"/>
    <n v="541.79999999999995"/>
    <n v="4541.8"/>
    <n v="7"/>
  </r>
  <r>
    <d v="2026-09-01T08:00:00"/>
    <x v="1"/>
    <n v="27"/>
    <n v="29.9"/>
    <n v="21.1"/>
    <n v="767.7"/>
    <n v="1509.5"/>
    <n v="2572.4"/>
    <n v="4849.6000000000004"/>
    <n v="0"/>
    <n v="2277.1999999999998"/>
    <n v="4849.6000000000004"/>
    <n v="8"/>
  </r>
  <r>
    <d v="2026-09-01T09:00:00"/>
    <x v="1"/>
    <n v="26.3"/>
    <n v="98.9"/>
    <n v="9"/>
    <n v="476.6"/>
    <n v="115.5"/>
    <n v="4000"/>
    <n v="5051.7"/>
    <n v="1"/>
    <n v="592.1"/>
    <n v="4592.1000000000004"/>
    <n v="9"/>
  </r>
  <r>
    <d v="2026-09-01T10:00:00"/>
    <x v="1"/>
    <n v="27.8"/>
    <n v="77.5"/>
    <n v="19.8"/>
    <n v="722.7"/>
    <n v="1243.4000000000001"/>
    <n v="4000"/>
    <n v="7261.3"/>
    <n v="1"/>
    <n v="1966.1000000000001"/>
    <n v="5966.1"/>
    <n v="10"/>
  </r>
  <r>
    <d v="2026-09-01T11:00:00"/>
    <x v="1"/>
    <n v="27.1"/>
    <n v="56.5"/>
    <n v="8.6"/>
    <n v="966.6"/>
    <n v="102.2"/>
    <n v="4000"/>
    <n v="7154.8"/>
    <n v="1"/>
    <n v="1068.8"/>
    <n v="5068.8"/>
    <n v="11"/>
  </r>
  <r>
    <d v="2026-09-01T12:00:00"/>
    <x v="1"/>
    <n v="28.1"/>
    <n v="35.9"/>
    <n v="12.9"/>
    <n v="1177.2"/>
    <n v="345.3"/>
    <n v="4000"/>
    <n v="7452"/>
    <n v="1"/>
    <n v="1522.5"/>
    <n v="5522.5"/>
    <n v="12"/>
  </r>
  <r>
    <d v="2026-09-01T13:00:00"/>
    <x v="1"/>
    <n v="26.9"/>
    <n v="75"/>
    <n v="8.6999999999999993"/>
    <n v="804.2"/>
    <n v="105.9"/>
    <n v="4000"/>
    <n v="6947.9"/>
    <n v="1"/>
    <n v="910.1"/>
    <n v="4910.1000000000004"/>
    <n v="13"/>
  </r>
  <r>
    <d v="2026-09-01T14:00:00"/>
    <x v="1"/>
    <n v="28"/>
    <n v="74.599999999999994"/>
    <n v="15.6"/>
    <n v="746.2"/>
    <n v="606.79999999999995"/>
    <n v="4000"/>
    <n v="6993"/>
    <n v="1"/>
    <n v="1353"/>
    <n v="5353"/>
    <n v="14"/>
  </r>
  <r>
    <d v="2026-09-01T15:00:00"/>
    <x v="1"/>
    <n v="26.1"/>
    <n v="9.5"/>
    <n v="19.5"/>
    <n v="1106.2"/>
    <n v="1187.5999999999999"/>
    <n v="2805.6"/>
    <n v="5099.3999999999996"/>
    <n v="0"/>
    <n v="2293.8000000000002"/>
    <n v="5099.3999999999996"/>
    <n v="15"/>
  </r>
  <r>
    <d v="2026-09-01T16:00:00"/>
    <x v="1"/>
    <n v="25.7"/>
    <n v="78.2"/>
    <n v="14.8"/>
    <n v="496.4"/>
    <n v="516.70000000000005"/>
    <n v="3888.5"/>
    <n v="4901.6000000000004"/>
    <n v="0"/>
    <n v="1013.1"/>
    <n v="4901.6000000000004"/>
    <n v="16"/>
  </r>
  <r>
    <d v="2026-09-01T17:00:00"/>
    <x v="1"/>
    <n v="27.2"/>
    <n v="28.9"/>
    <n v="16.600000000000001"/>
    <n v="537.9"/>
    <n v="737.1"/>
    <n v="3743.4"/>
    <n v="5018.3999999999996"/>
    <n v="0"/>
    <n v="1275"/>
    <n v="5018.3999999999996"/>
    <n v="17"/>
  </r>
  <r>
    <d v="2026-09-01T18:00:00"/>
    <x v="1"/>
    <n v="24.3"/>
    <n v="83.2"/>
    <n v="14.5"/>
    <n v="167.1"/>
    <n v="491.7"/>
    <n v="4000"/>
    <n v="7708.6"/>
    <n v="1"/>
    <n v="658.8"/>
    <n v="4658.8"/>
    <n v="18"/>
  </r>
  <r>
    <d v="2026-09-01T19:00:00"/>
    <x v="1"/>
    <n v="24"/>
    <n v="35.9"/>
    <n v="7.8"/>
    <n v="0"/>
    <n v="76"/>
    <n v="4000"/>
    <n v="7780.7"/>
    <n v="1"/>
    <n v="76"/>
    <n v="4076"/>
    <n v="19"/>
  </r>
  <r>
    <d v="2026-09-01T20:00:00"/>
    <x v="1"/>
    <n v="20"/>
    <n v="96.4"/>
    <n v="6.5"/>
    <n v="0"/>
    <n v="43.6"/>
    <n v="4000"/>
    <n v="7543.3"/>
    <n v="1"/>
    <n v="43.6"/>
    <n v="4043.6"/>
    <n v="20"/>
  </r>
  <r>
    <d v="2026-09-01T21:00:00"/>
    <x v="1"/>
    <n v="20.9"/>
    <n v="52.7"/>
    <n v="16.100000000000001"/>
    <n v="0"/>
    <n v="665.1"/>
    <n v="4000"/>
    <n v="7666.8"/>
    <n v="1"/>
    <n v="665.1"/>
    <n v="4665.1000000000004"/>
    <n v="21"/>
  </r>
  <r>
    <d v="2026-09-01T22:00:00"/>
    <x v="1"/>
    <n v="20"/>
    <n v="40.799999999999997"/>
    <n v="13.4"/>
    <n v="0"/>
    <n v="386.1"/>
    <n v="4000"/>
    <n v="5079.1000000000004"/>
    <n v="1"/>
    <n v="386.1"/>
    <n v="4386.1000000000004"/>
    <n v="22"/>
  </r>
  <r>
    <d v="2026-09-01T23:00:00"/>
    <x v="1"/>
    <n v="21.7"/>
    <n v="57.3"/>
    <n v="15.7"/>
    <n v="0"/>
    <n v="616.20000000000005"/>
    <n v="4000"/>
    <n v="4912.7"/>
    <n v="1"/>
    <n v="616.20000000000005"/>
    <n v="4616.2"/>
    <n v="23"/>
  </r>
  <r>
    <d v="2026-09-02T00:00:00"/>
    <x v="1"/>
    <n v="21.2"/>
    <n v="49.5"/>
    <n v="5.5"/>
    <n v="0"/>
    <n v="26.9"/>
    <n v="4000"/>
    <n v="5049.3999999999996"/>
    <n v="1"/>
    <n v="26.9"/>
    <n v="4026.9"/>
    <n v="0"/>
  </r>
  <r>
    <d v="2026-09-02T01:00:00"/>
    <x v="1"/>
    <n v="19.5"/>
    <n v="31.8"/>
    <n v="14.9"/>
    <n v="0"/>
    <n v="532.70000000000005"/>
    <n v="4000"/>
    <n v="5010"/>
    <n v="1"/>
    <n v="532.70000000000005"/>
    <n v="4532.7"/>
    <n v="1"/>
  </r>
  <r>
    <d v="2026-09-02T02:00:00"/>
    <x v="1"/>
    <n v="20.6"/>
    <n v="52.7"/>
    <n v="20.5"/>
    <n v="0"/>
    <n v="1380.7"/>
    <n v="3755"/>
    <n v="5135.7"/>
    <n v="0"/>
    <n v="1380.7"/>
    <n v="5135.7"/>
    <n v="2"/>
  </r>
  <r>
    <d v="2026-09-02T03:00:00"/>
    <x v="1"/>
    <n v="23.8"/>
    <n v="59.1"/>
    <n v="3.2"/>
    <n v="0"/>
    <n v="5.2"/>
    <n v="4000"/>
    <n v="4986.1000000000004"/>
    <n v="1"/>
    <n v="5.2"/>
    <n v="4005.2"/>
    <n v="3"/>
  </r>
  <r>
    <d v="2026-09-02T04:00:00"/>
    <x v="1"/>
    <n v="22.4"/>
    <n v="77.2"/>
    <n v="15.4"/>
    <n v="0"/>
    <n v="580.5"/>
    <n v="4000"/>
    <n v="5063"/>
    <n v="1"/>
    <n v="580.5"/>
    <n v="4580.5"/>
    <n v="4"/>
  </r>
  <r>
    <d v="2026-09-02T05:00:00"/>
    <x v="1"/>
    <n v="21.7"/>
    <n v="39.799999999999997"/>
    <n v="7.7"/>
    <n v="0"/>
    <n v="74.400000000000006"/>
    <n v="4000"/>
    <n v="4929.2"/>
    <n v="1"/>
    <n v="74.400000000000006"/>
    <n v="4074.4"/>
    <n v="5"/>
  </r>
  <r>
    <d v="2026-09-02T06:00:00"/>
    <x v="1"/>
    <n v="24.6"/>
    <n v="86.7"/>
    <n v="14"/>
    <n v="160.1"/>
    <n v="436.5"/>
    <n v="4000"/>
    <n v="4862.8999999999996"/>
    <n v="1"/>
    <n v="596.6"/>
    <n v="4596.6000000000004"/>
    <n v="6"/>
  </r>
  <r>
    <d v="2026-09-02T07:00:00"/>
    <x v="1"/>
    <n v="25.5"/>
    <n v="74.900000000000006"/>
    <n v="9"/>
    <n v="358.3"/>
    <n v="114.7"/>
    <n v="4000"/>
    <n v="4770.6000000000004"/>
    <n v="1"/>
    <n v="473"/>
    <n v="4473"/>
    <n v="7"/>
  </r>
  <r>
    <d v="2026-09-02T08:00:00"/>
    <x v="1"/>
    <n v="26"/>
    <n v="25.4"/>
    <n v="15.2"/>
    <n v="792.8"/>
    <n v="566.5"/>
    <n v="3570.6"/>
    <n v="4929.8999999999996"/>
    <n v="0"/>
    <n v="1359.3"/>
    <n v="4929.8999999999996"/>
    <n v="8"/>
  </r>
  <r>
    <d v="2026-09-02T09:00:00"/>
    <x v="1"/>
    <n v="27.2"/>
    <n v="22.8"/>
    <n v="9.8000000000000007"/>
    <n v="1012.2"/>
    <n v="151.19999999999999"/>
    <n v="3768.5"/>
    <n v="4931.8999999999996"/>
    <n v="0"/>
    <n v="1163.4000000000001"/>
    <n v="4931.8999999999996"/>
    <n v="9"/>
  </r>
  <r>
    <d v="2026-09-02T10:00:00"/>
    <x v="1"/>
    <n v="27.1"/>
    <n v="88.2"/>
    <n v="10"/>
    <n v="636.5"/>
    <n v="160.1"/>
    <n v="4000"/>
    <n v="7258.4"/>
    <n v="1"/>
    <n v="796.6"/>
    <n v="4796.6000000000004"/>
    <n v="10"/>
  </r>
  <r>
    <d v="2026-09-02T11:00:00"/>
    <x v="1"/>
    <n v="28.8"/>
    <n v="9.5"/>
    <n v="3.2"/>
    <n v="1378.7"/>
    <n v="5.2"/>
    <n v="4000"/>
    <n v="7183.7"/>
    <n v="1"/>
    <n v="1383.9"/>
    <n v="5383.9"/>
    <n v="11"/>
  </r>
  <r>
    <d v="2026-09-02T12:00:00"/>
    <x v="1"/>
    <n v="29.3"/>
    <n v="31.2"/>
    <n v="24.8"/>
    <n v="1219.2"/>
    <n v="2437.8000000000002"/>
    <n v="3264.2"/>
    <n v="6921.2"/>
    <n v="0"/>
    <n v="3657"/>
    <n v="6921.2"/>
    <n v="12"/>
  </r>
  <r>
    <d v="2026-09-02T13:00:00"/>
    <x v="1"/>
    <n v="28"/>
    <n v="83.6"/>
    <n v="22"/>
    <n v="729.3"/>
    <n v="1710.8"/>
    <n v="4000"/>
    <n v="7065.4"/>
    <n v="1"/>
    <n v="2440.1"/>
    <n v="6440.1"/>
    <n v="13"/>
  </r>
  <r>
    <d v="2026-09-02T14:00:00"/>
    <x v="1"/>
    <n v="28.7"/>
    <n v="70.599999999999994"/>
    <n v="15"/>
    <n v="779"/>
    <n v="536"/>
    <n v="4000"/>
    <n v="7459.2"/>
    <n v="1"/>
    <n v="1315"/>
    <n v="5315"/>
    <n v="14"/>
  </r>
  <r>
    <d v="2026-09-02T15:00:00"/>
    <x v="1"/>
    <n v="26.3"/>
    <n v="24.5"/>
    <n v="12"/>
    <n v="1000"/>
    <n v="275.3"/>
    <n v="3791.5"/>
    <n v="5066.8"/>
    <n v="0"/>
    <n v="1275.3"/>
    <n v="5066.8"/>
    <n v="15"/>
  </r>
  <r>
    <d v="2026-09-02T16:00:00"/>
    <x v="1"/>
    <n v="25.5"/>
    <n v="62.4"/>
    <n v="16.8"/>
    <n v="585"/>
    <n v="755.5"/>
    <n v="3584"/>
    <n v="4924.5"/>
    <n v="0"/>
    <n v="1340.5"/>
    <n v="4924.5"/>
    <n v="16"/>
  </r>
  <r>
    <d v="2026-09-02T17:00:00"/>
    <x v="1"/>
    <n v="26.5"/>
    <n v="16.5"/>
    <n v="11"/>
    <n v="586.6"/>
    <n v="214.8"/>
    <n v="4000"/>
    <n v="4963.3"/>
    <n v="1"/>
    <n v="801.40000000000009"/>
    <n v="4801.3999999999996"/>
    <n v="17"/>
  </r>
  <r>
    <d v="2026-09-02T18:00:00"/>
    <x v="1"/>
    <n v="22.1"/>
    <n v="42.9"/>
    <n v="11.4"/>
    <n v="247.8"/>
    <n v="236.5"/>
    <n v="4000"/>
    <n v="7592.5"/>
    <n v="1"/>
    <n v="484.3"/>
    <n v="4484.3"/>
    <n v="18"/>
  </r>
  <r>
    <d v="2026-09-02T19:00:00"/>
    <x v="1"/>
    <n v="23.6"/>
    <n v="19.399999999999999"/>
    <n v="21.3"/>
    <n v="0"/>
    <n v="1539.8"/>
    <n v="4000"/>
    <n v="7927"/>
    <n v="1"/>
    <n v="1539.8"/>
    <n v="5539.8"/>
    <n v="19"/>
  </r>
  <r>
    <d v="2026-09-02T20:00:00"/>
    <x v="1"/>
    <n v="22.6"/>
    <n v="39.299999999999997"/>
    <n v="7.2"/>
    <n v="0"/>
    <n v="59.8"/>
    <n v="4000"/>
    <n v="7883.2"/>
    <n v="1"/>
    <n v="59.8"/>
    <n v="4059.8"/>
    <n v="20"/>
  </r>
  <r>
    <d v="2026-09-02T21:00:00"/>
    <x v="1"/>
    <n v="22.3"/>
    <n v="92.1"/>
    <n v="19.7"/>
    <n v="0"/>
    <n v="1226.3"/>
    <n v="4000"/>
    <n v="7644.2"/>
    <n v="1"/>
    <n v="1226.3"/>
    <n v="5226.3"/>
    <n v="21"/>
  </r>
  <r>
    <d v="2026-09-02T22:00:00"/>
    <x v="1"/>
    <n v="19.399999999999999"/>
    <n v="48.5"/>
    <n v="3.2"/>
    <n v="0"/>
    <n v="5"/>
    <n v="4000"/>
    <n v="4876.7"/>
    <n v="1"/>
    <n v="5"/>
    <n v="4005"/>
    <n v="22"/>
  </r>
  <r>
    <d v="2026-09-02T23:00:00"/>
    <x v="1"/>
    <n v="20"/>
    <n v="33.299999999999997"/>
    <n v="4"/>
    <n v="0"/>
    <n v="10.4"/>
    <n v="4000"/>
    <n v="4998.5"/>
    <n v="1"/>
    <n v="10.4"/>
    <n v="4010.4"/>
    <n v="23"/>
  </r>
  <r>
    <d v="2026-09-03T00:00:00"/>
    <x v="1"/>
    <n v="19.5"/>
    <n v="15.8"/>
    <n v="0"/>
    <n v="0"/>
    <n v="0"/>
    <n v="4000"/>
    <n v="5027"/>
    <n v="1"/>
    <n v="0"/>
    <n v="4000"/>
    <n v="0"/>
  </r>
  <r>
    <d v="2026-09-03T01:00:00"/>
    <x v="1"/>
    <n v="21.9"/>
    <n v="86.5"/>
    <n v="9.6999999999999993"/>
    <n v="0"/>
    <n v="146.69999999999999"/>
    <n v="4000"/>
    <n v="4945.8999999999996"/>
    <n v="1"/>
    <n v="146.69999999999999"/>
    <n v="4146.7"/>
    <n v="1"/>
  </r>
  <r>
    <d v="2026-09-03T02:00:00"/>
    <x v="1"/>
    <n v="21"/>
    <n v="20"/>
    <n v="13.5"/>
    <n v="0"/>
    <n v="394.4"/>
    <n v="4000"/>
    <n v="4859.7"/>
    <n v="1"/>
    <n v="394.4"/>
    <n v="4394.3999999999996"/>
    <n v="2"/>
  </r>
  <r>
    <d v="2026-09-03T03:00:00"/>
    <x v="1"/>
    <n v="22.4"/>
    <n v="42.5"/>
    <n v="11"/>
    <n v="0"/>
    <n v="211.9"/>
    <n v="4000"/>
    <n v="5064.8999999999996"/>
    <n v="1"/>
    <n v="211.9"/>
    <n v="4211.8999999999996"/>
    <n v="3"/>
  </r>
  <r>
    <d v="2026-09-03T04:00:00"/>
    <x v="1"/>
    <n v="21.2"/>
    <n v="39.299999999999997"/>
    <n v="13.8"/>
    <n v="0"/>
    <n v="423.9"/>
    <n v="4000"/>
    <n v="4818.3"/>
    <n v="1"/>
    <n v="423.9"/>
    <n v="4423.8999999999996"/>
    <n v="4"/>
  </r>
  <r>
    <d v="2026-09-03T05:00:00"/>
    <x v="1"/>
    <n v="22.2"/>
    <n v="82.3"/>
    <n v="10.6"/>
    <n v="0"/>
    <n v="193"/>
    <n v="4000"/>
    <n v="5087"/>
    <n v="1"/>
    <n v="193"/>
    <n v="4193"/>
    <n v="5"/>
  </r>
  <r>
    <d v="2026-09-03T06:00:00"/>
    <x v="1"/>
    <n v="23.3"/>
    <n v="0"/>
    <n v="16.399999999999999"/>
    <n v="333.8"/>
    <n v="708.4"/>
    <n v="3904.6"/>
    <n v="4946.8"/>
    <n v="0"/>
    <n v="1042.2"/>
    <n v="4946.8"/>
    <n v="6"/>
  </r>
  <r>
    <d v="2026-09-03T07:00:00"/>
    <x v="1"/>
    <n v="24.8"/>
    <n v="46.7"/>
    <n v="14.6"/>
    <n v="468.6"/>
    <n v="495.9"/>
    <n v="4000"/>
    <n v="5060.5"/>
    <n v="1"/>
    <n v="964.5"/>
    <n v="4964.5"/>
    <n v="7"/>
  </r>
  <r>
    <d v="2026-09-03T08:00:00"/>
    <x v="1"/>
    <n v="25.5"/>
    <n v="64.900000000000006"/>
    <n v="5.7"/>
    <n v="571.29999999999995"/>
    <n v="30.1"/>
    <n v="4000"/>
    <n v="4715.6000000000004"/>
    <n v="1"/>
    <n v="601.4"/>
    <n v="4601.3999999999996"/>
    <n v="8"/>
  </r>
  <r>
    <d v="2026-09-03T09:00:00"/>
    <x v="1"/>
    <n v="25.5"/>
    <n v="56.7"/>
    <n v="11.8"/>
    <n v="774.1"/>
    <n v="264.3"/>
    <n v="3955.6"/>
    <n v="4994"/>
    <n v="0"/>
    <n v="1038.4000000000001"/>
    <n v="4994"/>
    <n v="9"/>
  </r>
  <r>
    <d v="2026-09-03T10:00:00"/>
    <x v="1"/>
    <n v="28.6"/>
    <n v="26.6"/>
    <n v="7.9"/>
    <n v="1135.5"/>
    <n v="80.400000000000006"/>
    <n v="4000"/>
    <n v="6907.7"/>
    <n v="1"/>
    <n v="1215.9000000000001"/>
    <n v="5215.8999999999996"/>
    <n v="10"/>
  </r>
  <r>
    <d v="2026-09-03T11:00:00"/>
    <x v="1"/>
    <n v="29"/>
    <n v="19.600000000000001"/>
    <n v="12.3"/>
    <n v="1290.4000000000001"/>
    <n v="298.3"/>
    <n v="4000"/>
    <n v="7180.1"/>
    <n v="1"/>
    <n v="1588.7"/>
    <n v="5588.7"/>
    <n v="11"/>
  </r>
  <r>
    <d v="2026-09-03T12:00:00"/>
    <x v="1"/>
    <n v="28.7"/>
    <n v="49.4"/>
    <n v="10.199999999999999"/>
    <n v="1055.3"/>
    <n v="168"/>
    <n v="4000"/>
    <n v="7214.3"/>
    <n v="1"/>
    <n v="1223.3"/>
    <n v="5223.3"/>
    <n v="12"/>
  </r>
  <r>
    <d v="2026-09-03T13:00:00"/>
    <x v="1"/>
    <n v="27.9"/>
    <n v="18.2"/>
    <n v="0"/>
    <n v="1302.7"/>
    <n v="0"/>
    <n v="4000"/>
    <n v="7025.9"/>
    <n v="1"/>
    <n v="1302.7"/>
    <n v="5302.7"/>
    <n v="13"/>
  </r>
  <r>
    <d v="2026-09-03T14:00:00"/>
    <x v="1"/>
    <n v="28.4"/>
    <n v="0"/>
    <n v="7"/>
    <n v="1351.5"/>
    <n v="53.7"/>
    <n v="4000"/>
    <n v="7215.5"/>
    <n v="1"/>
    <n v="1405.2"/>
    <n v="5405.2"/>
    <n v="14"/>
  </r>
  <r>
    <d v="2026-09-03T15:00:00"/>
    <x v="1"/>
    <n v="28.9"/>
    <n v="45.5"/>
    <n v="8.4"/>
    <n v="852.4"/>
    <n v="93.5"/>
    <n v="4000"/>
    <n v="5042.8999999999996"/>
    <n v="1"/>
    <n v="945.9"/>
    <n v="4945.8999999999996"/>
    <n v="15"/>
  </r>
  <r>
    <d v="2026-09-03T16:00:00"/>
    <x v="1"/>
    <n v="27.4"/>
    <n v="28.9"/>
    <n v="8"/>
    <n v="773.3"/>
    <n v="82"/>
    <n v="4000"/>
    <n v="4922.6000000000004"/>
    <n v="1"/>
    <n v="855.3"/>
    <n v="4855.3"/>
    <n v="16"/>
  </r>
  <r>
    <d v="2026-09-03T17:00:00"/>
    <x v="1"/>
    <n v="24.1"/>
    <n v="48.1"/>
    <n v="20.100000000000001"/>
    <n v="463.1"/>
    <n v="1303.8"/>
    <n v="3110.7"/>
    <n v="4877.6000000000004"/>
    <n v="0"/>
    <n v="1766.9"/>
    <n v="4877.6000000000004"/>
    <n v="17"/>
  </r>
  <r>
    <d v="2026-09-03T18:00:00"/>
    <x v="1"/>
    <n v="23.7"/>
    <n v="37.700000000000003"/>
    <n v="4.2"/>
    <n v="258.3"/>
    <n v="11.7"/>
    <n v="4000"/>
    <n v="7748.5"/>
    <n v="1"/>
    <n v="270"/>
    <n v="4270"/>
    <n v="18"/>
  </r>
  <r>
    <d v="2026-09-03T19:00:00"/>
    <x v="1"/>
    <n v="22.9"/>
    <n v="40.5"/>
    <n v="28"/>
    <n v="0"/>
    <n v="0"/>
    <n v="4000"/>
    <n v="7832.5"/>
    <n v="1"/>
    <n v="0"/>
    <n v="4000"/>
    <n v="19"/>
  </r>
  <r>
    <d v="2026-09-03T20:00:00"/>
    <x v="1"/>
    <n v="21.2"/>
    <n v="34.299999999999997"/>
    <n v="17.7"/>
    <n v="0"/>
    <n v="893.6"/>
    <n v="4000"/>
    <n v="7744.8"/>
    <n v="1"/>
    <n v="893.6"/>
    <n v="4893.6000000000004"/>
    <n v="20"/>
  </r>
  <r>
    <d v="2026-09-03T21:00:00"/>
    <x v="1"/>
    <n v="19.7"/>
    <n v="68"/>
    <n v="8.6999999999999993"/>
    <n v="0"/>
    <n v="103.9"/>
    <n v="4000"/>
    <n v="7717"/>
    <n v="1"/>
    <n v="103.9"/>
    <n v="4103.8999999999996"/>
    <n v="21"/>
  </r>
  <r>
    <d v="2026-09-03T22:00:00"/>
    <x v="1"/>
    <n v="21.6"/>
    <n v="33.799999999999997"/>
    <n v="18.399999999999999"/>
    <n v="0"/>
    <n v="997.5"/>
    <n v="4000"/>
    <n v="5231"/>
    <n v="1"/>
    <n v="997.5"/>
    <n v="4997.5"/>
    <n v="22"/>
  </r>
  <r>
    <d v="2026-09-03T23:00:00"/>
    <x v="1"/>
    <n v="21"/>
    <n v="57.1"/>
    <n v="7.8"/>
    <n v="0"/>
    <n v="75"/>
    <n v="4000"/>
    <n v="4960.2"/>
    <n v="1"/>
    <n v="75"/>
    <n v="4075"/>
    <n v="23"/>
  </r>
  <r>
    <d v="2026-09-04T00:00:00"/>
    <x v="1"/>
    <n v="21"/>
    <n v="36.6"/>
    <n v="10"/>
    <n v="0"/>
    <n v="159.1"/>
    <n v="4000"/>
    <n v="4853.5"/>
    <n v="1"/>
    <n v="159.1"/>
    <n v="4159.1000000000004"/>
    <n v="0"/>
  </r>
  <r>
    <d v="2026-09-04T01:00:00"/>
    <x v="1"/>
    <n v="20.6"/>
    <n v="96.6"/>
    <n v="6.7"/>
    <n v="0"/>
    <n v="47.3"/>
    <n v="4000"/>
    <n v="4806.7"/>
    <n v="1"/>
    <n v="47.3"/>
    <n v="4047.3"/>
    <n v="1"/>
  </r>
  <r>
    <d v="2026-09-04T02:00:00"/>
    <x v="1"/>
    <n v="21.9"/>
    <n v="43"/>
    <n v="14.3"/>
    <n v="0"/>
    <n v="464.1"/>
    <n v="4000"/>
    <n v="4953.6000000000004"/>
    <n v="1"/>
    <n v="464.1"/>
    <n v="4464.1000000000004"/>
    <n v="2"/>
  </r>
  <r>
    <d v="2026-09-04T03:00:00"/>
    <x v="1"/>
    <n v="21.6"/>
    <n v="40.299999999999997"/>
    <n v="16.899999999999999"/>
    <n v="0"/>
    <n v="776.2"/>
    <n v="4000"/>
    <n v="4790.6000000000004"/>
    <n v="1"/>
    <n v="776.2"/>
    <n v="4776.2"/>
    <n v="3"/>
  </r>
  <r>
    <d v="2026-09-04T04:00:00"/>
    <x v="1"/>
    <n v="24.6"/>
    <n v="59.5"/>
    <n v="13.6"/>
    <n v="0"/>
    <n v="405.1"/>
    <n v="4000"/>
    <n v="5128.1000000000004"/>
    <n v="1"/>
    <n v="405.1"/>
    <n v="4405.1000000000004"/>
    <n v="4"/>
  </r>
  <r>
    <d v="2026-09-04T05:00:00"/>
    <x v="1"/>
    <n v="22.6"/>
    <n v="53.5"/>
    <n v="10.5"/>
    <n v="0"/>
    <n v="186.4"/>
    <n v="4000"/>
    <n v="4979.2"/>
    <n v="1"/>
    <n v="186.4"/>
    <n v="4186.3999999999996"/>
    <n v="5"/>
  </r>
  <r>
    <d v="2026-09-04T06:00:00"/>
    <x v="1"/>
    <n v="25.3"/>
    <n v="19.8"/>
    <n v="17.7"/>
    <n v="294.10000000000002"/>
    <n v="887.1"/>
    <n v="3794.1"/>
    <n v="4975.3"/>
    <n v="0"/>
    <n v="1181.2"/>
    <n v="4975.3"/>
    <n v="6"/>
  </r>
  <r>
    <d v="2026-09-04T07:00:00"/>
    <x v="1"/>
    <n v="24.9"/>
    <n v="0"/>
    <n v="9"/>
    <n v="650.79999999999995"/>
    <n v="115.1"/>
    <n v="4000"/>
    <n v="5147.6000000000004"/>
    <n v="1"/>
    <n v="765.9"/>
    <n v="4765.8999999999996"/>
    <n v="7"/>
  </r>
  <r>
    <d v="2026-09-04T08:00:00"/>
    <x v="1"/>
    <n v="26"/>
    <n v="20"/>
    <n v="9.5"/>
    <n v="822.9"/>
    <n v="136.1"/>
    <n v="4000"/>
    <n v="5144.5"/>
    <n v="1"/>
    <n v="959"/>
    <n v="4959"/>
    <n v="8"/>
  </r>
  <r>
    <d v="2026-09-04T09:00:00"/>
    <x v="1"/>
    <n v="27.4"/>
    <n v="39"/>
    <n v="10.199999999999999"/>
    <n v="898.1"/>
    <n v="168.1"/>
    <n v="4000"/>
    <n v="5076.1000000000004"/>
    <n v="1"/>
    <n v="1066.2"/>
    <n v="5066.2"/>
    <n v="9"/>
  </r>
  <r>
    <d v="2026-09-04T10:00:00"/>
    <x v="1"/>
    <n v="26.5"/>
    <n v="85.4"/>
    <n v="10.4"/>
    <n v="659.1"/>
    <n v="179.4"/>
    <n v="4000"/>
    <n v="7091.2"/>
    <n v="1"/>
    <n v="838.5"/>
    <n v="4838.5"/>
    <n v="10"/>
  </r>
  <r>
    <d v="2026-09-04T11:00:00"/>
    <x v="1"/>
    <n v="29.4"/>
    <n v="70"/>
    <n v="9.8000000000000007"/>
    <n v="848.6"/>
    <n v="152.5"/>
    <n v="4000"/>
    <n v="7332.6"/>
    <n v="1"/>
    <n v="1001.1"/>
    <n v="5001.1000000000004"/>
    <n v="11"/>
  </r>
  <r>
    <d v="2026-09-04T12:00:00"/>
    <x v="1"/>
    <n v="28"/>
    <n v="22.4"/>
    <n v="13.6"/>
    <n v="1298.3"/>
    <n v="404.4"/>
    <n v="4000"/>
    <n v="7210.6"/>
    <n v="1"/>
    <n v="1702.6999999999998"/>
    <n v="5702.7"/>
    <n v="12"/>
  </r>
  <r>
    <d v="2026-09-04T13:00:00"/>
    <x v="1"/>
    <n v="29.1"/>
    <n v="33.4"/>
    <n v="13"/>
    <n v="1169.5"/>
    <n v="352"/>
    <n v="4000"/>
    <n v="6973.1"/>
    <n v="1"/>
    <n v="1521.5"/>
    <n v="5521.5"/>
    <n v="13"/>
  </r>
  <r>
    <d v="2026-09-04T14:00:00"/>
    <x v="1"/>
    <n v="27.2"/>
    <n v="59.7"/>
    <n v="9.6"/>
    <n v="867.6"/>
    <n v="142.69999999999999"/>
    <n v="4000"/>
    <n v="7192.5"/>
    <n v="1"/>
    <n v="1010.3"/>
    <n v="5010.3"/>
    <n v="14"/>
  </r>
  <r>
    <d v="2026-09-04T15:00:00"/>
    <x v="1"/>
    <n v="25.5"/>
    <n v="48.2"/>
    <n v="21.7"/>
    <n v="833.9"/>
    <n v="1633.7"/>
    <n v="2613.1"/>
    <n v="5080.7"/>
    <n v="0"/>
    <n v="2467.6"/>
    <n v="5080.7"/>
    <n v="15"/>
  </r>
  <r>
    <d v="2026-09-04T16:00:00"/>
    <x v="1"/>
    <n v="25.3"/>
    <n v="57.8"/>
    <n v="12.9"/>
    <n v="610.6"/>
    <n v="343.3"/>
    <n v="3846.1"/>
    <n v="4800"/>
    <n v="0"/>
    <n v="953.90000000000009"/>
    <n v="4800"/>
    <n v="16"/>
  </r>
  <r>
    <d v="2026-09-04T17:00:00"/>
    <x v="1"/>
    <n v="25.5"/>
    <n v="60.9"/>
    <n v="17.5"/>
    <n v="413.1"/>
    <n v="864.6"/>
    <n v="3724.9"/>
    <n v="5002.6000000000004"/>
    <n v="0"/>
    <n v="1277.7"/>
    <n v="5002.6000000000004"/>
    <n v="17"/>
  </r>
  <r>
    <d v="2026-09-04T18:00:00"/>
    <x v="1"/>
    <n v="23.8"/>
    <n v="61.8"/>
    <n v="21.5"/>
    <n v="210"/>
    <n v="1590"/>
    <n v="4000"/>
    <n v="7761.5"/>
    <n v="1"/>
    <n v="1800"/>
    <n v="5800"/>
    <n v="18"/>
  </r>
  <r>
    <d v="2026-09-04T19:00:00"/>
    <x v="1"/>
    <n v="22"/>
    <n v="72.7"/>
    <n v="11.4"/>
    <n v="0"/>
    <n v="236.9"/>
    <n v="4000"/>
    <n v="7680.1"/>
    <n v="1"/>
    <n v="236.9"/>
    <n v="4236.8999999999996"/>
    <n v="19"/>
  </r>
  <r>
    <d v="2026-09-04T20:00:00"/>
    <x v="1"/>
    <n v="22.8"/>
    <n v="31.6"/>
    <n v="11.5"/>
    <n v="0"/>
    <n v="246.4"/>
    <n v="4000"/>
    <n v="7374.1"/>
    <n v="1"/>
    <n v="246.4"/>
    <n v="4246.3999999999996"/>
    <n v="20"/>
  </r>
  <r>
    <d v="2026-09-04T21:00:00"/>
    <x v="1"/>
    <n v="21.4"/>
    <n v="62.7"/>
    <n v="9.8000000000000007"/>
    <n v="0"/>
    <n v="151.6"/>
    <n v="4000"/>
    <n v="7749.8"/>
    <n v="1"/>
    <n v="151.6"/>
    <n v="4151.6000000000004"/>
    <n v="21"/>
  </r>
  <r>
    <d v="2026-09-04T22:00:00"/>
    <x v="1"/>
    <n v="20.3"/>
    <n v="63.5"/>
    <n v="15.1"/>
    <n v="0"/>
    <n v="548.29999999999995"/>
    <n v="4000"/>
    <n v="5027"/>
    <n v="1"/>
    <n v="548.29999999999995"/>
    <n v="4548.3"/>
    <n v="22"/>
  </r>
  <r>
    <d v="2026-09-04T23:00:00"/>
    <x v="1"/>
    <n v="21.2"/>
    <n v="31.6"/>
    <n v="16"/>
    <n v="0"/>
    <n v="660.3"/>
    <n v="4000"/>
    <n v="4809.7"/>
    <n v="1"/>
    <n v="660.3"/>
    <n v="4660.3"/>
    <n v="23"/>
  </r>
  <r>
    <d v="2026-09-05T00:00:00"/>
    <x v="1"/>
    <n v="21.8"/>
    <n v="39.4"/>
    <n v="10.3"/>
    <n v="0"/>
    <n v="172.5"/>
    <n v="4000"/>
    <n v="4375.1000000000004"/>
    <n v="1"/>
    <n v="172.5"/>
    <n v="4172.5"/>
    <n v="0"/>
  </r>
  <r>
    <d v="2026-09-05T01:00:00"/>
    <x v="1"/>
    <n v="19.8"/>
    <n v="65"/>
    <n v="3.9"/>
    <n v="0"/>
    <n v="9.6"/>
    <n v="4000"/>
    <n v="4317.1000000000004"/>
    <n v="1"/>
    <n v="9.6"/>
    <n v="4009.6"/>
    <n v="1"/>
  </r>
  <r>
    <d v="2026-09-05T02:00:00"/>
    <x v="1"/>
    <n v="19.5"/>
    <n v="68.8"/>
    <n v="20.6"/>
    <n v="0"/>
    <n v="1389.2"/>
    <n v="2772.7"/>
    <n v="4161.8999999999996"/>
    <n v="0"/>
    <n v="1389.2"/>
    <n v="4161.8999999999996"/>
    <n v="2"/>
  </r>
  <r>
    <d v="2026-09-05T03:00:00"/>
    <x v="1"/>
    <n v="21"/>
    <n v="46.8"/>
    <n v="17.8"/>
    <n v="0"/>
    <n v="903.8"/>
    <n v="3400.5"/>
    <n v="4304.3"/>
    <n v="0"/>
    <n v="903.8"/>
    <n v="4304.3"/>
    <n v="3"/>
  </r>
  <r>
    <d v="2026-09-05T04:00:00"/>
    <x v="1"/>
    <n v="22.2"/>
    <n v="69.400000000000006"/>
    <n v="14.5"/>
    <n v="0"/>
    <n v="488.3"/>
    <n v="3692.6"/>
    <n v="4180.8999999999996"/>
    <n v="0"/>
    <n v="488.3"/>
    <n v="4180.8999999999996"/>
    <n v="4"/>
  </r>
  <r>
    <d v="2026-09-05T05:00:00"/>
    <x v="1"/>
    <n v="24"/>
    <n v="0"/>
    <n v="15.4"/>
    <n v="0"/>
    <n v="583.20000000000005"/>
    <n v="3765.2"/>
    <n v="4348.3999999999996"/>
    <n v="0"/>
    <n v="583.20000000000005"/>
    <n v="4348.3999999999996"/>
    <n v="5"/>
  </r>
  <r>
    <d v="2026-09-05T06:00:00"/>
    <x v="1"/>
    <n v="22.2"/>
    <n v="57.8"/>
    <n v="18.899999999999999"/>
    <n v="218.1"/>
    <n v="1074.8"/>
    <n v="2929"/>
    <n v="4221.8999999999996"/>
    <n v="0"/>
    <n v="1292.8999999999999"/>
    <n v="4221.8999999999996"/>
    <n v="6"/>
  </r>
  <r>
    <d v="2026-09-05T07:00:00"/>
    <x v="1"/>
    <n v="26"/>
    <n v="85.3"/>
    <n v="18.600000000000001"/>
    <n v="317.7"/>
    <n v="1025.4000000000001"/>
    <n v="2956.3"/>
    <n v="4299.3999999999996"/>
    <n v="0"/>
    <n v="1343.1000000000001"/>
    <n v="4299.4000000000005"/>
    <n v="7"/>
  </r>
  <r>
    <d v="2026-09-05T08:00:00"/>
    <x v="1"/>
    <n v="26.7"/>
    <n v="46.9"/>
    <n v="4"/>
    <n v="672.1"/>
    <n v="10.199999999999999"/>
    <n v="3883.7"/>
    <n v="4566"/>
    <n v="0"/>
    <n v="682.30000000000007"/>
    <n v="4566"/>
    <n v="8"/>
  </r>
  <r>
    <d v="2026-09-05T09:00:00"/>
    <x v="1"/>
    <n v="26"/>
    <n v="99.3"/>
    <n v="11.1"/>
    <n v="474.2"/>
    <n v="220"/>
    <n v="3588.9"/>
    <n v="4283.1000000000004"/>
    <n v="0"/>
    <n v="694.2"/>
    <n v="4283.1000000000004"/>
    <n v="9"/>
  </r>
  <r>
    <d v="2026-09-05T10:00:00"/>
    <x v="1"/>
    <n v="28"/>
    <n v="46.1"/>
    <n v="20.5"/>
    <n v="977.7"/>
    <n v="1373.4"/>
    <n v="3907.4"/>
    <n v="6258.5"/>
    <n v="0"/>
    <n v="2351.1000000000004"/>
    <n v="6258.5"/>
    <n v="10"/>
  </r>
  <r>
    <d v="2026-09-05T11:00:00"/>
    <x v="1"/>
    <n v="28.1"/>
    <n v="26.4"/>
    <n v="5.4"/>
    <n v="1230.4000000000001"/>
    <n v="25.2"/>
    <n v="4000"/>
    <n v="6146.6"/>
    <n v="1"/>
    <n v="1255.6000000000001"/>
    <n v="5255.6"/>
    <n v="11"/>
  </r>
  <r>
    <d v="2026-09-05T12:00:00"/>
    <x v="1"/>
    <n v="28"/>
    <n v="34.299999999999997"/>
    <n v="8.5"/>
    <n v="1191.5999999999999"/>
    <n v="99.6"/>
    <n v="4000"/>
    <n v="6148.2"/>
    <n v="1"/>
    <n v="1291.1999999999998"/>
    <n v="5291.2"/>
    <n v="12"/>
  </r>
  <r>
    <d v="2026-09-05T13:00:00"/>
    <x v="1"/>
    <n v="27.8"/>
    <n v="7.4"/>
    <n v="15.8"/>
    <n v="1397.6"/>
    <n v="631.1"/>
    <n v="4000"/>
    <n v="6029.1"/>
    <n v="1"/>
    <n v="2028.6999999999998"/>
    <n v="6028.7"/>
    <n v="13"/>
  </r>
  <r>
    <d v="2026-09-05T14:00:00"/>
    <x v="1"/>
    <n v="26"/>
    <n v="37.299999999999997"/>
    <n v="8.1999999999999993"/>
    <n v="1049.2"/>
    <n v="89.5"/>
    <n v="4000"/>
    <n v="6252.4"/>
    <n v="1"/>
    <n v="1138.7"/>
    <n v="5138.7"/>
    <n v="14"/>
  </r>
  <r>
    <d v="2026-09-05T15:00:00"/>
    <x v="1"/>
    <n v="28.2"/>
    <n v="0"/>
    <n v="12.6"/>
    <n v="1172.7"/>
    <n v="318.2"/>
    <n v="2877"/>
    <n v="4367.8999999999996"/>
    <n v="0"/>
    <n v="1490.9"/>
    <n v="4367.8999999999996"/>
    <n v="15"/>
  </r>
  <r>
    <d v="2026-09-05T16:00:00"/>
    <x v="1"/>
    <n v="26.7"/>
    <n v="50.3"/>
    <n v="8.1999999999999993"/>
    <n v="652.79999999999995"/>
    <n v="89.5"/>
    <n v="3553.7"/>
    <n v="4296"/>
    <n v="0"/>
    <n v="742.3"/>
    <n v="4296"/>
    <n v="16"/>
  </r>
  <r>
    <d v="2026-09-05T17:00:00"/>
    <x v="1"/>
    <n v="24.2"/>
    <n v="71.900000000000006"/>
    <n v="12.1"/>
    <n v="370.1"/>
    <n v="283.89999999999998"/>
    <n v="3618.1"/>
    <n v="4272.1000000000004"/>
    <n v="0"/>
    <n v="654"/>
    <n v="4272.1000000000004"/>
    <n v="17"/>
  </r>
  <r>
    <d v="2026-09-05T18:00:00"/>
    <x v="1"/>
    <n v="23.9"/>
    <n v="27.3"/>
    <n v="4.4000000000000004"/>
    <n v="279.10000000000002"/>
    <n v="13.9"/>
    <n v="4000"/>
    <n v="7005.2"/>
    <n v="1"/>
    <n v="293"/>
    <n v="4293"/>
    <n v="18"/>
  </r>
  <r>
    <d v="2026-09-05T19:00:00"/>
    <x v="1"/>
    <n v="21.4"/>
    <n v="51.7"/>
    <n v="14.5"/>
    <n v="0"/>
    <n v="492.2"/>
    <n v="4000"/>
    <n v="6449.5"/>
    <n v="1"/>
    <n v="492.2"/>
    <n v="4492.2"/>
    <n v="19"/>
  </r>
  <r>
    <d v="2026-09-05T20:00:00"/>
    <x v="1"/>
    <n v="22.9"/>
    <n v="32.9"/>
    <n v="12.7"/>
    <n v="0"/>
    <n v="330.4"/>
    <n v="4000"/>
    <n v="6482.8"/>
    <n v="1"/>
    <n v="330.4"/>
    <n v="4330.3999999999996"/>
    <n v="20"/>
  </r>
  <r>
    <d v="2026-09-05T21:00:00"/>
    <x v="1"/>
    <n v="22.1"/>
    <n v="38.299999999999997"/>
    <n v="7.5"/>
    <n v="0"/>
    <n v="68.7"/>
    <n v="4000"/>
    <n v="6961.8"/>
    <n v="1"/>
    <n v="68.7"/>
    <n v="4068.7"/>
    <n v="21"/>
  </r>
  <r>
    <d v="2026-09-05T22:00:00"/>
    <x v="1"/>
    <n v="19.8"/>
    <n v="39.700000000000003"/>
    <n v="7.1"/>
    <n v="0"/>
    <n v="56.4"/>
    <n v="3940.8"/>
    <n v="3997.2"/>
    <n v="0"/>
    <n v="56.4"/>
    <n v="3997.2000000000003"/>
    <n v="22"/>
  </r>
  <r>
    <d v="2026-09-05T23:00:00"/>
    <x v="1"/>
    <n v="20.2"/>
    <n v="39.4"/>
    <n v="8.6999999999999993"/>
    <n v="0"/>
    <n v="107.2"/>
    <n v="4000"/>
    <n v="4300.3"/>
    <n v="1"/>
    <n v="107.2"/>
    <n v="4107.2"/>
    <n v="23"/>
  </r>
  <r>
    <d v="2026-09-06T00:00:00"/>
    <x v="1"/>
    <n v="20.399999999999999"/>
    <n v="17.7"/>
    <n v="19.100000000000001"/>
    <n v="0"/>
    <n v="1106.9000000000001"/>
    <n v="3238.4"/>
    <n v="4345.3"/>
    <n v="0"/>
    <n v="1106.9000000000001"/>
    <n v="4345.3"/>
    <n v="0"/>
  </r>
  <r>
    <d v="2026-09-06T01:00:00"/>
    <x v="1"/>
    <n v="20.2"/>
    <n v="62.7"/>
    <n v="13.2"/>
    <n v="0"/>
    <n v="365.2"/>
    <n v="3940"/>
    <n v="4305.2"/>
    <n v="0"/>
    <n v="365.2"/>
    <n v="4305.2"/>
    <n v="1"/>
  </r>
  <r>
    <d v="2026-09-06T02:00:00"/>
    <x v="1"/>
    <n v="20.8"/>
    <n v="29.7"/>
    <n v="13.8"/>
    <n v="0"/>
    <n v="421.2"/>
    <n v="4000"/>
    <n v="4463"/>
    <n v="1"/>
    <n v="421.2"/>
    <n v="4421.2"/>
    <n v="2"/>
  </r>
  <r>
    <d v="2026-09-06T03:00:00"/>
    <x v="1"/>
    <n v="21.3"/>
    <n v="44.2"/>
    <n v="11"/>
    <n v="0"/>
    <n v="210.6"/>
    <n v="3937.8"/>
    <n v="4148.3999999999996"/>
    <n v="0"/>
    <n v="210.6"/>
    <n v="4148.4000000000005"/>
    <n v="3"/>
  </r>
  <r>
    <d v="2026-09-06T04:00:00"/>
    <x v="1"/>
    <n v="20.100000000000001"/>
    <n v="31.3"/>
    <n v="12.5"/>
    <n v="0"/>
    <n v="309.8"/>
    <n v="3990.9"/>
    <n v="4300.7"/>
    <n v="0"/>
    <n v="309.8"/>
    <n v="4300.7"/>
    <n v="4"/>
  </r>
  <r>
    <d v="2026-09-06T05:00:00"/>
    <x v="1"/>
    <n v="21.9"/>
    <n v="76.599999999999994"/>
    <n v="7.7"/>
    <n v="0"/>
    <n v="72.2"/>
    <n v="4000"/>
    <n v="4344"/>
    <n v="1"/>
    <n v="72.2"/>
    <n v="4072.2"/>
    <n v="5"/>
  </r>
  <r>
    <d v="2026-09-06T06:00:00"/>
    <x v="1"/>
    <n v="24.4"/>
    <n v="28.8"/>
    <n v="20.9"/>
    <n v="276"/>
    <n v="1455.8"/>
    <n v="2733.6"/>
    <n v="4465.3999999999996"/>
    <n v="0"/>
    <n v="1731.8"/>
    <n v="4465.3999999999996"/>
    <n v="6"/>
  </r>
  <r>
    <d v="2026-09-06T07:00:00"/>
    <x v="1"/>
    <n v="26"/>
    <n v="70"/>
    <n v="8.6"/>
    <n v="377.4"/>
    <n v="103.4"/>
    <n v="3660.2"/>
    <n v="4141"/>
    <n v="0"/>
    <n v="480.79999999999995"/>
    <n v="4141"/>
    <n v="7"/>
  </r>
  <r>
    <d v="2026-09-06T08:00:00"/>
    <x v="1"/>
    <n v="25.7"/>
    <n v="52.2"/>
    <n v="13.3"/>
    <n v="642.20000000000005"/>
    <n v="376.6"/>
    <n v="3510.1"/>
    <n v="4528.8999999999996"/>
    <n v="0"/>
    <n v="1018.8000000000001"/>
    <n v="4528.8999999999996"/>
    <n v="8"/>
  </r>
  <r>
    <d v="2026-09-06T09:00:00"/>
    <x v="1"/>
    <n v="27.6"/>
    <n v="64.8"/>
    <n v="3.3"/>
    <n v="716.5"/>
    <n v="5.5"/>
    <n v="3577.9"/>
    <n v="4299.8999999999996"/>
    <n v="0"/>
    <n v="722"/>
    <n v="4299.8999999999996"/>
    <n v="9"/>
  </r>
  <r>
    <d v="2026-09-06T10:00:00"/>
    <x v="1"/>
    <n v="25.8"/>
    <n v="70.8"/>
    <n v="17.600000000000001"/>
    <n v="777.2"/>
    <n v="877.3"/>
    <n v="4000"/>
    <n v="6435.7"/>
    <n v="1"/>
    <n v="1654.5"/>
    <n v="5654.5"/>
    <n v="10"/>
  </r>
  <r>
    <d v="2026-09-06T11:00:00"/>
    <x v="1"/>
    <n v="27.5"/>
    <n v="17.399999999999999"/>
    <n v="10.9"/>
    <n v="1310.0999999999999"/>
    <n v="208.7"/>
    <n v="4000"/>
    <n v="6076.4"/>
    <n v="1"/>
    <n v="1518.8"/>
    <n v="5518.8"/>
    <n v="11"/>
  </r>
  <r>
    <d v="2026-09-06T12:00:00"/>
    <x v="1"/>
    <n v="28.8"/>
    <n v="77.8"/>
    <n v="19"/>
    <n v="800.2"/>
    <n v="1093.7"/>
    <n v="4000"/>
    <n v="6193.8"/>
    <n v="1"/>
    <n v="1893.9"/>
    <n v="5893.9"/>
    <n v="12"/>
  </r>
  <r>
    <d v="2026-09-06T13:00:00"/>
    <x v="1"/>
    <n v="27.7"/>
    <n v="2.9"/>
    <n v="8"/>
    <n v="1436.8"/>
    <n v="81"/>
    <n v="4000"/>
    <n v="6155.7"/>
    <n v="1"/>
    <n v="1517.8"/>
    <n v="5517.8"/>
    <n v="13"/>
  </r>
  <r>
    <d v="2026-09-06T14:00:00"/>
    <x v="1"/>
    <n v="29.1"/>
    <n v="14.1"/>
    <n v="9"/>
    <n v="1236.8"/>
    <n v="118.1"/>
    <n v="4000"/>
    <n v="6384.7"/>
    <n v="1"/>
    <n v="1354.8999999999999"/>
    <n v="5354.9"/>
    <n v="14"/>
  </r>
  <r>
    <d v="2026-09-06T15:00:00"/>
    <x v="1"/>
    <n v="27.1"/>
    <n v="24.8"/>
    <n v="14.1"/>
    <n v="998.5"/>
    <n v="450.5"/>
    <n v="2867"/>
    <n v="4316"/>
    <n v="0"/>
    <n v="1449"/>
    <n v="4316"/>
    <n v="15"/>
  </r>
  <r>
    <d v="2026-09-06T16:00:00"/>
    <x v="1"/>
    <n v="26"/>
    <n v="58.7"/>
    <n v="12"/>
    <n v="606.1"/>
    <n v="278.7"/>
    <n v="3364.1"/>
    <n v="4248.8999999999996"/>
    <n v="0"/>
    <n v="884.8"/>
    <n v="4248.8999999999996"/>
    <n v="16"/>
  </r>
  <r>
    <d v="2026-09-06T17:00:00"/>
    <x v="1"/>
    <n v="24.9"/>
    <n v="42.8"/>
    <n v="10.1"/>
    <n v="483.7"/>
    <n v="167.3"/>
    <n v="3603.5"/>
    <n v="4254.5"/>
    <n v="0"/>
    <n v="651"/>
    <n v="4254.5"/>
    <n v="17"/>
  </r>
  <r>
    <d v="2026-09-06T18:00:00"/>
    <x v="1"/>
    <n v="25.6"/>
    <n v="59"/>
    <n v="10.5"/>
    <n v="215.6"/>
    <n v="186.4"/>
    <n v="4000"/>
    <n v="6681.2"/>
    <n v="1"/>
    <n v="402"/>
    <n v="4402"/>
    <n v="18"/>
  </r>
  <r>
    <d v="2026-09-06T19:00:00"/>
    <x v="1"/>
    <n v="22.6"/>
    <n v="74.3"/>
    <n v="13.8"/>
    <n v="0"/>
    <n v="424.9"/>
    <n v="4000"/>
    <n v="6824.5"/>
    <n v="1"/>
    <n v="424.9"/>
    <n v="4424.8999999999996"/>
    <n v="19"/>
  </r>
  <r>
    <d v="2026-09-06T20:00:00"/>
    <x v="1"/>
    <n v="22.4"/>
    <n v="5.7"/>
    <n v="6.4"/>
    <n v="0"/>
    <n v="41.3"/>
    <n v="4000"/>
    <n v="6703.9"/>
    <n v="1"/>
    <n v="41.3"/>
    <n v="4041.3"/>
    <n v="20"/>
  </r>
  <r>
    <d v="2026-09-06T21:00:00"/>
    <x v="1"/>
    <n v="21.3"/>
    <n v="88.3"/>
    <n v="23.2"/>
    <n v="0"/>
    <n v="1986.7"/>
    <n v="4000"/>
    <n v="6540.9"/>
    <n v="1"/>
    <n v="1986.7"/>
    <n v="5986.7"/>
    <n v="21"/>
  </r>
  <r>
    <d v="2026-09-06T22:00:00"/>
    <x v="1"/>
    <n v="21"/>
    <n v="0"/>
    <n v="9.3000000000000007"/>
    <n v="0"/>
    <n v="128.1"/>
    <n v="4000"/>
    <n v="4415.7"/>
    <n v="1"/>
    <n v="128.1"/>
    <n v="4128.1000000000004"/>
    <n v="22"/>
  </r>
  <r>
    <d v="2026-09-06T23:00:00"/>
    <x v="1"/>
    <n v="19.5"/>
    <n v="40.799999999999997"/>
    <n v="9.6"/>
    <n v="0"/>
    <n v="143.30000000000001"/>
    <n v="4000"/>
    <n v="4201.8"/>
    <n v="1"/>
    <n v="143.30000000000001"/>
    <n v="4143.3"/>
    <n v="23"/>
  </r>
  <r>
    <d v="2026-09-07T00:00:00"/>
    <x v="1"/>
    <n v="20.7"/>
    <n v="18.2"/>
    <n v="13.2"/>
    <n v="0"/>
    <n v="367.7"/>
    <n v="4000"/>
    <n v="4653.1000000000004"/>
    <n v="1"/>
    <n v="367.7"/>
    <n v="4367.7"/>
    <n v="0"/>
  </r>
  <r>
    <d v="2026-09-07T01:00:00"/>
    <x v="1"/>
    <n v="19.2"/>
    <n v="0"/>
    <n v="10.6"/>
    <n v="0"/>
    <n v="188.9"/>
    <n v="4000"/>
    <n v="5261.1"/>
    <n v="1"/>
    <n v="188.9"/>
    <n v="4188.8999999999996"/>
    <n v="1"/>
  </r>
  <r>
    <d v="2026-09-07T02:00:00"/>
    <x v="1"/>
    <n v="22.5"/>
    <n v="14.3"/>
    <n v="14.5"/>
    <n v="0"/>
    <n v="486.1"/>
    <n v="4000"/>
    <n v="5115.1000000000004"/>
    <n v="1"/>
    <n v="486.1"/>
    <n v="4486.1000000000004"/>
    <n v="2"/>
  </r>
  <r>
    <d v="2026-09-07T03:00:00"/>
    <x v="1"/>
    <n v="21.1"/>
    <n v="100"/>
    <n v="4.5"/>
    <n v="0"/>
    <n v="14.4"/>
    <n v="4000"/>
    <n v="4880.2"/>
    <n v="1"/>
    <n v="14.4"/>
    <n v="4014.4"/>
    <n v="3"/>
  </r>
  <r>
    <d v="2026-09-07T04:00:00"/>
    <x v="1"/>
    <n v="22.5"/>
    <n v="72.099999999999994"/>
    <n v="12.5"/>
    <n v="0"/>
    <n v="311.7"/>
    <n v="4000"/>
    <n v="4988.1000000000004"/>
    <n v="1"/>
    <n v="311.7"/>
    <n v="4311.7"/>
    <n v="4"/>
  </r>
  <r>
    <d v="2026-09-07T05:00:00"/>
    <x v="1"/>
    <n v="22.6"/>
    <n v="51.7"/>
    <n v="10.3"/>
    <n v="0"/>
    <n v="174"/>
    <n v="4000"/>
    <n v="4996.2"/>
    <n v="1"/>
    <n v="174"/>
    <n v="4174"/>
    <n v="5"/>
  </r>
  <r>
    <d v="2026-09-07T06:00:00"/>
    <x v="1"/>
    <n v="23.6"/>
    <n v="54.4"/>
    <n v="11.9"/>
    <n v="224.8"/>
    <n v="266.5"/>
    <n v="4000"/>
    <n v="5043.2"/>
    <n v="1"/>
    <n v="491.3"/>
    <n v="4491.3"/>
    <n v="6"/>
  </r>
  <r>
    <d v="2026-09-07T07:00:00"/>
    <x v="1"/>
    <n v="25"/>
    <n v="0.7"/>
    <n v="18.3"/>
    <n v="648.20000000000005"/>
    <n v="982.1"/>
    <n v="3488.6"/>
    <n v="5118.8999999999996"/>
    <n v="0"/>
    <n v="1630.3000000000002"/>
    <n v="5118.8999999999996"/>
    <n v="7"/>
  </r>
  <r>
    <d v="2026-09-07T08:00:00"/>
    <x v="1"/>
    <n v="25.3"/>
    <n v="30.1"/>
    <n v="18.899999999999999"/>
    <n v="766.3"/>
    <n v="1075.4000000000001"/>
    <n v="2972.4"/>
    <n v="4814.1000000000004"/>
    <n v="0"/>
    <n v="1841.7"/>
    <n v="4814.1000000000004"/>
    <n v="8"/>
  </r>
  <r>
    <d v="2026-09-07T09:00:00"/>
    <x v="1"/>
    <n v="30"/>
    <n v="71.400000000000006"/>
    <n v="13.1"/>
    <n v="670.3"/>
    <n v="361"/>
    <n v="3598.3"/>
    <n v="4629.6000000000004"/>
    <n v="0"/>
    <n v="1031.3"/>
    <n v="4629.6000000000004"/>
    <n v="9"/>
  </r>
  <r>
    <d v="2026-09-07T10:00:00"/>
    <x v="1"/>
    <n v="27.7"/>
    <n v="58"/>
    <n v="15.2"/>
    <n v="880.9"/>
    <n v="564.79999999999995"/>
    <n v="4000"/>
    <n v="7141.8"/>
    <n v="1"/>
    <n v="1445.6999999999998"/>
    <n v="5445.7"/>
    <n v="10"/>
  </r>
  <r>
    <d v="2026-09-07T11:00:00"/>
    <x v="1"/>
    <n v="28"/>
    <n v="40.1"/>
    <n v="11.2"/>
    <n v="1110.8"/>
    <n v="227.4"/>
    <n v="4000"/>
    <n v="7233.3"/>
    <n v="1"/>
    <n v="1338.2"/>
    <n v="5338.2"/>
    <n v="11"/>
  </r>
  <r>
    <d v="2026-09-07T12:00:00"/>
    <x v="1"/>
    <n v="29.1"/>
    <n v="59.8"/>
    <n v="0"/>
    <n v="961.4"/>
    <n v="0"/>
    <n v="4000"/>
    <n v="7120.8"/>
    <n v="1"/>
    <n v="961.4"/>
    <n v="4961.3999999999996"/>
    <n v="12"/>
  </r>
  <r>
    <d v="2026-09-07T13:00:00"/>
    <x v="1"/>
    <n v="28.1"/>
    <n v="44.5"/>
    <n v="10.1"/>
    <n v="1071.5999999999999"/>
    <n v="162.80000000000001"/>
    <n v="4000"/>
    <n v="7248.4"/>
    <n v="1"/>
    <n v="1234.3999999999999"/>
    <n v="5234.3999999999996"/>
    <n v="13"/>
  </r>
  <r>
    <d v="2026-09-07T14:00:00"/>
    <x v="1"/>
    <n v="28.4"/>
    <n v="25.7"/>
    <n v="14"/>
    <n v="1143.2"/>
    <n v="442.4"/>
    <n v="4000"/>
    <n v="7318.6"/>
    <n v="1"/>
    <n v="1585.6"/>
    <n v="5585.6"/>
    <n v="14"/>
  </r>
  <r>
    <d v="2026-09-07T15:00:00"/>
    <x v="1"/>
    <n v="25.4"/>
    <n v="29.3"/>
    <n v="16.3"/>
    <n v="966.4"/>
    <n v="694.4"/>
    <n v="3143.5"/>
    <n v="4804.3"/>
    <n v="0"/>
    <n v="1660.8"/>
    <n v="4804.3"/>
    <n v="15"/>
  </r>
  <r>
    <d v="2026-09-07T16:00:00"/>
    <x v="1"/>
    <n v="26.5"/>
    <n v="63.1"/>
    <n v="14.6"/>
    <n v="581"/>
    <n v="496"/>
    <n v="4000"/>
    <n v="5093"/>
    <n v="1"/>
    <n v="1077"/>
    <n v="5077"/>
    <n v="16"/>
  </r>
  <r>
    <d v="2026-09-07T17:00:00"/>
    <x v="1"/>
    <n v="25.5"/>
    <n v="65"/>
    <n v="15.8"/>
    <n v="397"/>
    <n v="627.70000000000005"/>
    <n v="3829.1"/>
    <n v="4853.8"/>
    <n v="0"/>
    <n v="1024.7"/>
    <n v="4853.8"/>
    <n v="17"/>
  </r>
  <r>
    <d v="2026-09-07T18:00:00"/>
    <x v="1"/>
    <n v="24.7"/>
    <n v="53.8"/>
    <n v="17.399999999999999"/>
    <n v="226.1"/>
    <n v="835.7"/>
    <n v="4000"/>
    <n v="7878.3"/>
    <n v="1"/>
    <n v="1061.8"/>
    <n v="5061.8"/>
    <n v="18"/>
  </r>
  <r>
    <d v="2026-09-07T19:00:00"/>
    <x v="1"/>
    <n v="22.1"/>
    <n v="40.9"/>
    <n v="8.3000000000000007"/>
    <n v="0"/>
    <n v="90.7"/>
    <n v="4000"/>
    <n v="7696"/>
    <n v="1"/>
    <n v="90.7"/>
    <n v="4090.7"/>
    <n v="19"/>
  </r>
  <r>
    <d v="2026-09-07T20:00:00"/>
    <x v="1"/>
    <n v="21.9"/>
    <n v="25.2"/>
    <n v="10.5"/>
    <n v="0"/>
    <n v="183.1"/>
    <n v="4000"/>
    <n v="7598.7"/>
    <n v="1"/>
    <n v="183.1"/>
    <n v="4183.1000000000004"/>
    <n v="20"/>
  </r>
  <r>
    <d v="2026-09-07T21:00:00"/>
    <x v="1"/>
    <n v="21.4"/>
    <n v="45"/>
    <n v="7.9"/>
    <n v="0"/>
    <n v="79.3"/>
    <n v="4000"/>
    <n v="7416"/>
    <n v="1"/>
    <n v="79.3"/>
    <n v="4079.3"/>
    <n v="21"/>
  </r>
  <r>
    <d v="2026-09-07T22:00:00"/>
    <x v="1"/>
    <n v="21.5"/>
    <n v="4.8"/>
    <n v="8.1999999999999993"/>
    <n v="0"/>
    <n v="87.8"/>
    <n v="4000"/>
    <n v="5048.8999999999996"/>
    <n v="1"/>
    <n v="87.8"/>
    <n v="4087.8"/>
    <n v="22"/>
  </r>
  <r>
    <d v="2026-09-07T23:00:00"/>
    <x v="1"/>
    <n v="19.2"/>
    <n v="65.7"/>
    <n v="11"/>
    <n v="0"/>
    <n v="214.8"/>
    <n v="4000"/>
    <n v="4834.6000000000004"/>
    <n v="1"/>
    <n v="214.8"/>
    <n v="4214.8"/>
    <n v="23"/>
  </r>
  <r>
    <d v="2026-09-08T00:00:00"/>
    <x v="1"/>
    <n v="18"/>
    <n v="60.9"/>
    <n v="5.8"/>
    <n v="0"/>
    <n v="31.3"/>
    <n v="4000"/>
    <n v="4910.3"/>
    <n v="1"/>
    <n v="31.3"/>
    <n v="4031.3"/>
    <n v="0"/>
  </r>
  <r>
    <d v="2026-09-08T01:00:00"/>
    <x v="1"/>
    <n v="20.399999999999999"/>
    <n v="79"/>
    <n v="5.5"/>
    <n v="0"/>
    <n v="26"/>
    <n v="4000"/>
    <n v="4959"/>
    <n v="1"/>
    <n v="26"/>
    <n v="4026"/>
    <n v="1"/>
  </r>
  <r>
    <d v="2026-09-08T02:00:00"/>
    <x v="1"/>
    <n v="20.7"/>
    <n v="90"/>
    <n v="18.2"/>
    <n v="0"/>
    <n v="963.7"/>
    <n v="3533.4"/>
    <n v="4497.1000000000004"/>
    <n v="0"/>
    <n v="963.7"/>
    <n v="4497.1000000000004"/>
    <n v="2"/>
  </r>
  <r>
    <d v="2026-09-08T03:00:00"/>
    <x v="1"/>
    <n v="20.7"/>
    <n v="65.2"/>
    <n v="7.1"/>
    <n v="0"/>
    <n v="58.1"/>
    <n v="4000"/>
    <n v="4981.3999999999996"/>
    <n v="1"/>
    <n v="58.1"/>
    <n v="4058.1"/>
    <n v="3"/>
  </r>
  <r>
    <d v="2026-09-08T04:00:00"/>
    <x v="1"/>
    <n v="22.5"/>
    <n v="71.5"/>
    <n v="25.8"/>
    <n v="0"/>
    <n v="0"/>
    <n v="4000"/>
    <n v="5021.5"/>
    <n v="1"/>
    <n v="0"/>
    <n v="4000"/>
    <n v="4"/>
  </r>
  <r>
    <d v="2026-09-08T05:00:00"/>
    <x v="1"/>
    <n v="22.5"/>
    <n v="44.4"/>
    <n v="3.2"/>
    <n v="0"/>
    <n v="5"/>
    <n v="4000"/>
    <n v="5008.8999999999996"/>
    <n v="1"/>
    <n v="5"/>
    <n v="4005"/>
    <n v="5"/>
  </r>
  <r>
    <d v="2026-09-08T06:00:00"/>
    <x v="1"/>
    <n v="23.6"/>
    <n v="31.9"/>
    <n v="12.8"/>
    <n v="269.89999999999998"/>
    <n v="332.5"/>
    <n v="4000"/>
    <n v="4845.8"/>
    <n v="1"/>
    <n v="602.4"/>
    <n v="4602.3999999999996"/>
    <n v="6"/>
  </r>
  <r>
    <d v="2026-09-08T07:00:00"/>
    <x v="1"/>
    <n v="26.2"/>
    <n v="45"/>
    <n v="12"/>
    <n v="475.1"/>
    <n v="273.3"/>
    <n v="4000"/>
    <n v="4826.6000000000004"/>
    <n v="1"/>
    <n v="748.40000000000009"/>
    <n v="4748.3999999999996"/>
    <n v="7"/>
  </r>
  <r>
    <d v="2026-09-08T08:00:00"/>
    <x v="1"/>
    <n v="26.2"/>
    <n v="65.599999999999994"/>
    <n v="7.7"/>
    <n v="567"/>
    <n v="72"/>
    <n v="4000"/>
    <n v="4900.8"/>
    <n v="1"/>
    <n v="639"/>
    <n v="4639"/>
    <n v="8"/>
  </r>
  <r>
    <d v="2026-09-08T09:00:00"/>
    <x v="1"/>
    <n v="26.5"/>
    <n v="11.4"/>
    <n v="7.9"/>
    <n v="1092.9000000000001"/>
    <n v="79"/>
    <n v="3679.4"/>
    <n v="4851.3"/>
    <n v="0"/>
    <n v="1171.9000000000001"/>
    <n v="4851.3"/>
    <n v="9"/>
  </r>
  <r>
    <d v="2026-09-08T10:00:00"/>
    <x v="1"/>
    <n v="28.3"/>
    <n v="51.6"/>
    <n v="13"/>
    <n v="933.3"/>
    <n v="348.9"/>
    <n v="4000"/>
    <n v="7078.6"/>
    <n v="1"/>
    <n v="1282.1999999999998"/>
    <n v="5282.2"/>
    <n v="10"/>
  </r>
  <r>
    <d v="2026-09-08T11:00:00"/>
    <x v="1"/>
    <n v="27.7"/>
    <n v="54.8"/>
    <n v="11.5"/>
    <n v="981.9"/>
    <n v="242.3"/>
    <n v="4000"/>
    <n v="7277.6"/>
    <n v="1"/>
    <n v="1224.2"/>
    <n v="5224.2"/>
    <n v="11"/>
  </r>
  <r>
    <d v="2026-09-08T12:00:00"/>
    <x v="1"/>
    <n v="27.4"/>
    <n v="0"/>
    <n v="11.3"/>
    <n v="1500"/>
    <n v="232.6"/>
    <n v="4000"/>
    <n v="7189.8"/>
    <n v="1"/>
    <n v="1732.6"/>
    <n v="5732.6"/>
    <n v="12"/>
  </r>
  <r>
    <d v="2026-09-08T13:00:00"/>
    <x v="1"/>
    <n v="28.8"/>
    <n v="69.099999999999994"/>
    <n v="18.2"/>
    <n v="855.8"/>
    <n v="961.5"/>
    <n v="4000"/>
    <n v="7363.4"/>
    <n v="1"/>
    <n v="1817.3"/>
    <n v="5817.3"/>
    <n v="13"/>
  </r>
  <r>
    <d v="2026-09-08T14:00:00"/>
    <x v="1"/>
    <n v="27.7"/>
    <n v="29.6"/>
    <n v="10.4"/>
    <n v="1111.8"/>
    <n v="181"/>
    <n v="4000"/>
    <n v="7163.3"/>
    <n v="1"/>
    <n v="1292.8"/>
    <n v="5292.8"/>
    <n v="14"/>
  </r>
  <r>
    <d v="2026-09-08T15:00:00"/>
    <x v="1"/>
    <n v="28"/>
    <n v="41.5"/>
    <n v="9.6999999999999993"/>
    <n v="880.6"/>
    <n v="148.30000000000001"/>
    <n v="4000"/>
    <n v="5042.3999999999996"/>
    <n v="1"/>
    <n v="1028.9000000000001"/>
    <n v="5028.8999999999996"/>
    <n v="15"/>
  </r>
  <r>
    <d v="2026-09-08T16:00:00"/>
    <x v="1"/>
    <n v="26.6"/>
    <n v="8.9"/>
    <n v="0.5"/>
    <n v="885.3"/>
    <n v="0"/>
    <n v="4000"/>
    <n v="4950.1000000000004"/>
    <n v="1"/>
    <n v="885.3"/>
    <n v="4885.3"/>
    <n v="16"/>
  </r>
  <r>
    <d v="2026-09-08T17:00:00"/>
    <x v="1"/>
    <n v="23.8"/>
    <n v="32.299999999999997"/>
    <n v="11.3"/>
    <n v="524.70000000000005"/>
    <n v="228.5"/>
    <n v="4000"/>
    <n v="4867.3999999999996"/>
    <n v="1"/>
    <n v="753.2"/>
    <n v="4753.2"/>
    <n v="17"/>
  </r>
  <r>
    <d v="2026-09-08T18:00:00"/>
    <x v="1"/>
    <n v="25.5"/>
    <n v="53.2"/>
    <n v="13.5"/>
    <n v="227.3"/>
    <n v="393.9"/>
    <n v="4000"/>
    <n v="7632"/>
    <n v="1"/>
    <n v="621.20000000000005"/>
    <n v="4621.2"/>
    <n v="18"/>
  </r>
  <r>
    <d v="2026-09-08T19:00:00"/>
    <x v="1"/>
    <n v="21.8"/>
    <n v="71"/>
    <n v="11.6"/>
    <n v="0"/>
    <n v="251.1"/>
    <n v="4000"/>
    <n v="7793.3"/>
    <n v="1"/>
    <n v="251.1"/>
    <n v="4251.1000000000004"/>
    <n v="19"/>
  </r>
  <r>
    <d v="2026-09-08T20:00:00"/>
    <x v="1"/>
    <n v="20.9"/>
    <n v="6.2"/>
    <n v="16.100000000000001"/>
    <n v="0"/>
    <n v="666.4"/>
    <n v="4000"/>
    <n v="7800.6"/>
    <n v="1"/>
    <n v="666.4"/>
    <n v="4666.3999999999996"/>
    <n v="20"/>
  </r>
  <r>
    <d v="2026-09-08T21:00:00"/>
    <x v="1"/>
    <n v="20.3"/>
    <n v="23.3"/>
    <n v="17.600000000000001"/>
    <n v="0"/>
    <n v="876.3"/>
    <n v="4000"/>
    <n v="7756.5"/>
    <n v="1"/>
    <n v="876.3"/>
    <n v="4876.3"/>
    <n v="21"/>
  </r>
  <r>
    <d v="2026-09-08T22:00:00"/>
    <x v="1"/>
    <n v="22.2"/>
    <n v="22.5"/>
    <n v="15.2"/>
    <n v="0"/>
    <n v="561"/>
    <n v="4000"/>
    <n v="4771.6000000000004"/>
    <n v="1"/>
    <n v="561"/>
    <n v="4561"/>
    <n v="22"/>
  </r>
  <r>
    <d v="2026-09-08T23:00:00"/>
    <x v="1"/>
    <n v="20.7"/>
    <n v="31.4"/>
    <n v="11.2"/>
    <n v="0"/>
    <n v="223.9"/>
    <n v="4000"/>
    <n v="4900.7"/>
    <n v="1"/>
    <n v="223.9"/>
    <n v="4223.8999999999996"/>
    <n v="23"/>
  </r>
  <r>
    <d v="2026-09-09T00:00:00"/>
    <x v="1"/>
    <n v="19"/>
    <n v="63.5"/>
    <n v="9.4"/>
    <n v="0"/>
    <n v="134.30000000000001"/>
    <n v="4000"/>
    <n v="4956.1000000000004"/>
    <n v="1"/>
    <n v="134.30000000000001"/>
    <n v="4134.3"/>
    <n v="0"/>
  </r>
  <r>
    <d v="2026-09-09T01:00:00"/>
    <x v="1"/>
    <n v="19.100000000000001"/>
    <n v="0"/>
    <n v="11"/>
    <n v="0"/>
    <n v="215.6"/>
    <n v="4000"/>
    <n v="4915.7"/>
    <n v="1"/>
    <n v="215.6"/>
    <n v="4215.6000000000004"/>
    <n v="1"/>
  </r>
  <r>
    <d v="2026-09-09T02:00:00"/>
    <x v="1"/>
    <n v="21.3"/>
    <n v="44.5"/>
    <n v="10.7"/>
    <n v="0"/>
    <n v="195.2"/>
    <n v="4000"/>
    <n v="5311.9"/>
    <n v="1"/>
    <n v="195.2"/>
    <n v="4195.2"/>
    <n v="2"/>
  </r>
  <r>
    <d v="2026-09-09T03:00:00"/>
    <x v="1"/>
    <n v="21.7"/>
    <n v="15.5"/>
    <n v="17.600000000000001"/>
    <n v="0"/>
    <n v="868.1"/>
    <n v="4000"/>
    <n v="4953.3999999999996"/>
    <n v="1"/>
    <n v="868.1"/>
    <n v="4868.1000000000004"/>
    <n v="3"/>
  </r>
  <r>
    <d v="2026-09-09T04:00:00"/>
    <x v="1"/>
    <n v="22.7"/>
    <n v="56"/>
    <n v="12.1"/>
    <n v="0"/>
    <n v="283.3"/>
    <n v="4000"/>
    <n v="5057.3"/>
    <n v="1"/>
    <n v="283.3"/>
    <n v="4283.3"/>
    <n v="4"/>
  </r>
  <r>
    <d v="2026-09-09T05:00:00"/>
    <x v="1"/>
    <n v="23.6"/>
    <n v="36.1"/>
    <n v="9.1"/>
    <n v="0"/>
    <n v="121.8"/>
    <n v="4000"/>
    <n v="5050.8999999999996"/>
    <n v="1"/>
    <n v="121.8"/>
    <n v="4121.8"/>
    <n v="5"/>
  </r>
  <r>
    <d v="2026-09-09T06:00:00"/>
    <x v="1"/>
    <n v="25.5"/>
    <n v="14"/>
    <n v="4.7"/>
    <n v="305.7"/>
    <n v="16.2"/>
    <n v="4000"/>
    <n v="4965.3"/>
    <n v="1"/>
    <n v="321.89999999999998"/>
    <n v="4321.8999999999996"/>
    <n v="6"/>
  </r>
  <r>
    <d v="2026-09-09T07:00:00"/>
    <x v="1"/>
    <n v="25.1"/>
    <n v="49.3"/>
    <n v="13.2"/>
    <n v="458.2"/>
    <n v="369.7"/>
    <n v="4000"/>
    <n v="4974.7"/>
    <n v="1"/>
    <n v="827.9"/>
    <n v="4827.8999999999996"/>
    <n v="7"/>
  </r>
  <r>
    <d v="2026-09-09T08:00:00"/>
    <x v="1"/>
    <n v="27.5"/>
    <n v="5"/>
    <n v="7.9"/>
    <n v="907.3"/>
    <n v="77.599999999999994"/>
    <n v="3931.6"/>
    <n v="4916.5"/>
    <n v="0"/>
    <n v="984.9"/>
    <n v="4916.5"/>
    <n v="8"/>
  </r>
  <r>
    <d v="2026-09-09T09:00:00"/>
    <x v="1"/>
    <n v="25.2"/>
    <n v="40.6"/>
    <n v="20.3"/>
    <n v="887"/>
    <n v="1339.9"/>
    <n v="2707.6"/>
    <n v="4934.5"/>
    <n v="0"/>
    <n v="2226.9"/>
    <n v="4934.5"/>
    <n v="9"/>
  </r>
  <r>
    <d v="2026-09-09T10:00:00"/>
    <x v="1"/>
    <n v="27.7"/>
    <n v="13.5"/>
    <n v="8.9"/>
    <n v="1242"/>
    <n v="113.5"/>
    <n v="4000"/>
    <n v="7153.1"/>
    <n v="1"/>
    <n v="1355.5"/>
    <n v="5355.5"/>
    <n v="10"/>
  </r>
  <r>
    <d v="2026-09-09T11:00:00"/>
    <x v="1"/>
    <n v="27.5"/>
    <n v="77"/>
    <n v="14.8"/>
    <n v="786.4"/>
    <n v="517.5"/>
    <n v="4000"/>
    <n v="7093.7"/>
    <n v="1"/>
    <n v="1303.9000000000001"/>
    <n v="5303.9"/>
    <n v="11"/>
  </r>
  <r>
    <d v="2026-09-09T12:00:00"/>
    <x v="1"/>
    <n v="28.2"/>
    <n v="57.5"/>
    <n v="17.7"/>
    <n v="982.9"/>
    <n v="887.3"/>
    <n v="4000"/>
    <n v="6983.3"/>
    <n v="1"/>
    <n v="1870.1999999999998"/>
    <n v="5870.2"/>
    <n v="12"/>
  </r>
  <r>
    <d v="2026-09-09T13:00:00"/>
    <x v="1"/>
    <n v="26.8"/>
    <n v="24.7"/>
    <n v="5.7"/>
    <n v="1245.4000000000001"/>
    <n v="29.8"/>
    <n v="4000"/>
    <n v="7387.1"/>
    <n v="1"/>
    <n v="1275.2"/>
    <n v="5275.2"/>
    <n v="13"/>
  </r>
  <r>
    <d v="2026-09-09T14:00:00"/>
    <x v="1"/>
    <n v="27.9"/>
    <n v="69.7"/>
    <n v="11.6"/>
    <n v="786.4"/>
    <n v="251.1"/>
    <n v="4000"/>
    <n v="7114.9"/>
    <n v="1"/>
    <n v="1037.5"/>
    <n v="5037.5"/>
    <n v="14"/>
  </r>
  <r>
    <d v="2026-09-09T15:00:00"/>
    <x v="1"/>
    <n v="27"/>
    <n v="24.1"/>
    <n v="22.4"/>
    <n v="1003"/>
    <n v="1809.8"/>
    <n v="2089.1999999999998"/>
    <n v="4902"/>
    <n v="0"/>
    <n v="2812.8"/>
    <n v="4902"/>
    <n v="15"/>
  </r>
  <r>
    <d v="2026-09-09T16:00:00"/>
    <x v="1"/>
    <n v="26.2"/>
    <n v="95.6"/>
    <n v="12"/>
    <n v="398.8"/>
    <n v="278.8"/>
    <n v="4000"/>
    <n v="4708.8999999999996"/>
    <n v="1"/>
    <n v="677.6"/>
    <n v="4677.6000000000004"/>
    <n v="16"/>
  </r>
  <r>
    <d v="2026-09-09T17:00:00"/>
    <x v="1"/>
    <n v="24.7"/>
    <n v="40.5"/>
    <n v="18.899999999999999"/>
    <n v="492.7"/>
    <n v="1074.0999999999999"/>
    <n v="3354.7"/>
    <n v="4921.5"/>
    <n v="0"/>
    <n v="1566.8"/>
    <n v="4921.5"/>
    <n v="17"/>
  </r>
  <r>
    <d v="2026-09-09T18:00:00"/>
    <x v="1"/>
    <n v="25.5"/>
    <n v="9.4"/>
    <n v="10.7"/>
    <n v="315"/>
    <n v="194.2"/>
    <n v="4000"/>
    <n v="7368.2"/>
    <n v="1"/>
    <n v="509.2"/>
    <n v="4509.2"/>
    <n v="18"/>
  </r>
  <r>
    <d v="2026-09-09T19:00:00"/>
    <x v="1"/>
    <n v="23.6"/>
    <n v="5"/>
    <n v="14.3"/>
    <n v="0"/>
    <n v="468.9"/>
    <n v="4000"/>
    <n v="7635.6"/>
    <n v="1"/>
    <n v="468.9"/>
    <n v="4468.8999999999996"/>
    <n v="19"/>
  </r>
  <r>
    <d v="2026-09-09T20:00:00"/>
    <x v="1"/>
    <n v="20.6"/>
    <n v="49.7"/>
    <n v="8.6999999999999993"/>
    <n v="0"/>
    <n v="105"/>
    <n v="4000"/>
    <n v="8003.6"/>
    <n v="1"/>
    <n v="105"/>
    <n v="4105"/>
    <n v="20"/>
  </r>
  <r>
    <d v="2026-09-09T21:00:00"/>
    <x v="1"/>
    <n v="21.2"/>
    <n v="29"/>
    <n v="14.4"/>
    <n v="0"/>
    <n v="481.7"/>
    <n v="4000"/>
    <n v="7763.9"/>
    <n v="1"/>
    <n v="481.7"/>
    <n v="4481.7"/>
    <n v="21"/>
  </r>
  <r>
    <d v="2026-09-09T22:00:00"/>
    <x v="1"/>
    <n v="20.3"/>
    <n v="63"/>
    <n v="5.5"/>
    <n v="0"/>
    <n v="27.1"/>
    <n v="4000"/>
    <n v="5220.7"/>
    <n v="1"/>
    <n v="27.1"/>
    <n v="4027.1"/>
    <n v="22"/>
  </r>
  <r>
    <d v="2026-09-09T23:00:00"/>
    <x v="1"/>
    <n v="20.6"/>
    <n v="82.1"/>
    <n v="13.8"/>
    <n v="0"/>
    <n v="418.5"/>
    <n v="4000"/>
    <n v="4806.5"/>
    <n v="1"/>
    <n v="418.5"/>
    <n v="4418.5"/>
    <n v="23"/>
  </r>
  <r>
    <d v="2026-09-10T00:00:00"/>
    <x v="1"/>
    <n v="20"/>
    <n v="13.7"/>
    <n v="15"/>
    <n v="0"/>
    <n v="542.4"/>
    <n v="4000"/>
    <n v="4903"/>
    <n v="1"/>
    <n v="542.4"/>
    <n v="4542.3999999999996"/>
    <n v="0"/>
  </r>
  <r>
    <d v="2026-09-10T01:00:00"/>
    <x v="1"/>
    <n v="19.7"/>
    <n v="33.200000000000003"/>
    <n v="13.3"/>
    <n v="0"/>
    <n v="378.9"/>
    <n v="4000"/>
    <n v="5082.3"/>
    <n v="1"/>
    <n v="378.9"/>
    <n v="4378.8999999999996"/>
    <n v="1"/>
  </r>
  <r>
    <d v="2026-09-10T02:00:00"/>
    <x v="1"/>
    <n v="20.5"/>
    <n v="97.5"/>
    <n v="10.8"/>
    <n v="0"/>
    <n v="199.6"/>
    <n v="4000"/>
    <n v="4884.5"/>
    <n v="1"/>
    <n v="199.6"/>
    <n v="4199.6000000000004"/>
    <n v="2"/>
  </r>
  <r>
    <d v="2026-09-10T03:00:00"/>
    <x v="1"/>
    <n v="20.5"/>
    <n v="63.6"/>
    <n v="11.1"/>
    <n v="0"/>
    <n v="218.5"/>
    <n v="4000"/>
    <n v="4896.2"/>
    <n v="1"/>
    <n v="218.5"/>
    <n v="4218.5"/>
    <n v="3"/>
  </r>
  <r>
    <d v="2026-09-10T04:00:00"/>
    <x v="1"/>
    <n v="23.3"/>
    <n v="80.5"/>
    <n v="9"/>
    <n v="0"/>
    <n v="116.6"/>
    <n v="4000"/>
    <n v="4852.6000000000004"/>
    <n v="1"/>
    <n v="116.6"/>
    <n v="4116.6000000000004"/>
    <n v="4"/>
  </r>
  <r>
    <d v="2026-09-10T05:00:00"/>
    <x v="1"/>
    <n v="24"/>
    <n v="27.9"/>
    <n v="16"/>
    <n v="0"/>
    <n v="649.6"/>
    <n v="4000"/>
    <n v="4670"/>
    <n v="1"/>
    <n v="649.6"/>
    <n v="4649.6000000000004"/>
    <n v="5"/>
  </r>
  <r>
    <d v="2026-09-10T06:00:00"/>
    <x v="1"/>
    <n v="24.9"/>
    <n v="14.7"/>
    <n v="15.7"/>
    <n v="304.3"/>
    <n v="613.70000000000005"/>
    <n v="3736.5"/>
    <n v="4654.5"/>
    <n v="0"/>
    <n v="918"/>
    <n v="4654.5"/>
    <n v="6"/>
  </r>
  <r>
    <d v="2026-09-10T07:00:00"/>
    <x v="1"/>
    <n v="24.1"/>
    <n v="34.799999999999997"/>
    <n v="15.4"/>
    <n v="514.79999999999995"/>
    <n v="588"/>
    <n v="3849.3"/>
    <n v="4952.1000000000004"/>
    <n v="0"/>
    <n v="1102.8"/>
    <n v="4952.1000000000004"/>
    <n v="7"/>
  </r>
  <r>
    <d v="2026-09-10T08:00:00"/>
    <x v="1"/>
    <n v="26.6"/>
    <n v="94.4"/>
    <n v="4.2"/>
    <n v="405.5"/>
    <n v="11.7"/>
    <n v="4000"/>
    <n v="4965.8999999999996"/>
    <n v="1"/>
    <n v="417.2"/>
    <n v="4417.2"/>
    <n v="8"/>
  </r>
  <r>
    <d v="2026-09-10T09:00:00"/>
    <x v="1"/>
    <n v="26.9"/>
    <n v="22.5"/>
    <n v="5.3"/>
    <n v="1014.2"/>
    <n v="24.5"/>
    <n v="4000"/>
    <n v="5192.6000000000004"/>
    <n v="1"/>
    <n v="1038.7"/>
    <n v="5038.7"/>
    <n v="9"/>
  </r>
  <r>
    <d v="2026-09-10T10:00:00"/>
    <x v="1"/>
    <n v="28.4"/>
    <n v="41.8"/>
    <n v="19.600000000000001"/>
    <n v="1012.4"/>
    <n v="1196.5999999999999"/>
    <n v="4000"/>
    <n v="7121.6"/>
    <n v="1"/>
    <n v="2209"/>
    <n v="6209"/>
    <n v="10"/>
  </r>
  <r>
    <d v="2026-09-10T11:00:00"/>
    <x v="1"/>
    <n v="27.9"/>
    <n v="13.7"/>
    <n v="13.8"/>
    <n v="1342.3"/>
    <n v="422.2"/>
    <n v="4000"/>
    <n v="6932.3"/>
    <n v="1"/>
    <n v="1764.5"/>
    <n v="5764.5"/>
    <n v="11"/>
  </r>
  <r>
    <d v="2026-09-10T12:00:00"/>
    <x v="1"/>
    <n v="27.6"/>
    <n v="0"/>
    <n v="13"/>
    <n v="1500"/>
    <n v="351.1"/>
    <n v="4000"/>
    <n v="7283"/>
    <n v="1"/>
    <n v="1851.1"/>
    <n v="5851.1"/>
    <n v="12"/>
  </r>
  <r>
    <d v="2026-09-10T13:00:00"/>
    <x v="1"/>
    <n v="28.3"/>
    <n v="75.900000000000006"/>
    <n v="6.6"/>
    <n v="796.5"/>
    <n v="46.9"/>
    <n v="4000"/>
    <n v="7215.5"/>
    <n v="1"/>
    <n v="843.4"/>
    <n v="4843.3999999999996"/>
    <n v="13"/>
  </r>
  <r>
    <d v="2026-09-10T14:00:00"/>
    <x v="1"/>
    <n v="28.7"/>
    <n v="0.5"/>
    <n v="13.6"/>
    <n v="1347.1"/>
    <n v="402.3"/>
    <n v="4000"/>
    <n v="7252"/>
    <n v="1"/>
    <n v="1749.3999999999999"/>
    <n v="5749.4"/>
    <n v="14"/>
  </r>
  <r>
    <d v="2026-09-10T15:00:00"/>
    <x v="1"/>
    <n v="26.7"/>
    <n v="53.7"/>
    <n v="9.6"/>
    <n v="794.9"/>
    <n v="140"/>
    <n v="3939.5"/>
    <n v="4874.3999999999996"/>
    <n v="0"/>
    <n v="934.9"/>
    <n v="4874.3999999999996"/>
    <n v="15"/>
  </r>
  <r>
    <d v="2026-09-10T16:00:00"/>
    <x v="1"/>
    <n v="26"/>
    <n v="17.8"/>
    <n v="6.6"/>
    <n v="835.2"/>
    <n v="45.4"/>
    <n v="3968"/>
    <n v="4848.6000000000004"/>
    <n v="0"/>
    <n v="880.6"/>
    <n v="4848.6000000000004"/>
    <n v="16"/>
  </r>
  <r>
    <d v="2026-09-10T17:00:00"/>
    <x v="1"/>
    <n v="23.9"/>
    <n v="61.7"/>
    <n v="14.3"/>
    <n v="410.1"/>
    <n v="469.1"/>
    <n v="4000"/>
    <n v="5051.8999999999996"/>
    <n v="1"/>
    <n v="879.2"/>
    <n v="4879.2"/>
    <n v="17"/>
  </r>
  <r>
    <d v="2026-09-10T18:00:00"/>
    <x v="1"/>
    <n v="23.3"/>
    <n v="74.900000000000006"/>
    <n v="7.1"/>
    <n v="183.9"/>
    <n v="57.1"/>
    <n v="4000"/>
    <n v="7441.1"/>
    <n v="1"/>
    <n v="241"/>
    <n v="4241"/>
    <n v="18"/>
  </r>
  <r>
    <d v="2026-09-10T19:00:00"/>
    <x v="1"/>
    <n v="23.4"/>
    <n v="64.599999999999994"/>
    <n v="10.7"/>
    <n v="0"/>
    <n v="198.3"/>
    <n v="4000"/>
    <n v="7630.3"/>
    <n v="1"/>
    <n v="198.3"/>
    <n v="4198.3"/>
    <n v="19"/>
  </r>
  <r>
    <d v="2026-09-10T20:00:00"/>
    <x v="1"/>
    <n v="23.4"/>
    <n v="88.5"/>
    <n v="16.899999999999999"/>
    <n v="0"/>
    <n v="771.5"/>
    <n v="4000"/>
    <n v="7610.4"/>
    <n v="1"/>
    <n v="771.5"/>
    <n v="4771.5"/>
    <n v="20"/>
  </r>
  <r>
    <d v="2026-09-10T21:00:00"/>
    <x v="1"/>
    <n v="20.399999999999999"/>
    <n v="24.2"/>
    <n v="14.6"/>
    <n v="0"/>
    <n v="499.2"/>
    <n v="4000"/>
    <n v="7712.8"/>
    <n v="1"/>
    <n v="499.2"/>
    <n v="4499.2"/>
    <n v="21"/>
  </r>
  <r>
    <d v="2026-09-10T22:00:00"/>
    <x v="1"/>
    <n v="21.9"/>
    <n v="61.3"/>
    <n v="4.5"/>
    <n v="0"/>
    <n v="14.4"/>
    <n v="4000"/>
    <n v="5012.8"/>
    <n v="1"/>
    <n v="14.4"/>
    <n v="4014.4"/>
    <n v="22"/>
  </r>
  <r>
    <d v="2026-09-10T23:00:00"/>
    <x v="1"/>
    <n v="19.100000000000001"/>
    <n v="35.4"/>
    <n v="13.3"/>
    <n v="0"/>
    <n v="372.3"/>
    <n v="4000"/>
    <n v="5107.8"/>
    <n v="1"/>
    <n v="372.3"/>
    <n v="4372.3"/>
    <n v="23"/>
  </r>
  <r>
    <d v="2026-09-11T00:00:00"/>
    <x v="1"/>
    <n v="23.1"/>
    <n v="60.2"/>
    <n v="11.1"/>
    <n v="0"/>
    <n v="217.9"/>
    <n v="4000"/>
    <n v="5249.4"/>
    <n v="1"/>
    <n v="217.9"/>
    <n v="4217.8999999999996"/>
    <n v="0"/>
  </r>
  <r>
    <d v="2026-09-11T01:00:00"/>
    <x v="1"/>
    <n v="21"/>
    <n v="37"/>
    <n v="21"/>
    <n v="0"/>
    <n v="1476.7"/>
    <n v="3553.5"/>
    <n v="5030.2"/>
    <n v="0"/>
    <n v="1476.7"/>
    <n v="5030.2"/>
    <n v="1"/>
  </r>
  <r>
    <d v="2026-09-11T02:00:00"/>
    <x v="1"/>
    <n v="21"/>
    <n v="61.6"/>
    <n v="14.1"/>
    <n v="0"/>
    <n v="449.3"/>
    <n v="4000"/>
    <n v="4984.5"/>
    <n v="1"/>
    <n v="449.3"/>
    <n v="4449.3"/>
    <n v="2"/>
  </r>
  <r>
    <d v="2026-09-11T03:00:00"/>
    <x v="1"/>
    <n v="20.6"/>
    <n v="31"/>
    <n v="6.5"/>
    <n v="0"/>
    <n v="43.9"/>
    <n v="4000"/>
    <n v="5075.8"/>
    <n v="1"/>
    <n v="43.9"/>
    <n v="4043.9"/>
    <n v="3"/>
  </r>
  <r>
    <d v="2026-09-11T04:00:00"/>
    <x v="1"/>
    <n v="22.8"/>
    <n v="56.4"/>
    <n v="20.399999999999999"/>
    <n v="0"/>
    <n v="1352.9"/>
    <n v="3663"/>
    <n v="5015.8999999999996"/>
    <n v="0"/>
    <n v="1352.9"/>
    <n v="5015.8999999999996"/>
    <n v="4"/>
  </r>
  <r>
    <d v="2026-09-11T05:00:00"/>
    <x v="1"/>
    <n v="23.6"/>
    <n v="17.7"/>
    <n v="10.1"/>
    <n v="0"/>
    <n v="163.1"/>
    <n v="4000"/>
    <n v="4949.2"/>
    <n v="1"/>
    <n v="163.1"/>
    <n v="4163.1000000000004"/>
    <n v="5"/>
  </r>
  <r>
    <d v="2026-09-11T06:00:00"/>
    <x v="1"/>
    <n v="24.8"/>
    <n v="37.700000000000003"/>
    <n v="11.6"/>
    <n v="258.39999999999998"/>
    <n v="252.5"/>
    <n v="4000"/>
    <n v="5054.3"/>
    <n v="1"/>
    <n v="510.9"/>
    <n v="4510.8999999999996"/>
    <n v="6"/>
  </r>
  <r>
    <d v="2026-09-11T07:00:00"/>
    <x v="1"/>
    <n v="24.7"/>
    <n v="67.3"/>
    <n v="14.9"/>
    <n v="388.2"/>
    <n v="526.70000000000005"/>
    <n v="3807.4"/>
    <n v="4722.3"/>
    <n v="0"/>
    <n v="914.90000000000009"/>
    <n v="4722.3"/>
    <n v="7"/>
  </r>
  <r>
    <d v="2026-09-11T08:00:00"/>
    <x v="1"/>
    <n v="26"/>
    <n v="45.2"/>
    <n v="8.6999999999999993"/>
    <n v="681.7"/>
    <n v="105.3"/>
    <n v="4000"/>
    <n v="5025.1000000000004"/>
    <n v="1"/>
    <n v="787"/>
    <n v="4787"/>
    <n v="8"/>
  </r>
  <r>
    <d v="2026-09-11T09:00:00"/>
    <x v="1"/>
    <n v="27.2"/>
    <n v="57.3"/>
    <n v="9.4"/>
    <n v="769.6"/>
    <n v="131.6"/>
    <n v="4000"/>
    <n v="5054.8"/>
    <n v="1"/>
    <n v="901.2"/>
    <n v="4901.2"/>
    <n v="9"/>
  </r>
  <r>
    <d v="2026-09-11T10:00:00"/>
    <x v="1"/>
    <n v="28.6"/>
    <n v="33"/>
    <n v="7.7"/>
    <n v="1083.5999999999999"/>
    <n v="72.7"/>
    <n v="4000"/>
    <n v="6827"/>
    <n v="1"/>
    <n v="1156.3"/>
    <n v="5156.3"/>
    <n v="10"/>
  </r>
  <r>
    <d v="2026-09-11T11:00:00"/>
    <x v="1"/>
    <n v="27.5"/>
    <n v="71.5"/>
    <n v="15.1"/>
    <n v="835"/>
    <n v="549.20000000000005"/>
    <n v="4000"/>
    <n v="7254"/>
    <n v="1"/>
    <n v="1384.2"/>
    <n v="5384.2"/>
    <n v="11"/>
  </r>
  <r>
    <d v="2026-09-11T12:00:00"/>
    <x v="1"/>
    <n v="26.6"/>
    <n v="75.3"/>
    <n v="13.3"/>
    <n v="822.3"/>
    <n v="377"/>
    <n v="4000"/>
    <n v="7252.5"/>
    <n v="1"/>
    <n v="1199.3"/>
    <n v="5199.3"/>
    <n v="12"/>
  </r>
  <r>
    <d v="2026-09-11T13:00:00"/>
    <x v="1"/>
    <n v="28"/>
    <n v="0.6"/>
    <n v="14"/>
    <n v="1457.2"/>
    <n v="443.1"/>
    <n v="4000"/>
    <n v="7094.6"/>
    <n v="1"/>
    <n v="1900.3000000000002"/>
    <n v="5900.3"/>
    <n v="13"/>
  </r>
  <r>
    <d v="2026-09-11T14:00:00"/>
    <x v="1"/>
    <n v="26.1"/>
    <n v="6.9"/>
    <n v="17.600000000000001"/>
    <n v="1295.2"/>
    <n v="866.9"/>
    <n v="4000"/>
    <n v="6995.6"/>
    <n v="1"/>
    <n v="2162.1"/>
    <n v="6162.1"/>
    <n v="14"/>
  </r>
  <r>
    <d v="2026-09-11T15:00:00"/>
    <x v="1"/>
    <n v="28.4"/>
    <n v="31.6"/>
    <n v="3.5"/>
    <n v="950.4"/>
    <n v="6.6"/>
    <n v="3898.6"/>
    <n v="4855.6000000000004"/>
    <n v="0"/>
    <n v="957"/>
    <n v="4855.6000000000004"/>
    <n v="15"/>
  </r>
  <r>
    <d v="2026-09-11T16:00:00"/>
    <x v="1"/>
    <n v="27.2"/>
    <n v="41.1"/>
    <n v="9.3000000000000007"/>
    <n v="704.6"/>
    <n v="127"/>
    <n v="3950.9"/>
    <n v="4782.5"/>
    <n v="0"/>
    <n v="831.6"/>
    <n v="4782.5"/>
    <n v="16"/>
  </r>
  <r>
    <d v="2026-09-11T17:00:00"/>
    <x v="1"/>
    <n v="25.5"/>
    <n v="72.900000000000006"/>
    <n v="19.2"/>
    <n v="366"/>
    <n v="1140"/>
    <n v="3468"/>
    <n v="4974"/>
    <n v="0"/>
    <n v="1506"/>
    <n v="4974"/>
    <n v="17"/>
  </r>
  <r>
    <d v="2026-09-11T18:00:00"/>
    <x v="1"/>
    <n v="22.7"/>
    <n v="34.700000000000003"/>
    <n v="13.3"/>
    <n v="264.39999999999998"/>
    <n v="376.5"/>
    <n v="4000"/>
    <n v="7646"/>
    <n v="1"/>
    <n v="640.9"/>
    <n v="4640.8999999999996"/>
    <n v="18"/>
  </r>
  <r>
    <d v="2026-09-11T19:00:00"/>
    <x v="1"/>
    <n v="22"/>
    <n v="53.6"/>
    <n v="11.8"/>
    <n v="0"/>
    <n v="260"/>
    <n v="4000"/>
    <n v="7555.4"/>
    <n v="1"/>
    <n v="260"/>
    <n v="4260"/>
    <n v="19"/>
  </r>
  <r>
    <d v="2026-09-11T20:00:00"/>
    <x v="1"/>
    <n v="21.2"/>
    <n v="39.200000000000003"/>
    <n v="7.4"/>
    <n v="0"/>
    <n v="64.3"/>
    <n v="4000"/>
    <n v="7704.9"/>
    <n v="1"/>
    <n v="64.3"/>
    <n v="4064.3"/>
    <n v="20"/>
  </r>
  <r>
    <d v="2026-09-11T21:00:00"/>
    <x v="1"/>
    <n v="22.2"/>
    <n v="0"/>
    <n v="7.4"/>
    <n v="0"/>
    <n v="63.6"/>
    <n v="4000"/>
    <n v="7833.5"/>
    <n v="1"/>
    <n v="63.6"/>
    <n v="4063.6"/>
    <n v="21"/>
  </r>
  <r>
    <d v="2026-09-11T22:00:00"/>
    <x v="1"/>
    <n v="19.899999999999999"/>
    <n v="42.9"/>
    <n v="4.8"/>
    <n v="0"/>
    <n v="17.2"/>
    <n v="4000"/>
    <n v="4725.5"/>
    <n v="1"/>
    <n v="17.2"/>
    <n v="4017.2"/>
    <n v="22"/>
  </r>
  <r>
    <d v="2026-09-11T23:00:00"/>
    <x v="1"/>
    <n v="19.100000000000001"/>
    <n v="50.2"/>
    <n v="12.3"/>
    <n v="0"/>
    <n v="301.10000000000002"/>
    <n v="4000"/>
    <n v="4811.7"/>
    <n v="1"/>
    <n v="301.10000000000002"/>
    <n v="4301.1000000000004"/>
    <n v="23"/>
  </r>
  <r>
    <d v="2026-09-12T00:00:00"/>
    <x v="1"/>
    <n v="20.2"/>
    <n v="31.3"/>
    <n v="10.6"/>
    <n v="0"/>
    <n v="192.8"/>
    <n v="4000"/>
    <n v="4211.7"/>
    <n v="1"/>
    <n v="192.8"/>
    <n v="4192.8"/>
    <n v="0"/>
  </r>
  <r>
    <d v="2026-09-12T01:00:00"/>
    <x v="1"/>
    <n v="21.5"/>
    <n v="12.5"/>
    <n v="16.100000000000001"/>
    <n v="0"/>
    <n v="673.8"/>
    <n v="3897.2"/>
    <n v="4571"/>
    <n v="0"/>
    <n v="673.8"/>
    <n v="4571"/>
    <n v="1"/>
  </r>
  <r>
    <d v="2026-09-12T02:00:00"/>
    <x v="1"/>
    <n v="19.399999999999999"/>
    <n v="65.5"/>
    <n v="19.7"/>
    <n v="0"/>
    <n v="1221.3"/>
    <n v="3220.4"/>
    <n v="4441.7"/>
    <n v="0"/>
    <n v="1221.3"/>
    <n v="4441.7"/>
    <n v="2"/>
  </r>
  <r>
    <d v="2026-09-12T03:00:00"/>
    <x v="1"/>
    <n v="20.3"/>
    <n v="70.400000000000006"/>
    <n v="13.4"/>
    <n v="0"/>
    <n v="381.3"/>
    <n v="3770.3"/>
    <n v="4151.6000000000004"/>
    <n v="0"/>
    <n v="381.3"/>
    <n v="4151.6000000000004"/>
    <n v="3"/>
  </r>
  <r>
    <d v="2026-09-12T04:00:00"/>
    <x v="1"/>
    <n v="22.3"/>
    <n v="54.8"/>
    <n v="5.4"/>
    <n v="0"/>
    <n v="24.7"/>
    <n v="4000"/>
    <n v="4402.7"/>
    <n v="1"/>
    <n v="24.7"/>
    <n v="4024.7"/>
    <n v="4"/>
  </r>
  <r>
    <d v="2026-09-12T05:00:00"/>
    <x v="1"/>
    <n v="24.1"/>
    <n v="39.299999999999997"/>
    <n v="11.8"/>
    <n v="0"/>
    <n v="261.7"/>
    <n v="4000"/>
    <n v="4477.1000000000004"/>
    <n v="1"/>
    <n v="261.7"/>
    <n v="4261.7"/>
    <n v="5"/>
  </r>
  <r>
    <d v="2026-09-12T06:00:00"/>
    <x v="1"/>
    <n v="24.5"/>
    <n v="59.3"/>
    <n v="11.7"/>
    <n v="215"/>
    <n v="255.5"/>
    <n v="3619.8"/>
    <n v="4090.3"/>
    <n v="0"/>
    <n v="470.5"/>
    <n v="4090.3"/>
    <n v="6"/>
  </r>
  <r>
    <d v="2026-09-12T07:00:00"/>
    <x v="1"/>
    <n v="24.7"/>
    <n v="59.1"/>
    <n v="6.9"/>
    <n v="420"/>
    <n v="52.6"/>
    <n v="4000"/>
    <n v="4488.7"/>
    <n v="1"/>
    <n v="472.6"/>
    <n v="4472.6000000000004"/>
    <n v="7"/>
  </r>
  <r>
    <d v="2026-09-12T08:00:00"/>
    <x v="1"/>
    <n v="25.8"/>
    <n v="50.6"/>
    <n v="10.199999999999999"/>
    <n v="651.1"/>
    <n v="167.4"/>
    <n v="3498"/>
    <n v="4316.5"/>
    <n v="0"/>
    <n v="818.5"/>
    <n v="4316.5"/>
    <n v="8"/>
  </r>
  <r>
    <d v="2026-09-12T09:00:00"/>
    <x v="1"/>
    <n v="27.7"/>
    <n v="34.1"/>
    <n v="4"/>
    <n v="932.9"/>
    <n v="10"/>
    <n v="3357.4"/>
    <n v="4300.3"/>
    <n v="0"/>
    <n v="942.9"/>
    <n v="4300.3"/>
    <n v="9"/>
  </r>
  <r>
    <d v="2026-09-12T10:00:00"/>
    <x v="1"/>
    <n v="28.8"/>
    <n v="12.7"/>
    <n v="15.4"/>
    <n v="1248.5"/>
    <n v="589.9"/>
    <n v="4000"/>
    <n v="6502.4"/>
    <n v="1"/>
    <n v="1838.4"/>
    <n v="5838.4"/>
    <n v="10"/>
  </r>
  <r>
    <d v="2026-09-12T11:00:00"/>
    <x v="1"/>
    <n v="28.1"/>
    <n v="52.4"/>
    <n v="10.8"/>
    <n v="1003"/>
    <n v="203.1"/>
    <n v="4000"/>
    <n v="6164.6"/>
    <n v="1"/>
    <n v="1206.0999999999999"/>
    <n v="5206.1000000000004"/>
    <n v="11"/>
  </r>
  <r>
    <d v="2026-09-12T12:00:00"/>
    <x v="1"/>
    <n v="27.3"/>
    <n v="22.1"/>
    <n v="7.8"/>
    <n v="1301.0999999999999"/>
    <n v="77.099999999999994"/>
    <n v="4000"/>
    <n v="6122.4"/>
    <n v="1"/>
    <n v="1378.1999999999998"/>
    <n v="5378.2"/>
    <n v="12"/>
  </r>
  <r>
    <d v="2026-09-12T13:00:00"/>
    <x v="1"/>
    <n v="27.1"/>
    <n v="62.1"/>
    <n v="19.399999999999999"/>
    <n v="917.9"/>
    <n v="1174.8"/>
    <n v="4000"/>
    <n v="6229.9"/>
    <n v="1"/>
    <n v="2092.6999999999998"/>
    <n v="6092.7"/>
    <n v="13"/>
  </r>
  <r>
    <d v="2026-09-12T14:00:00"/>
    <x v="1"/>
    <n v="27.7"/>
    <n v="57.5"/>
    <n v="14.4"/>
    <n v="885.3"/>
    <n v="473.8"/>
    <n v="4000"/>
    <n v="6153"/>
    <n v="1"/>
    <n v="1359.1"/>
    <n v="5359.1"/>
    <n v="14"/>
  </r>
  <r>
    <d v="2026-09-12T15:00:00"/>
    <x v="1"/>
    <n v="27.6"/>
    <n v="57.1"/>
    <n v="5.8"/>
    <n v="771.3"/>
    <n v="31.4"/>
    <n v="3528.7"/>
    <n v="4331.3999999999996"/>
    <n v="0"/>
    <n v="802.69999999999993"/>
    <n v="4331.3999999999996"/>
    <n v="15"/>
  </r>
  <r>
    <d v="2026-09-12T16:00:00"/>
    <x v="1"/>
    <n v="26.9"/>
    <n v="25.9"/>
    <n v="12.2"/>
    <n v="789.8"/>
    <n v="289.8"/>
    <n v="3370.8"/>
    <n v="4450.3999999999996"/>
    <n v="0"/>
    <n v="1079.5999999999999"/>
    <n v="4450.3999999999996"/>
    <n v="16"/>
  </r>
  <r>
    <d v="2026-09-12T17:00:00"/>
    <x v="1"/>
    <n v="24.8"/>
    <n v="71.8"/>
    <n v="23.8"/>
    <n v="370.4"/>
    <n v="2162.3000000000002"/>
    <n v="1889.8"/>
    <n v="4422.5"/>
    <n v="0"/>
    <n v="2532.7000000000003"/>
    <n v="4422.5"/>
    <n v="17"/>
  </r>
  <r>
    <d v="2026-09-12T18:00:00"/>
    <x v="1"/>
    <n v="22.6"/>
    <n v="52.6"/>
    <n v="15.6"/>
    <n v="228.4"/>
    <n v="608.29999999999995"/>
    <n v="4000"/>
    <n v="6602.1"/>
    <n v="1"/>
    <n v="836.69999999999993"/>
    <n v="4836.7"/>
    <n v="18"/>
  </r>
  <r>
    <d v="2026-09-12T19:00:00"/>
    <x v="1"/>
    <n v="24.4"/>
    <n v="11.5"/>
    <n v="15.5"/>
    <n v="0"/>
    <n v="591.70000000000005"/>
    <n v="4000"/>
    <n v="6685.4"/>
    <n v="1"/>
    <n v="591.70000000000005"/>
    <n v="4591.7"/>
    <n v="19"/>
  </r>
  <r>
    <d v="2026-09-12T20:00:00"/>
    <x v="1"/>
    <n v="23.7"/>
    <n v="94.8"/>
    <n v="8.1999999999999993"/>
    <n v="0"/>
    <n v="87.1"/>
    <n v="4000"/>
    <n v="6629.1"/>
    <n v="1"/>
    <n v="87.1"/>
    <n v="4087.1"/>
    <n v="20"/>
  </r>
  <r>
    <d v="2026-09-12T21:00:00"/>
    <x v="1"/>
    <n v="22"/>
    <n v="35.299999999999997"/>
    <n v="11.8"/>
    <n v="0"/>
    <n v="261.10000000000002"/>
    <n v="4000"/>
    <n v="6637.6"/>
    <n v="1"/>
    <n v="261.10000000000002"/>
    <n v="4261.1000000000004"/>
    <n v="21"/>
  </r>
  <r>
    <d v="2026-09-12T22:00:00"/>
    <x v="1"/>
    <n v="18.600000000000001"/>
    <n v="44.7"/>
    <n v="8.6"/>
    <n v="0"/>
    <n v="100.1"/>
    <n v="4000"/>
    <n v="4323.8"/>
    <n v="1"/>
    <n v="100.1"/>
    <n v="4100.1000000000004"/>
    <n v="22"/>
  </r>
  <r>
    <d v="2026-09-12T23:00:00"/>
    <x v="1"/>
    <n v="21.6"/>
    <n v="13.6"/>
    <n v="16.100000000000001"/>
    <n v="0"/>
    <n v="663.5"/>
    <n v="3582.5"/>
    <n v="4246"/>
    <n v="0"/>
    <n v="663.5"/>
    <n v="4246"/>
    <n v="23"/>
  </r>
  <r>
    <d v="2026-09-13T00:00:00"/>
    <x v="1"/>
    <n v="19.7"/>
    <n v="64.8"/>
    <n v="13.7"/>
    <n v="0"/>
    <n v="411.4"/>
    <n v="3866.8"/>
    <n v="4278.2"/>
    <n v="0"/>
    <n v="411.4"/>
    <n v="4278.2"/>
    <n v="0"/>
  </r>
  <r>
    <d v="2026-09-13T01:00:00"/>
    <x v="1"/>
    <n v="21.1"/>
    <n v="36.700000000000003"/>
    <n v="8.9"/>
    <n v="0"/>
    <n v="114.3"/>
    <n v="4000"/>
    <n v="4405.6000000000004"/>
    <n v="1"/>
    <n v="114.3"/>
    <n v="4114.3"/>
    <n v="1"/>
  </r>
  <r>
    <d v="2026-09-13T02:00:00"/>
    <x v="1"/>
    <n v="19.7"/>
    <n v="100"/>
    <n v="18.2"/>
    <n v="0"/>
    <n v="968.3"/>
    <n v="3188.9"/>
    <n v="4157.2"/>
    <n v="0"/>
    <n v="968.3"/>
    <n v="4157.2"/>
    <n v="2"/>
  </r>
  <r>
    <d v="2026-09-13T03:00:00"/>
    <x v="1"/>
    <n v="19.8"/>
    <n v="57"/>
    <n v="14.7"/>
    <n v="0"/>
    <n v="512"/>
    <n v="3605.3"/>
    <n v="4117.3"/>
    <n v="0"/>
    <n v="512"/>
    <n v="4117.3"/>
    <n v="3"/>
  </r>
  <r>
    <d v="2026-09-13T04:00:00"/>
    <x v="1"/>
    <n v="21.7"/>
    <n v="41.9"/>
    <n v="13.6"/>
    <n v="0"/>
    <n v="406"/>
    <n v="3996.3"/>
    <n v="4402.3"/>
    <n v="0"/>
    <n v="406"/>
    <n v="4402.3"/>
    <n v="4"/>
  </r>
  <r>
    <d v="2026-09-13T05:00:00"/>
    <x v="1"/>
    <n v="20.7"/>
    <n v="39.299999999999997"/>
    <n v="7.7"/>
    <n v="0"/>
    <n v="74.3"/>
    <n v="4000"/>
    <n v="4332.8999999999996"/>
    <n v="1"/>
    <n v="74.3"/>
    <n v="4074.3"/>
    <n v="5"/>
  </r>
  <r>
    <d v="2026-09-13T06:00:00"/>
    <x v="1"/>
    <n v="27"/>
    <n v="54.2"/>
    <n v="10.4"/>
    <n v="225.3"/>
    <n v="181.7"/>
    <n v="3939.3"/>
    <n v="4346.3"/>
    <n v="0"/>
    <n v="407"/>
    <n v="4346.3"/>
    <n v="6"/>
  </r>
  <r>
    <d v="2026-09-13T07:00:00"/>
    <x v="1"/>
    <n v="25.5"/>
    <n v="55.5"/>
    <n v="15"/>
    <n v="434.1"/>
    <n v="543.70000000000005"/>
    <n v="3480.5"/>
    <n v="4458.3"/>
    <n v="0"/>
    <n v="977.80000000000007"/>
    <n v="4458.3"/>
    <n v="7"/>
  </r>
  <r>
    <d v="2026-09-13T08:00:00"/>
    <x v="1"/>
    <n v="24.9"/>
    <n v="56.8"/>
    <n v="7.4"/>
    <n v="616.29999999999995"/>
    <n v="64"/>
    <n v="3948.2"/>
    <n v="4628.5"/>
    <n v="0"/>
    <n v="680.3"/>
    <n v="4628.5"/>
    <n v="8"/>
  </r>
  <r>
    <d v="2026-09-13T09:00:00"/>
    <x v="1"/>
    <n v="25.9"/>
    <n v="34.6"/>
    <n v="10.5"/>
    <n v="929.5"/>
    <n v="186.5"/>
    <n v="3287.3"/>
    <n v="4403.3"/>
    <n v="0"/>
    <n v="1116"/>
    <n v="4403.3"/>
    <n v="9"/>
  </r>
  <r>
    <d v="2026-09-13T10:00:00"/>
    <x v="1"/>
    <n v="28.4"/>
    <n v="13.9"/>
    <n v="12.3"/>
    <n v="1239.0999999999999"/>
    <n v="295.89999999999998"/>
    <n v="4000"/>
    <n v="6386.4"/>
    <n v="1"/>
    <n v="1535"/>
    <n v="5535"/>
    <n v="10"/>
  </r>
  <r>
    <d v="2026-09-13T11:00:00"/>
    <x v="1"/>
    <n v="26.6"/>
    <n v="39.6"/>
    <n v="10.5"/>
    <n v="1115.2"/>
    <n v="183"/>
    <n v="4000"/>
    <n v="6133.6"/>
    <n v="1"/>
    <n v="1298.2"/>
    <n v="5298.2"/>
    <n v="11"/>
  </r>
  <r>
    <d v="2026-09-13T12:00:00"/>
    <x v="1"/>
    <n v="28.4"/>
    <n v="10.6"/>
    <n v="9.1999999999999993"/>
    <n v="1405"/>
    <n v="123.6"/>
    <n v="4000"/>
    <n v="6604"/>
    <n v="1"/>
    <n v="1528.6"/>
    <n v="5528.6"/>
    <n v="12"/>
  </r>
  <r>
    <d v="2026-09-13T13:00:00"/>
    <x v="1"/>
    <n v="30"/>
    <n v="5.4"/>
    <n v="2.6"/>
    <n v="1415.4"/>
    <n v="2.8"/>
    <n v="4000"/>
    <n v="6393.2"/>
    <n v="1"/>
    <n v="1418.2"/>
    <n v="5418.2"/>
    <n v="13"/>
  </r>
  <r>
    <d v="2026-09-13T14:00:00"/>
    <x v="1"/>
    <n v="27.9"/>
    <n v="23.3"/>
    <n v="14.7"/>
    <n v="1162.5999999999999"/>
    <n v="505.5"/>
    <n v="4000"/>
    <n v="6520.6"/>
    <n v="1"/>
    <n v="1668.1"/>
    <n v="5668.1"/>
    <n v="14"/>
  </r>
  <r>
    <d v="2026-09-13T15:00:00"/>
    <x v="1"/>
    <n v="26.8"/>
    <n v="53.2"/>
    <n v="16.600000000000001"/>
    <n v="798.4"/>
    <n v="734.7"/>
    <n v="2391.5"/>
    <n v="3924.6"/>
    <n v="0"/>
    <n v="1533.1"/>
    <n v="3924.6"/>
    <n v="15"/>
  </r>
  <r>
    <d v="2026-09-13T16:00:00"/>
    <x v="1"/>
    <n v="26.1"/>
    <n v="21.9"/>
    <n v="13.3"/>
    <n v="812.5"/>
    <n v="374.5"/>
    <n v="2980.9"/>
    <n v="4167.8999999999996"/>
    <n v="0"/>
    <n v="1187"/>
    <n v="4167.8999999999996"/>
    <n v="16"/>
  </r>
  <r>
    <d v="2026-09-13T17:00:00"/>
    <x v="1"/>
    <n v="24.6"/>
    <n v="20.100000000000001"/>
    <n v="15.3"/>
    <n v="572.29999999999995"/>
    <n v="568.1"/>
    <n v="3045.3"/>
    <n v="4185.7"/>
    <n v="0"/>
    <n v="1140.4000000000001"/>
    <n v="4185.7000000000007"/>
    <n v="17"/>
  </r>
  <r>
    <d v="2026-09-13T18:00:00"/>
    <x v="1"/>
    <n v="23.8"/>
    <n v="46"/>
    <n v="4.8"/>
    <n v="241.7"/>
    <n v="17.2"/>
    <n v="4000"/>
    <n v="6848.8"/>
    <n v="1"/>
    <n v="258.89999999999998"/>
    <n v="4258.8999999999996"/>
    <n v="18"/>
  </r>
  <r>
    <d v="2026-09-13T19:00:00"/>
    <x v="1"/>
    <n v="22.9"/>
    <n v="100"/>
    <n v="6.4"/>
    <n v="0"/>
    <n v="42.7"/>
    <n v="4000"/>
    <n v="6675"/>
    <n v="1"/>
    <n v="42.7"/>
    <n v="4042.7"/>
    <n v="19"/>
  </r>
  <r>
    <d v="2026-09-13T20:00:00"/>
    <x v="1"/>
    <n v="23"/>
    <n v="52"/>
    <n v="20.8"/>
    <n v="0"/>
    <n v="1438.4"/>
    <n v="4000"/>
    <n v="6939.6"/>
    <n v="1"/>
    <n v="1438.4"/>
    <n v="5438.4"/>
    <n v="20"/>
  </r>
  <r>
    <d v="2026-09-13T21:00:00"/>
    <x v="1"/>
    <n v="21.6"/>
    <n v="43.7"/>
    <n v="18.100000000000001"/>
    <n v="0"/>
    <n v="951.6"/>
    <n v="4000"/>
    <n v="6775.8"/>
    <n v="1"/>
    <n v="951.6"/>
    <n v="4951.6000000000004"/>
    <n v="21"/>
  </r>
  <r>
    <d v="2026-09-13T22:00:00"/>
    <x v="1"/>
    <n v="19.899999999999999"/>
    <n v="12"/>
    <n v="11"/>
    <n v="0"/>
    <n v="212.1"/>
    <n v="4000"/>
    <n v="4484.5"/>
    <n v="1"/>
    <n v="212.1"/>
    <n v="4212.1000000000004"/>
    <n v="22"/>
  </r>
  <r>
    <d v="2026-09-13T23:00:00"/>
    <x v="1"/>
    <n v="20.100000000000001"/>
    <n v="75.900000000000006"/>
    <n v="9.6999999999999993"/>
    <n v="0"/>
    <n v="146.6"/>
    <n v="4000"/>
    <n v="4200"/>
    <n v="1"/>
    <n v="146.6"/>
    <n v="4146.6000000000004"/>
    <n v="23"/>
  </r>
  <r>
    <d v="2026-09-14T00:00:00"/>
    <x v="1"/>
    <n v="20.100000000000001"/>
    <n v="66.2"/>
    <n v="0.8"/>
    <n v="0"/>
    <n v="0.1"/>
    <n v="4000"/>
    <n v="4943.6000000000004"/>
    <n v="1"/>
    <n v="0.1"/>
    <n v="4000.1"/>
    <n v="0"/>
  </r>
  <r>
    <d v="2026-09-14T01:00:00"/>
    <x v="1"/>
    <n v="20.3"/>
    <n v="75"/>
    <n v="9.5"/>
    <n v="0"/>
    <n v="138.9"/>
    <n v="4000"/>
    <n v="4859"/>
    <n v="1"/>
    <n v="138.9"/>
    <n v="4138.8999999999996"/>
    <n v="1"/>
  </r>
  <r>
    <d v="2026-09-14T02:00:00"/>
    <x v="1"/>
    <n v="21.2"/>
    <n v="29.1"/>
    <n v="6.1"/>
    <n v="0"/>
    <n v="35.5"/>
    <n v="4000"/>
    <n v="4668.5"/>
    <n v="1"/>
    <n v="35.5"/>
    <n v="4035.5"/>
    <n v="2"/>
  </r>
  <r>
    <d v="2026-09-14T03:00:00"/>
    <x v="1"/>
    <n v="21"/>
    <n v="29.9"/>
    <n v="1"/>
    <n v="0"/>
    <n v="0.1"/>
    <n v="4000"/>
    <n v="4856.3"/>
    <n v="1"/>
    <n v="0.1"/>
    <n v="4000.1"/>
    <n v="3"/>
  </r>
  <r>
    <d v="2026-09-14T04:00:00"/>
    <x v="1"/>
    <n v="23.3"/>
    <n v="61.3"/>
    <n v="6.3"/>
    <n v="0"/>
    <n v="40.200000000000003"/>
    <n v="4000"/>
    <n v="5084.6000000000004"/>
    <n v="1"/>
    <n v="40.200000000000003"/>
    <n v="4040.2"/>
    <n v="4"/>
  </r>
  <r>
    <d v="2026-09-14T05:00:00"/>
    <x v="1"/>
    <n v="23"/>
    <n v="60"/>
    <n v="15.3"/>
    <n v="0"/>
    <n v="577.79999999999995"/>
    <n v="4000"/>
    <n v="4919.8"/>
    <n v="1"/>
    <n v="577.79999999999995"/>
    <n v="4577.8"/>
    <n v="5"/>
  </r>
  <r>
    <d v="2026-09-14T06:00:00"/>
    <x v="1"/>
    <n v="24.1"/>
    <n v="56.4"/>
    <n v="19.3"/>
    <n v="220.8"/>
    <n v="1146.5"/>
    <n v="3472.6"/>
    <n v="4839.8999999999996"/>
    <n v="0"/>
    <n v="1367.3"/>
    <n v="4839.8999999999996"/>
    <n v="6"/>
  </r>
  <r>
    <d v="2026-09-14T07:00:00"/>
    <x v="1"/>
    <n v="25.8"/>
    <n v="47.1"/>
    <n v="19.100000000000001"/>
    <n v="466.9"/>
    <n v="1106.5"/>
    <n v="3482.3"/>
    <n v="5055.7"/>
    <n v="0"/>
    <n v="1573.4"/>
    <n v="5055.7000000000007"/>
    <n v="7"/>
  </r>
  <r>
    <d v="2026-09-14T08:00:00"/>
    <x v="1"/>
    <n v="25.1"/>
    <n v="80.099999999999994"/>
    <n v="15.5"/>
    <n v="485.8"/>
    <n v="594.6"/>
    <n v="3931.1"/>
    <n v="5011.5"/>
    <n v="0"/>
    <n v="1080.4000000000001"/>
    <n v="5011.5"/>
    <n v="8"/>
  </r>
  <r>
    <d v="2026-09-14T09:00:00"/>
    <x v="1"/>
    <n v="26.3"/>
    <n v="52.4"/>
    <n v="14.3"/>
    <n v="803.9"/>
    <n v="469.4"/>
    <n v="3610.2"/>
    <n v="4883.5"/>
    <n v="0"/>
    <n v="1273.3"/>
    <n v="4883.5"/>
    <n v="9"/>
  </r>
  <r>
    <d v="2026-09-14T10:00:00"/>
    <x v="1"/>
    <n v="27.8"/>
    <n v="87.5"/>
    <n v="17.399999999999999"/>
    <n v="641.9"/>
    <n v="836.8"/>
    <n v="4000"/>
    <n v="7179.6"/>
    <n v="1"/>
    <n v="1478.6999999999998"/>
    <n v="5478.7"/>
    <n v="10"/>
  </r>
  <r>
    <d v="2026-09-14T11:00:00"/>
    <x v="1"/>
    <n v="28.8"/>
    <n v="19.2"/>
    <n v="14"/>
    <n v="1294"/>
    <n v="438.1"/>
    <n v="4000"/>
    <n v="7178.6"/>
    <n v="1"/>
    <n v="1732.1"/>
    <n v="5732.1"/>
    <n v="11"/>
  </r>
  <r>
    <d v="2026-09-14T12:00:00"/>
    <x v="1"/>
    <n v="27.8"/>
    <n v="23.8"/>
    <n v="8.6999999999999993"/>
    <n v="1285.7"/>
    <n v="106.8"/>
    <n v="4000"/>
    <n v="7421.4"/>
    <n v="1"/>
    <n v="1392.5"/>
    <n v="5392.5"/>
    <n v="12"/>
  </r>
  <r>
    <d v="2026-09-14T13:00:00"/>
    <x v="1"/>
    <n v="27.1"/>
    <n v="35.700000000000003"/>
    <n v="5"/>
    <n v="1148.8"/>
    <n v="19.7"/>
    <n v="4000"/>
    <n v="6986.6"/>
    <n v="1"/>
    <n v="1168.5"/>
    <n v="5168.5"/>
    <n v="13"/>
  </r>
  <r>
    <d v="2026-09-14T14:00:00"/>
    <x v="1"/>
    <n v="28.4"/>
    <n v="22.3"/>
    <n v="19.600000000000001"/>
    <n v="1170.5999999999999"/>
    <n v="1204.0999999999999"/>
    <n v="4000"/>
    <n v="7152.3"/>
    <n v="1"/>
    <n v="2374.6999999999998"/>
    <n v="6374.7"/>
    <n v="14"/>
  </r>
  <r>
    <d v="2026-09-14T15:00:00"/>
    <x v="1"/>
    <n v="27.9"/>
    <n v="28.6"/>
    <n v="16.3"/>
    <n v="971.8"/>
    <n v="689.4"/>
    <n v="3365.4"/>
    <n v="5026.6000000000004"/>
    <n v="0"/>
    <n v="1661.1999999999998"/>
    <n v="5026.6000000000004"/>
    <n v="15"/>
  </r>
  <r>
    <d v="2026-09-14T16:00:00"/>
    <x v="1"/>
    <n v="26.9"/>
    <n v="49.3"/>
    <n v="14.8"/>
    <n v="658.6"/>
    <n v="515.1"/>
    <n v="3612.5"/>
    <n v="4786.2"/>
    <n v="0"/>
    <n v="1173.7"/>
    <n v="4786.2"/>
    <n v="16"/>
  </r>
  <r>
    <d v="2026-09-14T17:00:00"/>
    <x v="1"/>
    <n v="24.1"/>
    <n v="59.9"/>
    <n v="7.3"/>
    <n v="416.8"/>
    <n v="61.2"/>
    <n v="4000"/>
    <n v="4773.7"/>
    <n v="1"/>
    <n v="478"/>
    <n v="4478"/>
    <n v="17"/>
  </r>
  <r>
    <d v="2026-09-14T18:00:00"/>
    <x v="1"/>
    <n v="22.6"/>
    <n v="66.2"/>
    <n v="5.8"/>
    <n v="201.2"/>
    <n v="31.8"/>
    <n v="4000"/>
    <n v="7769.5"/>
    <n v="1"/>
    <n v="233"/>
    <n v="4233"/>
    <n v="18"/>
  </r>
  <r>
    <d v="2026-09-14T19:00:00"/>
    <x v="1"/>
    <n v="23.6"/>
    <n v="27.6"/>
    <n v="14.9"/>
    <n v="0"/>
    <n v="530.4"/>
    <n v="4000"/>
    <n v="7782.8"/>
    <n v="1"/>
    <n v="530.4"/>
    <n v="4530.3999999999996"/>
    <n v="19"/>
  </r>
  <r>
    <d v="2026-09-14T20:00:00"/>
    <x v="1"/>
    <n v="21.5"/>
    <n v="19.8"/>
    <n v="2.2000000000000002"/>
    <n v="0"/>
    <n v="1.7"/>
    <n v="4000"/>
    <n v="7739.1"/>
    <n v="1"/>
    <n v="1.7"/>
    <n v="4001.7"/>
    <n v="20"/>
  </r>
  <r>
    <d v="2026-09-14T21:00:00"/>
    <x v="1"/>
    <n v="19.600000000000001"/>
    <n v="47.4"/>
    <n v="10.7"/>
    <n v="0"/>
    <n v="195.1"/>
    <n v="4000"/>
    <n v="7752.4"/>
    <n v="1"/>
    <n v="195.1"/>
    <n v="4195.1000000000004"/>
    <n v="21"/>
  </r>
  <r>
    <d v="2026-09-14T22:00:00"/>
    <x v="1"/>
    <n v="20.2"/>
    <n v="36.799999999999997"/>
    <n v="15.7"/>
    <n v="0"/>
    <n v="614.4"/>
    <n v="4000"/>
    <n v="5051.8999999999996"/>
    <n v="1"/>
    <n v="614.4"/>
    <n v="4614.3999999999996"/>
    <n v="22"/>
  </r>
  <r>
    <d v="2026-09-14T23:00:00"/>
    <x v="1"/>
    <n v="20.5"/>
    <n v="56.7"/>
    <n v="4.3"/>
    <n v="0"/>
    <n v="12.9"/>
    <n v="4000"/>
    <n v="5000.3"/>
    <n v="1"/>
    <n v="12.9"/>
    <n v="4012.9"/>
    <n v="23"/>
  </r>
  <r>
    <d v="2026-09-01T00:00:00"/>
    <x v="2"/>
    <n v="18.2"/>
    <n v="29.5"/>
    <n v="5.3"/>
    <n v="0"/>
    <n v="14"/>
    <n v="4000"/>
    <n v="5063.5"/>
    <n v="1"/>
    <n v="14"/>
    <n v="4014"/>
    <n v="0"/>
  </r>
  <r>
    <d v="2026-09-01T01:00:00"/>
    <x v="2"/>
    <n v="16.899999999999999"/>
    <n v="70"/>
    <n v="10.3"/>
    <n v="0"/>
    <n v="104.7"/>
    <n v="4000"/>
    <n v="4944.1000000000004"/>
    <n v="1"/>
    <n v="104.7"/>
    <n v="4104.7"/>
    <n v="1"/>
  </r>
  <r>
    <d v="2026-09-01T02:00:00"/>
    <x v="2"/>
    <n v="15"/>
    <n v="78.7"/>
    <n v="10"/>
    <n v="0"/>
    <n v="95.6"/>
    <n v="4000"/>
    <n v="5112.3"/>
    <n v="1"/>
    <n v="95.6"/>
    <n v="4095.6"/>
    <n v="2"/>
  </r>
  <r>
    <d v="2026-09-01T03:00:00"/>
    <x v="2"/>
    <n v="20.6"/>
    <n v="100"/>
    <n v="9.1"/>
    <n v="0"/>
    <n v="71.7"/>
    <n v="4000"/>
    <n v="5008"/>
    <n v="1"/>
    <n v="71.7"/>
    <n v="4071.7"/>
    <n v="3"/>
  </r>
  <r>
    <d v="2026-09-01T04:00:00"/>
    <x v="2"/>
    <n v="21.6"/>
    <n v="64.3"/>
    <n v="6.1"/>
    <n v="0"/>
    <n v="21.5"/>
    <n v="4000"/>
    <n v="4987.3999999999996"/>
    <n v="1"/>
    <n v="21.5"/>
    <n v="4021.5"/>
    <n v="4"/>
  </r>
  <r>
    <d v="2026-09-01T05:00:00"/>
    <x v="2"/>
    <n v="23.8"/>
    <n v="35.4"/>
    <n v="10.6"/>
    <n v="0"/>
    <n v="114.2"/>
    <n v="4000"/>
    <n v="4897.3"/>
    <n v="1"/>
    <n v="114.2"/>
    <n v="4114.2"/>
    <n v="5"/>
  </r>
  <r>
    <d v="2026-09-01T06:00:00"/>
    <x v="2"/>
    <n v="19.2"/>
    <n v="71"/>
    <n v="0"/>
    <n v="192.2"/>
    <n v="0"/>
    <n v="4000"/>
    <n v="5025"/>
    <n v="1"/>
    <n v="192.2"/>
    <n v="4192.2"/>
    <n v="6"/>
  </r>
  <r>
    <d v="2026-09-01T07:00:00"/>
    <x v="2"/>
    <n v="25.1"/>
    <n v="42.2"/>
    <n v="6.4"/>
    <n v="574.6"/>
    <n v="24.8"/>
    <n v="4000"/>
    <n v="5043.8"/>
    <n v="1"/>
    <n v="599.4"/>
    <n v="4599.3999999999996"/>
    <n v="7"/>
  </r>
  <r>
    <d v="2026-09-01T08:00:00"/>
    <x v="2"/>
    <n v="23.5"/>
    <n v="28.2"/>
    <n v="10.4"/>
    <n v="965.3"/>
    <n v="109.4"/>
    <n v="4000"/>
    <n v="5243.1"/>
    <n v="1"/>
    <n v="1074.7"/>
    <n v="5074.7"/>
    <n v="8"/>
  </r>
  <r>
    <d v="2026-09-01T09:00:00"/>
    <x v="2"/>
    <n v="25.5"/>
    <n v="90.3"/>
    <n v="10"/>
    <n v="433.5"/>
    <n v="96.7"/>
    <n v="4000"/>
    <n v="5244.4"/>
    <n v="1"/>
    <n v="530.20000000000005"/>
    <n v="4530.2"/>
    <n v="9"/>
  </r>
  <r>
    <d v="2026-09-01T10:00:00"/>
    <x v="2"/>
    <n v="25.4"/>
    <n v="96.9"/>
    <n v="11.1"/>
    <n v="404.7"/>
    <n v="129.69999999999999"/>
    <n v="4000"/>
    <n v="7038.6"/>
    <n v="1"/>
    <n v="534.4"/>
    <n v="4534.3999999999996"/>
    <n v="10"/>
  </r>
  <r>
    <d v="2026-09-01T11:00:00"/>
    <x v="2"/>
    <n v="25.1"/>
    <n v="100"/>
    <n v="4.4000000000000004"/>
    <n v="390"/>
    <n v="8.1999999999999993"/>
    <n v="4000"/>
    <n v="7234.4"/>
    <n v="1"/>
    <n v="398.2"/>
    <n v="4398.2"/>
    <n v="11"/>
  </r>
  <r>
    <d v="2026-09-01T12:00:00"/>
    <x v="2"/>
    <n v="27.7"/>
    <n v="100"/>
    <n v="8.6"/>
    <n v="400"/>
    <n v="60.3"/>
    <n v="4000"/>
    <n v="7099.7"/>
    <n v="1"/>
    <n v="460.3"/>
    <n v="4460.3"/>
    <n v="12"/>
  </r>
  <r>
    <d v="2026-09-01T13:00:00"/>
    <x v="2"/>
    <n v="27.8"/>
    <n v="61.3"/>
    <n v="7.7"/>
    <n v="993.6"/>
    <n v="43.4"/>
    <n v="4000"/>
    <n v="7212.2"/>
    <n v="1"/>
    <n v="1037"/>
    <n v="5037"/>
    <n v="13"/>
  </r>
  <r>
    <d v="2026-09-01T14:00:00"/>
    <x v="2"/>
    <n v="25.7"/>
    <n v="67.2"/>
    <n v="2.5"/>
    <n v="832.6"/>
    <n v="1.6"/>
    <n v="4000"/>
    <n v="6770.6"/>
    <n v="1"/>
    <n v="834.2"/>
    <n v="4834.2"/>
    <n v="14"/>
  </r>
  <r>
    <d v="2026-09-01T15:00:00"/>
    <x v="2"/>
    <n v="25.1"/>
    <n v="100"/>
    <n v="10.7"/>
    <n v="312.7"/>
    <n v="118.2"/>
    <n v="4000"/>
    <n v="5007.8999999999996"/>
    <n v="1"/>
    <n v="430.9"/>
    <n v="4430.8999999999996"/>
    <n v="15"/>
  </r>
  <r>
    <d v="2026-09-01T16:00:00"/>
    <x v="2"/>
    <n v="24.2"/>
    <n v="57.8"/>
    <n v="4.5999999999999996"/>
    <n v="670.6"/>
    <n v="9.6"/>
    <n v="4000"/>
    <n v="4880.1000000000004"/>
    <n v="1"/>
    <n v="680.2"/>
    <n v="4680.2"/>
    <n v="16"/>
  </r>
  <r>
    <d v="2026-09-01T17:00:00"/>
    <x v="2"/>
    <n v="21.8"/>
    <n v="26.1"/>
    <n v="7.9"/>
    <n v="686.7"/>
    <n v="46.8"/>
    <n v="4000"/>
    <n v="4979.3"/>
    <n v="1"/>
    <n v="733.5"/>
    <n v="4733.5"/>
    <n v="17"/>
  </r>
  <r>
    <d v="2026-09-01T18:00:00"/>
    <x v="2"/>
    <n v="20.399999999999999"/>
    <n v="86.9"/>
    <n v="4.0999999999999996"/>
    <n v="135.80000000000001"/>
    <n v="6.6"/>
    <n v="4000"/>
    <n v="7794.4"/>
    <n v="1"/>
    <n v="142.4"/>
    <n v="4142.3999999999996"/>
    <n v="18"/>
  </r>
  <r>
    <d v="2026-09-01T19:00:00"/>
    <x v="2"/>
    <n v="22.3"/>
    <n v="59"/>
    <n v="7.4"/>
    <n v="0"/>
    <n v="38.299999999999997"/>
    <n v="4000"/>
    <n v="7738"/>
    <n v="1"/>
    <n v="38.299999999999997"/>
    <n v="4038.3"/>
    <n v="19"/>
  </r>
  <r>
    <d v="2026-09-01T20:00:00"/>
    <x v="2"/>
    <n v="19.100000000000001"/>
    <n v="53.8"/>
    <n v="3.8"/>
    <n v="0"/>
    <n v="5.0999999999999996"/>
    <n v="4000"/>
    <n v="7622.5"/>
    <n v="1"/>
    <n v="5.0999999999999996"/>
    <n v="4005.1"/>
    <n v="20"/>
  </r>
  <r>
    <d v="2026-09-01T21:00:00"/>
    <x v="2"/>
    <n v="15.4"/>
    <n v="45.3"/>
    <n v="5.0999999999999996"/>
    <n v="0"/>
    <n v="13.1"/>
    <n v="4000"/>
    <n v="7673.5"/>
    <n v="1"/>
    <n v="13.1"/>
    <n v="4013.1"/>
    <n v="21"/>
  </r>
  <r>
    <d v="2026-09-01T22:00:00"/>
    <x v="2"/>
    <n v="17.2"/>
    <n v="58.1"/>
    <n v="7.4"/>
    <n v="0"/>
    <n v="39.5"/>
    <n v="4000"/>
    <n v="4911.6000000000004"/>
    <n v="1"/>
    <n v="39.5"/>
    <n v="4039.5"/>
    <n v="22"/>
  </r>
  <r>
    <d v="2026-09-01T23:00:00"/>
    <x v="2"/>
    <n v="15.9"/>
    <n v="23.9"/>
    <n v="2.9"/>
    <n v="0"/>
    <n v="2.2999999999999998"/>
    <n v="4000"/>
    <n v="5081.2"/>
    <n v="1"/>
    <n v="2.2999999999999998"/>
    <n v="4002.3"/>
    <n v="23"/>
  </r>
  <r>
    <d v="2026-09-02T00:00:00"/>
    <x v="2"/>
    <n v="16.3"/>
    <n v="36.9"/>
    <n v="2.1"/>
    <n v="0"/>
    <n v="0.9"/>
    <n v="4000"/>
    <n v="4876.8999999999996"/>
    <n v="1"/>
    <n v="0.9"/>
    <n v="4000.9"/>
    <n v="0"/>
  </r>
  <r>
    <d v="2026-09-02T01:00:00"/>
    <x v="2"/>
    <n v="17.5"/>
    <n v="77.900000000000006"/>
    <n v="4.3"/>
    <n v="0"/>
    <n v="7.8"/>
    <n v="4000"/>
    <n v="4881.6000000000004"/>
    <n v="1"/>
    <n v="7.8"/>
    <n v="4007.8"/>
    <n v="1"/>
  </r>
  <r>
    <d v="2026-09-02T02:00:00"/>
    <x v="2"/>
    <n v="15.8"/>
    <n v="59.1"/>
    <n v="3.5"/>
    <n v="0"/>
    <n v="4"/>
    <n v="4000"/>
    <n v="4888.1000000000004"/>
    <n v="1"/>
    <n v="4"/>
    <n v="4004"/>
    <n v="2"/>
  </r>
  <r>
    <d v="2026-09-02T03:00:00"/>
    <x v="2"/>
    <n v="14.9"/>
    <n v="49.2"/>
    <n v="6.9"/>
    <n v="0"/>
    <n v="31.6"/>
    <n v="4000"/>
    <n v="5036"/>
    <n v="1"/>
    <n v="31.6"/>
    <n v="4031.6"/>
    <n v="3"/>
  </r>
  <r>
    <d v="2026-09-02T04:00:00"/>
    <x v="2"/>
    <n v="24.9"/>
    <n v="70.5"/>
    <n v="3"/>
    <n v="0"/>
    <n v="2.6"/>
    <n v="4000"/>
    <n v="4977.6000000000004"/>
    <n v="1"/>
    <n v="2.6"/>
    <n v="4002.6"/>
    <n v="4"/>
  </r>
  <r>
    <d v="2026-09-02T05:00:00"/>
    <x v="2"/>
    <n v="17.2"/>
    <n v="57.6"/>
    <n v="3.5"/>
    <n v="0"/>
    <n v="4.0999999999999996"/>
    <n v="4000"/>
    <n v="4935.7"/>
    <n v="1"/>
    <n v="4.0999999999999996"/>
    <n v="4004.1"/>
    <n v="5"/>
  </r>
  <r>
    <d v="2026-09-02T06:00:00"/>
    <x v="2"/>
    <n v="20.9"/>
    <n v="56.5"/>
    <n v="4.0999999999999996"/>
    <n v="243.9"/>
    <n v="6.6"/>
    <n v="4000"/>
    <n v="5087.3"/>
    <n v="1"/>
    <n v="250.5"/>
    <n v="4250.5"/>
    <n v="6"/>
  </r>
  <r>
    <d v="2026-09-02T07:00:00"/>
    <x v="2"/>
    <n v="22.7"/>
    <n v="100"/>
    <n v="8.4"/>
    <n v="173.6"/>
    <n v="57.8"/>
    <n v="4000"/>
    <n v="5210.8"/>
    <n v="1"/>
    <n v="231.39999999999998"/>
    <n v="4231.3999999999996"/>
    <n v="7"/>
  </r>
  <r>
    <d v="2026-09-02T08:00:00"/>
    <x v="2"/>
    <n v="25.2"/>
    <n v="71.8"/>
    <n v="0.2"/>
    <n v="530.6"/>
    <n v="0"/>
    <n v="4000"/>
    <n v="5022.3"/>
    <n v="1"/>
    <n v="530.6"/>
    <n v="4530.6000000000004"/>
    <n v="8"/>
  </r>
  <r>
    <d v="2026-09-02T09:00:00"/>
    <x v="2"/>
    <n v="27.2"/>
    <n v="58.5"/>
    <n v="1.8"/>
    <n v="831.5"/>
    <n v="0.5"/>
    <n v="4000"/>
    <n v="4908.2"/>
    <n v="1"/>
    <n v="832"/>
    <n v="4832"/>
    <n v="9"/>
  </r>
  <r>
    <d v="2026-09-02T10:00:00"/>
    <x v="2"/>
    <n v="29.7"/>
    <n v="97.4"/>
    <n v="5.8"/>
    <n v="397.8"/>
    <n v="18.899999999999999"/>
    <n v="4000"/>
    <n v="7142.1"/>
    <n v="1"/>
    <n v="416.7"/>
    <n v="4416.7"/>
    <n v="10"/>
  </r>
  <r>
    <d v="2026-09-02T11:00:00"/>
    <x v="2"/>
    <n v="26.1"/>
    <n v="8.9"/>
    <n v="3.2"/>
    <n v="1811.3"/>
    <n v="3.2"/>
    <n v="4000"/>
    <n v="7292.7"/>
    <n v="1"/>
    <n v="1814.5"/>
    <n v="5814.5"/>
    <n v="11"/>
  </r>
  <r>
    <d v="2026-09-02T12:00:00"/>
    <x v="2"/>
    <n v="26.5"/>
    <n v="52.7"/>
    <n v="5.0999999999999996"/>
    <n v="1156.8"/>
    <n v="12.7"/>
    <n v="4000"/>
    <n v="7384.4"/>
    <n v="1"/>
    <n v="1169.5"/>
    <n v="5169.5"/>
    <n v="12"/>
  </r>
  <r>
    <d v="2026-09-02T13:00:00"/>
    <x v="2"/>
    <n v="30.1"/>
    <n v="100"/>
    <n v="5.5"/>
    <n v="390"/>
    <n v="16.2"/>
    <n v="4000"/>
    <n v="7435.6"/>
    <n v="1"/>
    <n v="406.2"/>
    <n v="4406.2"/>
    <n v="13"/>
  </r>
  <r>
    <d v="2026-09-02T14:00:00"/>
    <x v="2"/>
    <n v="23.3"/>
    <n v="100"/>
    <n v="2.5"/>
    <n v="360.4"/>
    <n v="1.5"/>
    <n v="4000"/>
    <n v="7194.3"/>
    <n v="1"/>
    <n v="361.9"/>
    <n v="4361.8999999999996"/>
    <n v="14"/>
  </r>
  <r>
    <d v="2026-09-02T15:00:00"/>
    <x v="2"/>
    <n v="23.3"/>
    <n v="42.3"/>
    <n v="3.5"/>
    <n v="1034.0999999999999"/>
    <n v="4.0999999999999996"/>
    <n v="3944.3"/>
    <n v="4982.5"/>
    <n v="0"/>
    <n v="1038.1999999999998"/>
    <n v="4982.5"/>
    <n v="15"/>
  </r>
  <r>
    <d v="2026-09-02T16:00:00"/>
    <x v="2"/>
    <n v="23.4"/>
    <n v="43.6"/>
    <n v="8.5"/>
    <n v="812.5"/>
    <n v="59"/>
    <n v="3987.3"/>
    <n v="4858.8"/>
    <n v="0"/>
    <n v="871.5"/>
    <n v="4858.8"/>
    <n v="16"/>
  </r>
  <r>
    <d v="2026-09-02T17:00:00"/>
    <x v="2"/>
    <n v="23.7"/>
    <n v="96.5"/>
    <n v="4.5"/>
    <n v="197.6"/>
    <n v="8.5"/>
    <n v="4000"/>
    <n v="4784.3"/>
    <n v="1"/>
    <n v="206.1"/>
    <n v="4206.1000000000004"/>
    <n v="17"/>
  </r>
  <r>
    <d v="2026-09-02T18:00:00"/>
    <x v="2"/>
    <n v="21.5"/>
    <n v="95.4"/>
    <n v="6.6"/>
    <n v="105.4"/>
    <n v="27.4"/>
    <n v="4000"/>
    <n v="7592.3"/>
    <n v="1"/>
    <n v="132.80000000000001"/>
    <n v="4132.8"/>
    <n v="18"/>
  </r>
  <r>
    <d v="2026-09-02T19:00:00"/>
    <x v="2"/>
    <n v="21.7"/>
    <n v="26.9"/>
    <n v="8"/>
    <n v="0"/>
    <n v="50"/>
    <n v="4000"/>
    <n v="7620.3"/>
    <n v="1"/>
    <n v="50"/>
    <n v="4050"/>
    <n v="19"/>
  </r>
  <r>
    <d v="2026-09-02T20:00:00"/>
    <x v="2"/>
    <n v="18.899999999999999"/>
    <n v="34.799999999999997"/>
    <n v="3.3"/>
    <n v="0"/>
    <n v="3.6"/>
    <n v="4000"/>
    <n v="7761.3"/>
    <n v="1"/>
    <n v="3.6"/>
    <n v="4003.6"/>
    <n v="20"/>
  </r>
  <r>
    <d v="2026-09-02T21:00:00"/>
    <x v="2"/>
    <n v="20.9"/>
    <n v="40.9"/>
    <n v="7.4"/>
    <n v="0"/>
    <n v="38.5"/>
    <n v="4000"/>
    <n v="7780.2"/>
    <n v="1"/>
    <n v="38.5"/>
    <n v="4038.5"/>
    <n v="21"/>
  </r>
  <r>
    <d v="2026-09-02T22:00:00"/>
    <x v="2"/>
    <n v="16.5"/>
    <n v="59.1"/>
    <n v="3.3"/>
    <n v="0"/>
    <n v="3.4"/>
    <n v="4000"/>
    <n v="4636.8999999999996"/>
    <n v="1"/>
    <n v="3.4"/>
    <n v="4003.4"/>
    <n v="22"/>
  </r>
  <r>
    <d v="2026-09-02T23:00:00"/>
    <x v="2"/>
    <n v="15.8"/>
    <n v="68.8"/>
    <n v="5.4"/>
    <n v="0"/>
    <n v="15.4"/>
    <n v="4000"/>
    <n v="4809.5"/>
    <n v="1"/>
    <n v="15.4"/>
    <n v="4015.4"/>
    <n v="23"/>
  </r>
  <r>
    <d v="2026-09-03T00:00:00"/>
    <x v="2"/>
    <n v="12.8"/>
    <n v="41.8"/>
    <n v="7.4"/>
    <n v="0"/>
    <n v="38.5"/>
    <n v="4000"/>
    <n v="4614.3"/>
    <n v="1"/>
    <n v="38.5"/>
    <n v="4038.5"/>
    <n v="0"/>
  </r>
  <r>
    <d v="2026-09-03T01:00:00"/>
    <x v="2"/>
    <n v="16.2"/>
    <n v="44.2"/>
    <n v="10.199999999999999"/>
    <n v="0"/>
    <n v="100.8"/>
    <n v="4000"/>
    <n v="4537.8999999999996"/>
    <n v="1"/>
    <n v="100.8"/>
    <n v="4100.8"/>
    <n v="1"/>
  </r>
  <r>
    <d v="2026-09-03T02:00:00"/>
    <x v="2"/>
    <n v="18.399999999999999"/>
    <n v="64.2"/>
    <n v="0"/>
    <n v="0"/>
    <n v="0"/>
    <n v="4000"/>
    <n v="4892.2"/>
    <n v="1"/>
    <n v="0"/>
    <n v="4000"/>
    <n v="2"/>
  </r>
  <r>
    <d v="2026-09-03T03:00:00"/>
    <x v="2"/>
    <n v="18.899999999999999"/>
    <n v="75.2"/>
    <n v="17.8"/>
    <n v="0"/>
    <n v="539.5"/>
    <n v="4000"/>
    <n v="5065.2"/>
    <n v="1"/>
    <n v="539.5"/>
    <n v="4539.5"/>
    <n v="3"/>
  </r>
  <r>
    <d v="2026-09-03T04:00:00"/>
    <x v="2"/>
    <n v="22.9"/>
    <n v="51.4"/>
    <n v="6.9"/>
    <n v="0"/>
    <n v="31"/>
    <n v="4000"/>
    <n v="4637.3999999999996"/>
    <n v="1"/>
    <n v="31"/>
    <n v="4031"/>
    <n v="4"/>
  </r>
  <r>
    <d v="2026-09-03T05:00:00"/>
    <x v="2"/>
    <n v="19.899999999999999"/>
    <n v="42.9"/>
    <n v="7"/>
    <n v="0"/>
    <n v="32.799999999999997"/>
    <n v="4000"/>
    <n v="4943.2"/>
    <n v="1"/>
    <n v="32.799999999999997"/>
    <n v="4032.8"/>
    <n v="5"/>
  </r>
  <r>
    <d v="2026-09-03T06:00:00"/>
    <x v="2"/>
    <n v="23.5"/>
    <n v="47.5"/>
    <n v="2.6"/>
    <n v="275.89999999999998"/>
    <n v="1.7"/>
    <n v="4000"/>
    <n v="4722.3999999999996"/>
    <n v="1"/>
    <n v="277.59999999999997"/>
    <n v="4277.6000000000004"/>
    <n v="6"/>
  </r>
  <r>
    <d v="2026-09-03T07:00:00"/>
    <x v="2"/>
    <n v="25.8"/>
    <n v="43.9"/>
    <n v="7.1"/>
    <n v="562.70000000000005"/>
    <n v="34"/>
    <n v="4000"/>
    <n v="4882.5"/>
    <n v="1"/>
    <n v="596.70000000000005"/>
    <n v="4596.7"/>
    <n v="7"/>
  </r>
  <r>
    <d v="2026-09-03T08:00:00"/>
    <x v="2"/>
    <n v="26"/>
    <n v="80.599999999999994"/>
    <n v="11.5"/>
    <n v="443.3"/>
    <n v="147.80000000000001"/>
    <n v="4000"/>
    <n v="4840.3999999999996"/>
    <n v="1"/>
    <n v="591.1"/>
    <n v="4591.1000000000004"/>
    <n v="8"/>
  </r>
  <r>
    <d v="2026-09-03T09:00:00"/>
    <x v="2"/>
    <n v="26.9"/>
    <n v="62.9"/>
    <n v="9.9"/>
    <n v="776.3"/>
    <n v="92.8"/>
    <n v="4000"/>
    <n v="4923.7"/>
    <n v="1"/>
    <n v="869.09999999999991"/>
    <n v="4869.1000000000004"/>
    <n v="9"/>
  </r>
  <r>
    <d v="2026-09-03T10:00:00"/>
    <x v="2"/>
    <n v="27.8"/>
    <n v="54.2"/>
    <n v="5.8"/>
    <n v="1021.2"/>
    <n v="18.8"/>
    <n v="4000"/>
    <n v="7042.2"/>
    <n v="1"/>
    <n v="1040"/>
    <n v="5040"/>
    <n v="10"/>
  </r>
  <r>
    <d v="2026-09-03T11:00:00"/>
    <x v="2"/>
    <n v="27.3"/>
    <n v="56.5"/>
    <n v="6.6"/>
    <n v="1068.3"/>
    <n v="28.2"/>
    <n v="4000"/>
    <n v="7163.8"/>
    <n v="1"/>
    <n v="1096.5"/>
    <n v="5096.5"/>
    <n v="11"/>
  </r>
  <r>
    <d v="2026-09-03T12:00:00"/>
    <x v="2"/>
    <n v="29"/>
    <n v="86.1"/>
    <n v="4.5999999999999996"/>
    <n v="622.79999999999995"/>
    <n v="9.5"/>
    <n v="4000"/>
    <n v="7386.7"/>
    <n v="1"/>
    <n v="632.29999999999995"/>
    <n v="4632.3"/>
    <n v="12"/>
  </r>
  <r>
    <d v="2026-09-03T13:00:00"/>
    <x v="2"/>
    <n v="28.7"/>
    <n v="86.3"/>
    <n v="10.4"/>
    <n v="604"/>
    <n v="108.5"/>
    <n v="4000"/>
    <n v="7016.6"/>
    <n v="1"/>
    <n v="712.5"/>
    <n v="4712.5"/>
    <n v="13"/>
  </r>
  <r>
    <d v="2026-09-03T14:00:00"/>
    <x v="2"/>
    <n v="25.9"/>
    <n v="10.8"/>
    <n v="4.8"/>
    <n v="1646"/>
    <n v="10.8"/>
    <n v="4000"/>
    <n v="7059.4"/>
    <n v="1"/>
    <n v="1656.8"/>
    <n v="5656.8"/>
    <n v="14"/>
  </r>
  <r>
    <d v="2026-09-03T15:00:00"/>
    <x v="2"/>
    <n v="24.6"/>
    <n v="79.2"/>
    <n v="5.4"/>
    <n v="572.70000000000005"/>
    <n v="15.4"/>
    <n v="4000"/>
    <n v="5099.5"/>
    <n v="1"/>
    <n v="588.1"/>
    <n v="4588.1000000000004"/>
    <n v="15"/>
  </r>
  <r>
    <d v="2026-09-03T16:00:00"/>
    <x v="2"/>
    <n v="22.2"/>
    <n v="62.6"/>
    <n v="0"/>
    <n v="622.9"/>
    <n v="0"/>
    <n v="4000"/>
    <n v="4998.6000000000004"/>
    <n v="1"/>
    <n v="622.9"/>
    <n v="4622.8999999999996"/>
    <n v="16"/>
  </r>
  <r>
    <d v="2026-09-03T17:00:00"/>
    <x v="2"/>
    <n v="20"/>
    <n v="96.2"/>
    <n v="8.3000000000000007"/>
    <n v="200.1"/>
    <n v="55.5"/>
    <n v="4000"/>
    <n v="4922"/>
    <n v="1"/>
    <n v="255.6"/>
    <n v="4255.6000000000004"/>
    <n v="17"/>
  </r>
  <r>
    <d v="2026-09-03T18:00:00"/>
    <x v="2"/>
    <n v="25"/>
    <n v="31.5"/>
    <n v="11.2"/>
    <n v="332.8"/>
    <n v="136.4"/>
    <n v="4000"/>
    <n v="7770"/>
    <n v="1"/>
    <n v="469.20000000000005"/>
    <n v="4469.2"/>
    <n v="18"/>
  </r>
  <r>
    <d v="2026-09-03T19:00:00"/>
    <x v="2"/>
    <n v="20.2"/>
    <n v="94.1"/>
    <n v="2.7"/>
    <n v="0"/>
    <n v="1.9"/>
    <n v="4000"/>
    <n v="7839.8"/>
    <n v="1"/>
    <n v="1.9"/>
    <n v="4001.9"/>
    <n v="19"/>
  </r>
  <r>
    <d v="2026-09-03T20:00:00"/>
    <x v="2"/>
    <n v="18.3"/>
    <n v="44.1"/>
    <n v="2.8"/>
    <n v="0"/>
    <n v="2.2000000000000002"/>
    <n v="4000"/>
    <n v="7576.3"/>
    <n v="1"/>
    <n v="2.2000000000000002"/>
    <n v="4002.2"/>
    <n v="20"/>
  </r>
  <r>
    <d v="2026-09-03T21:00:00"/>
    <x v="2"/>
    <n v="17.899999999999999"/>
    <n v="70.599999999999994"/>
    <n v="4.3"/>
    <n v="0"/>
    <n v="7.6"/>
    <n v="4000"/>
    <n v="7883.5"/>
    <n v="1"/>
    <n v="7.6"/>
    <n v="4007.6"/>
    <n v="21"/>
  </r>
  <r>
    <d v="2026-09-03T22:00:00"/>
    <x v="2"/>
    <n v="18.2"/>
    <n v="2.6"/>
    <n v="5.8"/>
    <n v="0"/>
    <n v="18.7"/>
    <n v="4000"/>
    <n v="4676.8999999999996"/>
    <n v="1"/>
    <n v="18.7"/>
    <n v="4018.7"/>
    <n v="22"/>
  </r>
  <r>
    <d v="2026-09-03T23:00:00"/>
    <x v="2"/>
    <n v="21.1"/>
    <n v="87.3"/>
    <n v="6.3"/>
    <n v="0"/>
    <n v="24.2"/>
    <n v="4000"/>
    <n v="4744.8"/>
    <n v="1"/>
    <n v="24.2"/>
    <n v="4024.2"/>
    <n v="23"/>
  </r>
  <r>
    <d v="2026-09-04T00:00:00"/>
    <x v="2"/>
    <n v="15.3"/>
    <n v="76.3"/>
    <n v="6.6"/>
    <n v="0"/>
    <n v="27.6"/>
    <n v="4000"/>
    <n v="5139.6000000000004"/>
    <n v="1"/>
    <n v="27.6"/>
    <n v="4027.6"/>
    <n v="0"/>
  </r>
  <r>
    <d v="2026-09-04T01:00:00"/>
    <x v="2"/>
    <n v="19.7"/>
    <n v="82"/>
    <n v="6.9"/>
    <n v="0"/>
    <n v="31.1"/>
    <n v="4000"/>
    <n v="4989.6000000000004"/>
    <n v="1"/>
    <n v="31.1"/>
    <n v="4031.1"/>
    <n v="1"/>
  </r>
  <r>
    <d v="2026-09-04T02:00:00"/>
    <x v="2"/>
    <n v="15.7"/>
    <n v="56.3"/>
    <n v="6.3"/>
    <n v="0"/>
    <n v="23.8"/>
    <n v="4000"/>
    <n v="4701.8"/>
    <n v="1"/>
    <n v="23.8"/>
    <n v="4023.8"/>
    <n v="2"/>
  </r>
  <r>
    <d v="2026-09-04T03:00:00"/>
    <x v="2"/>
    <n v="23.3"/>
    <n v="100"/>
    <n v="7.8"/>
    <n v="0"/>
    <n v="45.7"/>
    <n v="4000"/>
    <n v="4780.5"/>
    <n v="1"/>
    <n v="45.7"/>
    <n v="4045.7"/>
    <n v="3"/>
  </r>
  <r>
    <d v="2026-09-04T04:00:00"/>
    <x v="2"/>
    <n v="19.100000000000001"/>
    <n v="31.4"/>
    <n v="6.2"/>
    <n v="0"/>
    <n v="23.2"/>
    <n v="4000"/>
    <n v="4960.8"/>
    <n v="1"/>
    <n v="23.2"/>
    <n v="4023.2"/>
    <n v="4"/>
  </r>
  <r>
    <d v="2026-09-04T05:00:00"/>
    <x v="2"/>
    <n v="18.2"/>
    <n v="70"/>
    <n v="5.5"/>
    <n v="0"/>
    <n v="16.3"/>
    <n v="4000"/>
    <n v="4988.7"/>
    <n v="1"/>
    <n v="16.3"/>
    <n v="4016.3"/>
    <n v="5"/>
  </r>
  <r>
    <d v="2026-09-04T06:00:00"/>
    <x v="2"/>
    <n v="20.3"/>
    <n v="47.6"/>
    <n v="11.7"/>
    <n v="275.60000000000002"/>
    <n v="152.30000000000001"/>
    <n v="4000"/>
    <n v="4663.8"/>
    <n v="1"/>
    <n v="427.90000000000003"/>
    <n v="4427.8999999999996"/>
    <n v="6"/>
  </r>
  <r>
    <d v="2026-09-04T07:00:00"/>
    <x v="2"/>
    <n v="20.6"/>
    <n v="74.599999999999994"/>
    <n v="1.4"/>
    <n v="350"/>
    <n v="0.2"/>
    <n v="4000"/>
    <n v="5033.5"/>
    <n v="1"/>
    <n v="350.2"/>
    <n v="4350.2"/>
    <n v="7"/>
  </r>
  <r>
    <d v="2026-09-04T08:00:00"/>
    <x v="2"/>
    <n v="23.6"/>
    <n v="57.2"/>
    <n v="10"/>
    <n v="676.5"/>
    <n v="95.4"/>
    <n v="4000"/>
    <n v="5112.3999999999996"/>
    <n v="1"/>
    <n v="771.9"/>
    <n v="4771.8999999999996"/>
    <n v="8"/>
  </r>
  <r>
    <d v="2026-09-04T09:00:00"/>
    <x v="2"/>
    <n v="22.7"/>
    <n v="42.5"/>
    <n v="9.1"/>
    <n v="1032.0999999999999"/>
    <n v="72.7"/>
    <n v="3652.1"/>
    <n v="4756.8999999999996"/>
    <n v="0"/>
    <n v="1104.8"/>
    <n v="4756.8999999999996"/>
    <n v="9"/>
  </r>
  <r>
    <d v="2026-09-04T10:00:00"/>
    <x v="2"/>
    <n v="20.7"/>
    <n v="46.5"/>
    <n v="7.7"/>
    <n v="1132.0999999999999"/>
    <n v="43.1"/>
    <n v="4000"/>
    <n v="6922.1"/>
    <n v="1"/>
    <n v="1175.1999999999998"/>
    <n v="5175.2"/>
    <n v="10"/>
  </r>
  <r>
    <d v="2026-09-04T11:00:00"/>
    <x v="2"/>
    <n v="25.9"/>
    <n v="47.7"/>
    <n v="9.5"/>
    <n v="1206.5"/>
    <n v="81.3"/>
    <n v="4000"/>
    <n v="7330"/>
    <n v="1"/>
    <n v="1287.8"/>
    <n v="5287.8"/>
    <n v="11"/>
  </r>
  <r>
    <d v="2026-09-04T12:00:00"/>
    <x v="2"/>
    <n v="26.2"/>
    <n v="65.7"/>
    <n v="7.3"/>
    <n v="948.6"/>
    <n v="38.1"/>
    <n v="4000"/>
    <n v="6869.5"/>
    <n v="1"/>
    <n v="986.7"/>
    <n v="4986.7"/>
    <n v="12"/>
  </r>
  <r>
    <d v="2026-09-04T13:00:00"/>
    <x v="2"/>
    <n v="26.9"/>
    <n v="0"/>
    <n v="4"/>
    <n v="1949.9"/>
    <n v="6.3"/>
    <n v="4000"/>
    <n v="7073.5"/>
    <n v="1"/>
    <n v="1956.2"/>
    <n v="5956.2"/>
    <n v="13"/>
  </r>
  <r>
    <d v="2026-09-04T14:00:00"/>
    <x v="2"/>
    <n v="24.4"/>
    <n v="61.8"/>
    <n v="7.3"/>
    <n v="911.5"/>
    <n v="38"/>
    <n v="4000"/>
    <n v="7218"/>
    <n v="1"/>
    <n v="949.5"/>
    <n v="4949.5"/>
    <n v="14"/>
  </r>
  <r>
    <d v="2026-09-04T15:00:00"/>
    <x v="2"/>
    <n v="25.9"/>
    <n v="31.1"/>
    <n v="5.4"/>
    <n v="1174.4000000000001"/>
    <n v="15"/>
    <n v="3709.2"/>
    <n v="4898.6000000000004"/>
    <n v="0"/>
    <n v="1189.4000000000001"/>
    <n v="4898.6000000000004"/>
    <n v="15"/>
  </r>
  <r>
    <d v="2026-09-04T16:00:00"/>
    <x v="2"/>
    <n v="24.8"/>
    <n v="42.4"/>
    <n v="6.7"/>
    <n v="824"/>
    <n v="28.5"/>
    <n v="4000"/>
    <n v="5041.5"/>
    <n v="1"/>
    <n v="852.5"/>
    <n v="4852.5"/>
    <n v="16"/>
  </r>
  <r>
    <d v="2026-09-04T17:00:00"/>
    <x v="2"/>
    <n v="19.2"/>
    <n v="94.8"/>
    <n v="5"/>
    <n v="209.8"/>
    <n v="11.9"/>
    <n v="4000"/>
    <n v="5057.2"/>
    <n v="1"/>
    <n v="221.70000000000002"/>
    <n v="4221.7"/>
    <n v="17"/>
  </r>
  <r>
    <d v="2026-09-04T18:00:00"/>
    <x v="2"/>
    <n v="24.4"/>
    <n v="18.8"/>
    <n v="3.9"/>
    <n v="377.9"/>
    <n v="5.6"/>
    <n v="4000"/>
    <n v="7763.8"/>
    <n v="1"/>
    <n v="383.5"/>
    <n v="4383.5"/>
    <n v="18"/>
  </r>
  <r>
    <d v="2026-09-04T19:00:00"/>
    <x v="2"/>
    <n v="19.100000000000001"/>
    <n v="100"/>
    <n v="3.4"/>
    <n v="0"/>
    <n v="3.9"/>
    <n v="4000"/>
    <n v="7656.7"/>
    <n v="1"/>
    <n v="3.9"/>
    <n v="4003.9"/>
    <n v="19"/>
  </r>
  <r>
    <d v="2026-09-04T20:00:00"/>
    <x v="2"/>
    <n v="19.899999999999999"/>
    <n v="23.9"/>
    <n v="4.8"/>
    <n v="0"/>
    <n v="10.7"/>
    <n v="4000"/>
    <n v="7616.7"/>
    <n v="1"/>
    <n v="10.7"/>
    <n v="4010.7"/>
    <n v="20"/>
  </r>
  <r>
    <d v="2026-09-04T21:00:00"/>
    <x v="2"/>
    <n v="17.8"/>
    <n v="57.2"/>
    <n v="4.4000000000000004"/>
    <n v="0"/>
    <n v="8.1999999999999993"/>
    <n v="4000"/>
    <n v="7747.6"/>
    <n v="1"/>
    <n v="8.1999999999999993"/>
    <n v="4008.2"/>
    <n v="21"/>
  </r>
  <r>
    <d v="2026-09-04T22:00:00"/>
    <x v="2"/>
    <n v="18.3"/>
    <n v="100"/>
    <n v="6.1"/>
    <n v="0"/>
    <n v="21.3"/>
    <n v="4000"/>
    <n v="4722.8"/>
    <n v="1"/>
    <n v="21.3"/>
    <n v="4021.3"/>
    <n v="22"/>
  </r>
  <r>
    <d v="2026-09-04T23:00:00"/>
    <x v="2"/>
    <n v="18.600000000000001"/>
    <n v="21.9"/>
    <n v="11.1"/>
    <n v="0"/>
    <n v="131.6"/>
    <n v="4000"/>
    <n v="4983.8"/>
    <n v="1"/>
    <n v="131.6"/>
    <n v="4131.6000000000004"/>
    <n v="23"/>
  </r>
  <r>
    <d v="2026-09-05T00:00:00"/>
    <x v="2"/>
    <n v="20.3"/>
    <n v="38"/>
    <n v="11.5"/>
    <n v="0"/>
    <n v="144.30000000000001"/>
    <n v="4000"/>
    <n v="4350.3"/>
    <n v="1"/>
    <n v="144.30000000000001"/>
    <n v="4144.3"/>
    <n v="0"/>
  </r>
  <r>
    <d v="2026-09-05T01:00:00"/>
    <x v="2"/>
    <n v="18.3"/>
    <n v="67"/>
    <n v="5.3"/>
    <n v="0"/>
    <n v="13.9"/>
    <n v="4000"/>
    <n v="4436.3"/>
    <n v="1"/>
    <n v="13.9"/>
    <n v="4013.9"/>
    <n v="1"/>
  </r>
  <r>
    <d v="2026-09-05T02:00:00"/>
    <x v="2"/>
    <n v="18"/>
    <n v="1"/>
    <n v="2.6"/>
    <n v="0"/>
    <n v="1.8"/>
    <n v="4000"/>
    <n v="4500.1000000000004"/>
    <n v="1"/>
    <n v="1.8"/>
    <n v="4001.8"/>
    <n v="2"/>
  </r>
  <r>
    <d v="2026-09-05T03:00:00"/>
    <x v="2"/>
    <n v="19.100000000000001"/>
    <n v="58.3"/>
    <n v="9.6999999999999993"/>
    <n v="0"/>
    <n v="86.5"/>
    <n v="4000"/>
    <n v="4292.1000000000004"/>
    <n v="1"/>
    <n v="86.5"/>
    <n v="4086.5"/>
    <n v="3"/>
  </r>
  <r>
    <d v="2026-09-05T04:00:00"/>
    <x v="2"/>
    <n v="19.8"/>
    <n v="5.5"/>
    <n v="8.3000000000000007"/>
    <n v="0"/>
    <n v="54.5"/>
    <n v="3972.8"/>
    <n v="4027.3"/>
    <n v="0"/>
    <n v="54.5"/>
    <n v="4027.3"/>
    <n v="4"/>
  </r>
  <r>
    <d v="2026-09-05T05:00:00"/>
    <x v="2"/>
    <n v="21.5"/>
    <n v="34.1"/>
    <n v="9.8000000000000007"/>
    <n v="0"/>
    <n v="91.4"/>
    <n v="4000"/>
    <n v="4305.8"/>
    <n v="1"/>
    <n v="91.4"/>
    <n v="4091.4"/>
    <n v="5"/>
  </r>
  <r>
    <d v="2026-09-05T06:00:00"/>
    <x v="2"/>
    <n v="23.2"/>
    <n v="56.1"/>
    <n v="7.7"/>
    <n v="245.3"/>
    <n v="44.5"/>
    <n v="4000"/>
    <n v="4476.3"/>
    <n v="1"/>
    <n v="289.8"/>
    <n v="4289.8"/>
    <n v="6"/>
  </r>
  <r>
    <d v="2026-09-05T07:00:00"/>
    <x v="2"/>
    <n v="25"/>
    <n v="100"/>
    <n v="9.1999999999999993"/>
    <n v="173.6"/>
    <n v="75"/>
    <n v="3965.4"/>
    <n v="4214"/>
    <n v="0"/>
    <n v="248.6"/>
    <n v="4214"/>
    <n v="7"/>
  </r>
  <r>
    <d v="2026-09-05T08:00:00"/>
    <x v="2"/>
    <n v="25.2"/>
    <n v="21.2"/>
    <n v="7.7"/>
    <n v="1035.4000000000001"/>
    <n v="44.1"/>
    <n v="3131.1"/>
    <n v="4210.6000000000004"/>
    <n v="0"/>
    <n v="1079.5"/>
    <n v="4210.6000000000004"/>
    <n v="8"/>
  </r>
  <r>
    <d v="2026-09-05T09:00:00"/>
    <x v="2"/>
    <n v="21.8"/>
    <n v="25.1"/>
    <n v="5.2"/>
    <n v="1249.0999999999999"/>
    <n v="13.1"/>
    <n v="3125.4"/>
    <n v="4387.6000000000004"/>
    <n v="0"/>
    <n v="1262.1999999999998"/>
    <n v="4387.6000000000004"/>
    <n v="9"/>
  </r>
  <r>
    <d v="2026-09-05T10:00:00"/>
    <x v="2"/>
    <n v="23.9"/>
    <n v="71.7"/>
    <n v="6.8"/>
    <n v="768.8"/>
    <n v="29.6"/>
    <n v="4000"/>
    <n v="6194.9"/>
    <n v="1"/>
    <n v="798.4"/>
    <n v="4798.3999999999996"/>
    <n v="10"/>
  </r>
  <r>
    <d v="2026-09-05T11:00:00"/>
    <x v="2"/>
    <n v="25.3"/>
    <n v="91.5"/>
    <n v="11"/>
    <n v="523.20000000000005"/>
    <n v="126.6"/>
    <n v="4000"/>
    <n v="6210.9"/>
    <n v="1"/>
    <n v="649.80000000000007"/>
    <n v="4649.8"/>
    <n v="11"/>
  </r>
  <r>
    <d v="2026-09-05T12:00:00"/>
    <x v="2"/>
    <n v="25.8"/>
    <n v="74.7"/>
    <n v="4.9000000000000004"/>
    <n v="804.2"/>
    <n v="11.5"/>
    <n v="4000"/>
    <n v="6167.5"/>
    <n v="1"/>
    <n v="815.7"/>
    <n v="4815.7"/>
    <n v="12"/>
  </r>
  <r>
    <d v="2026-09-05T13:00:00"/>
    <x v="2"/>
    <n v="28.3"/>
    <n v="2.7"/>
    <n v="10"/>
    <n v="1907.4"/>
    <n v="94.7"/>
    <n v="4000"/>
    <n v="6219.1"/>
    <n v="1"/>
    <n v="2002.1000000000001"/>
    <n v="6002.1"/>
    <n v="13"/>
  </r>
  <r>
    <d v="2026-09-05T14:00:00"/>
    <x v="2"/>
    <n v="25.5"/>
    <n v="57.3"/>
    <n v="5.9"/>
    <n v="975.6"/>
    <n v="19.600000000000001"/>
    <n v="4000"/>
    <n v="6250.9"/>
    <n v="1"/>
    <n v="995.2"/>
    <n v="4995.2"/>
    <n v="14"/>
  </r>
  <r>
    <d v="2026-09-05T15:00:00"/>
    <x v="2"/>
    <n v="28.5"/>
    <n v="61.2"/>
    <n v="7.3"/>
    <n v="797.6"/>
    <n v="37.799999999999997"/>
    <n v="3224.9"/>
    <n v="4060.3"/>
    <n v="0"/>
    <n v="835.4"/>
    <n v="4060.3"/>
    <n v="15"/>
  </r>
  <r>
    <d v="2026-09-05T16:00:00"/>
    <x v="2"/>
    <n v="22.5"/>
    <n v="74.2"/>
    <n v="5.2"/>
    <n v="506.7"/>
    <n v="13.5"/>
    <n v="3942.5"/>
    <n v="4462.7"/>
    <n v="0"/>
    <n v="520.20000000000005"/>
    <n v="4462.7"/>
    <n v="16"/>
  </r>
  <r>
    <d v="2026-09-05T17:00:00"/>
    <x v="2"/>
    <n v="19"/>
    <n v="57"/>
    <n v="4.2"/>
    <n v="471.9"/>
    <n v="7.1"/>
    <n v="3968"/>
    <n v="4447"/>
    <n v="0"/>
    <n v="479"/>
    <n v="4447"/>
    <n v="17"/>
  </r>
  <r>
    <d v="2026-09-05T18:00:00"/>
    <x v="2"/>
    <n v="22.9"/>
    <n v="38.799999999999997"/>
    <n v="3.9"/>
    <n v="307"/>
    <n v="5.5"/>
    <n v="4000"/>
    <n v="6784.8"/>
    <n v="1"/>
    <n v="312.5"/>
    <n v="4312.5"/>
    <n v="18"/>
  </r>
  <r>
    <d v="2026-09-05T19:00:00"/>
    <x v="2"/>
    <n v="18.899999999999999"/>
    <n v="85.3"/>
    <n v="4.9000000000000004"/>
    <n v="0"/>
    <n v="11.2"/>
    <n v="4000"/>
    <n v="6703.4"/>
    <n v="1"/>
    <n v="11.2"/>
    <n v="4011.2"/>
    <n v="19"/>
  </r>
  <r>
    <d v="2026-09-05T20:00:00"/>
    <x v="2"/>
    <n v="18.8"/>
    <n v="28.8"/>
    <n v="1.1000000000000001"/>
    <n v="0"/>
    <n v="0.1"/>
    <n v="4000"/>
    <n v="6284"/>
    <n v="1"/>
    <n v="0.1"/>
    <n v="4000.1"/>
    <n v="20"/>
  </r>
  <r>
    <d v="2026-09-05T21:00:00"/>
    <x v="2"/>
    <n v="18.7"/>
    <n v="99.9"/>
    <n v="6.9"/>
    <n v="0"/>
    <n v="32.1"/>
    <n v="4000"/>
    <n v="6534.4"/>
    <n v="1"/>
    <n v="32.1"/>
    <n v="4032.1"/>
    <n v="21"/>
  </r>
  <r>
    <d v="2026-09-05T22:00:00"/>
    <x v="2"/>
    <n v="18.600000000000001"/>
    <n v="46.2"/>
    <n v="3.9"/>
    <n v="0"/>
    <n v="5.8"/>
    <n v="4000"/>
    <n v="4229"/>
    <n v="1"/>
    <n v="5.8"/>
    <n v="4005.8"/>
    <n v="22"/>
  </r>
  <r>
    <d v="2026-09-05T23:00:00"/>
    <x v="2"/>
    <n v="13.7"/>
    <n v="48.3"/>
    <n v="6.5"/>
    <n v="0"/>
    <n v="26.1"/>
    <n v="4000"/>
    <n v="4146.8"/>
    <n v="1"/>
    <n v="26.1"/>
    <n v="4026.1"/>
    <n v="23"/>
  </r>
  <r>
    <d v="2026-09-06T00:00:00"/>
    <x v="2"/>
    <n v="16.2"/>
    <n v="31.6"/>
    <n v="7.8"/>
    <n v="0"/>
    <n v="46"/>
    <n v="4000"/>
    <n v="4305.5"/>
    <n v="1"/>
    <n v="46"/>
    <n v="4046"/>
    <n v="0"/>
  </r>
  <r>
    <d v="2026-09-06T01:00:00"/>
    <x v="2"/>
    <n v="18.7"/>
    <n v="29.9"/>
    <n v="3.7"/>
    <n v="0"/>
    <n v="5"/>
    <n v="4000"/>
    <n v="4122.3999999999996"/>
    <n v="1"/>
    <n v="5"/>
    <n v="4005"/>
    <n v="1"/>
  </r>
  <r>
    <d v="2026-09-06T02:00:00"/>
    <x v="2"/>
    <n v="16.7"/>
    <n v="89.3"/>
    <n v="7.5"/>
    <n v="0"/>
    <n v="41.3"/>
    <n v="4000"/>
    <n v="4100"/>
    <n v="1"/>
    <n v="41.3"/>
    <n v="4041.3"/>
    <n v="2"/>
  </r>
  <r>
    <d v="2026-09-06T03:00:00"/>
    <x v="2"/>
    <n v="19.5"/>
    <n v="26.9"/>
    <n v="5"/>
    <n v="0"/>
    <n v="12.1"/>
    <n v="4000"/>
    <n v="4466.8"/>
    <n v="1"/>
    <n v="12.1"/>
    <n v="4012.1"/>
    <n v="3"/>
  </r>
  <r>
    <d v="2026-09-06T04:00:00"/>
    <x v="2"/>
    <n v="22.2"/>
    <n v="24.1"/>
    <n v="8.6999999999999993"/>
    <n v="0"/>
    <n v="62.8"/>
    <n v="4000"/>
    <n v="4203"/>
    <n v="1"/>
    <n v="62.8"/>
    <n v="4062.8"/>
    <n v="4"/>
  </r>
  <r>
    <d v="2026-09-06T05:00:00"/>
    <x v="2"/>
    <n v="24.4"/>
    <n v="47.7"/>
    <n v="8.1"/>
    <n v="0"/>
    <n v="51.7"/>
    <n v="4000"/>
    <n v="4453.8999999999996"/>
    <n v="1"/>
    <n v="51.7"/>
    <n v="4051.7"/>
    <n v="5"/>
  </r>
  <r>
    <d v="2026-09-06T06:00:00"/>
    <x v="2"/>
    <n v="20.8"/>
    <n v="13.9"/>
    <n v="0.4"/>
    <n v="395.4"/>
    <n v="0"/>
    <n v="4000"/>
    <n v="4662.2"/>
    <n v="1"/>
    <n v="395.4"/>
    <n v="4395.3999999999996"/>
    <n v="6"/>
  </r>
  <r>
    <d v="2026-09-06T07:00:00"/>
    <x v="2"/>
    <n v="19.5"/>
    <n v="48.8"/>
    <n v="7.3"/>
    <n v="528.79999999999995"/>
    <n v="37.5"/>
    <n v="3860.6"/>
    <n v="4426.8999999999996"/>
    <n v="0"/>
    <n v="566.29999999999995"/>
    <n v="4426.8999999999996"/>
    <n v="7"/>
  </r>
  <r>
    <d v="2026-09-06T08:00:00"/>
    <x v="2"/>
    <n v="25.4"/>
    <n v="66.7"/>
    <n v="9.8000000000000007"/>
    <n v="581.9"/>
    <n v="91.4"/>
    <n v="3674.5"/>
    <n v="4347.8"/>
    <n v="0"/>
    <n v="673.3"/>
    <n v="4347.8"/>
    <n v="8"/>
  </r>
  <r>
    <d v="2026-09-06T09:00:00"/>
    <x v="2"/>
    <n v="24.2"/>
    <n v="36.799999999999997"/>
    <n v="8.5"/>
    <n v="1103.0999999999999"/>
    <n v="58.8"/>
    <n v="3015.3"/>
    <n v="4177.2"/>
    <n v="0"/>
    <n v="1161.8999999999999"/>
    <n v="4177.2"/>
    <n v="9"/>
  </r>
  <r>
    <d v="2026-09-06T10:00:00"/>
    <x v="2"/>
    <n v="27.2"/>
    <n v="95.5"/>
    <n v="2.5"/>
    <n v="425.2"/>
    <n v="1.4"/>
    <n v="4000"/>
    <n v="6375.1"/>
    <n v="1"/>
    <n v="426.59999999999997"/>
    <n v="4426.6000000000004"/>
    <n v="10"/>
  </r>
  <r>
    <d v="2026-09-06T11:00:00"/>
    <x v="2"/>
    <n v="29.9"/>
    <n v="82.1"/>
    <n v="11.3"/>
    <n v="669.7"/>
    <n v="140.19999999999999"/>
    <n v="4000"/>
    <n v="6490.1"/>
    <n v="1"/>
    <n v="809.90000000000009"/>
    <n v="4809.8999999999996"/>
    <n v="11"/>
  </r>
  <r>
    <d v="2026-09-06T12:00:00"/>
    <x v="2"/>
    <n v="26"/>
    <n v="37.9"/>
    <n v="8.1999999999999993"/>
    <n v="1392.9"/>
    <n v="52.2"/>
    <n v="4000"/>
    <n v="5991.5"/>
    <n v="1"/>
    <n v="1445.1000000000001"/>
    <n v="5445.1"/>
    <n v="12"/>
  </r>
  <r>
    <d v="2026-09-06T13:00:00"/>
    <x v="2"/>
    <n v="28.3"/>
    <n v="100"/>
    <n v="8.1"/>
    <n v="390"/>
    <n v="50.7"/>
    <n v="4000"/>
    <n v="6082.5"/>
    <n v="1"/>
    <n v="440.7"/>
    <n v="4440.7"/>
    <n v="13"/>
  </r>
  <r>
    <d v="2026-09-06T14:00:00"/>
    <x v="2"/>
    <n v="24.4"/>
    <n v="34.6"/>
    <n v="9.6999999999999993"/>
    <n v="1303.2"/>
    <n v="88.9"/>
    <n v="4000"/>
    <n v="6282.6"/>
    <n v="1"/>
    <n v="1392.1000000000001"/>
    <n v="5392.1"/>
    <n v="14"/>
  </r>
  <r>
    <d v="2026-09-06T15:00:00"/>
    <x v="2"/>
    <n v="25.5"/>
    <n v="47.5"/>
    <n v="0"/>
    <n v="969.9"/>
    <n v="0"/>
    <n v="3467"/>
    <n v="4436.8999999999996"/>
    <n v="0"/>
    <n v="969.9"/>
    <n v="4436.8999999999996"/>
    <n v="15"/>
  </r>
  <r>
    <d v="2026-09-06T16:00:00"/>
    <x v="2"/>
    <n v="28.3"/>
    <n v="21.6"/>
    <n v="6.6"/>
    <n v="1031.5999999999999"/>
    <n v="27.2"/>
    <n v="3100.6"/>
    <n v="4159.3999999999996"/>
    <n v="0"/>
    <n v="1058.8"/>
    <n v="4159.3999999999996"/>
    <n v="16"/>
  </r>
  <r>
    <d v="2026-09-06T17:00:00"/>
    <x v="2"/>
    <n v="20.8"/>
    <n v="65.5"/>
    <n v="8.8000000000000007"/>
    <n v="412.8"/>
    <n v="65.7"/>
    <n v="3992.6"/>
    <n v="4471.1000000000004"/>
    <n v="0"/>
    <n v="478.5"/>
    <n v="4471.1000000000004"/>
    <n v="17"/>
  </r>
  <r>
    <d v="2026-09-06T18:00:00"/>
    <x v="2"/>
    <n v="27.7"/>
    <n v="9.9"/>
    <n v="9.1999999999999993"/>
    <n v="409.6"/>
    <n v="74.2"/>
    <n v="4000"/>
    <n v="6721.9"/>
    <n v="1"/>
    <n v="483.8"/>
    <n v="4483.8"/>
    <n v="18"/>
  </r>
  <r>
    <d v="2026-09-06T19:00:00"/>
    <x v="2"/>
    <n v="22.2"/>
    <n v="73.2"/>
    <n v="3.8"/>
    <n v="0"/>
    <n v="5.3"/>
    <n v="4000"/>
    <n v="6694.1"/>
    <n v="1"/>
    <n v="5.3"/>
    <n v="4005.3"/>
    <n v="19"/>
  </r>
  <r>
    <d v="2026-09-06T20:00:00"/>
    <x v="2"/>
    <n v="15.8"/>
    <n v="78.099999999999994"/>
    <n v="6.9"/>
    <n v="0"/>
    <n v="31.5"/>
    <n v="4000"/>
    <n v="6754.3"/>
    <n v="1"/>
    <n v="31.5"/>
    <n v="4031.5"/>
    <n v="20"/>
  </r>
  <r>
    <d v="2026-09-06T21:00:00"/>
    <x v="2"/>
    <n v="20.6"/>
    <n v="71"/>
    <n v="6.4"/>
    <n v="0"/>
    <n v="25.7"/>
    <n v="4000"/>
    <n v="6815.8"/>
    <n v="1"/>
    <n v="25.7"/>
    <n v="4025.7"/>
    <n v="21"/>
  </r>
  <r>
    <d v="2026-09-06T22:00:00"/>
    <x v="2"/>
    <n v="16.2"/>
    <n v="95.6"/>
    <n v="10.3"/>
    <n v="0"/>
    <n v="105.2"/>
    <n v="4000"/>
    <n v="4187.8"/>
    <n v="1"/>
    <n v="105.2"/>
    <n v="4105.2"/>
    <n v="22"/>
  </r>
  <r>
    <d v="2026-09-06T23:00:00"/>
    <x v="2"/>
    <n v="17.3"/>
    <n v="32.9"/>
    <n v="9.5"/>
    <n v="0"/>
    <n v="82.8"/>
    <n v="4000"/>
    <n v="4284.3"/>
    <n v="1"/>
    <n v="82.8"/>
    <n v="4082.8"/>
    <n v="23"/>
  </r>
  <r>
    <d v="2026-09-07T00:00:00"/>
    <x v="2"/>
    <n v="20.9"/>
    <n v="33.700000000000003"/>
    <n v="4.9000000000000004"/>
    <n v="0"/>
    <n v="11.1"/>
    <n v="4000"/>
    <n v="5049.8"/>
    <n v="1"/>
    <n v="11.1"/>
    <n v="4011.1"/>
    <n v="0"/>
  </r>
  <r>
    <d v="2026-09-07T01:00:00"/>
    <x v="2"/>
    <n v="18.5"/>
    <n v="53.5"/>
    <n v="3.4"/>
    <n v="0"/>
    <n v="3.7"/>
    <n v="4000"/>
    <n v="4984.7"/>
    <n v="1"/>
    <n v="3.7"/>
    <n v="4003.7"/>
    <n v="1"/>
  </r>
  <r>
    <d v="2026-09-07T02:00:00"/>
    <x v="2"/>
    <n v="19.100000000000001"/>
    <n v="32.5"/>
    <n v="10.1"/>
    <n v="0"/>
    <n v="97.9"/>
    <n v="4000"/>
    <n v="5082.2"/>
    <n v="1"/>
    <n v="97.9"/>
    <n v="4097.8999999999996"/>
    <n v="2"/>
  </r>
  <r>
    <d v="2026-09-07T03:00:00"/>
    <x v="2"/>
    <n v="18.7"/>
    <n v="62.4"/>
    <n v="7.7"/>
    <n v="0"/>
    <n v="43.2"/>
    <n v="4000"/>
    <n v="5125.5"/>
    <n v="1"/>
    <n v="43.2"/>
    <n v="4043.2"/>
    <n v="3"/>
  </r>
  <r>
    <d v="2026-09-07T04:00:00"/>
    <x v="2"/>
    <n v="19.600000000000001"/>
    <n v="0"/>
    <n v="8.6"/>
    <n v="0"/>
    <n v="61.7"/>
    <n v="4000"/>
    <n v="4820.7"/>
    <n v="1"/>
    <n v="61.7"/>
    <n v="4061.7"/>
    <n v="4"/>
  </r>
  <r>
    <d v="2026-09-07T05:00:00"/>
    <x v="2"/>
    <n v="23.7"/>
    <n v="50.1"/>
    <n v="5.4"/>
    <n v="0"/>
    <n v="14.8"/>
    <n v="4000"/>
    <n v="4715.8"/>
    <n v="1"/>
    <n v="14.8"/>
    <n v="4014.8"/>
    <n v="5"/>
  </r>
  <r>
    <d v="2026-09-07T06:00:00"/>
    <x v="2"/>
    <n v="21.4"/>
    <n v="100"/>
    <n v="0"/>
    <n v="89"/>
    <n v="0"/>
    <n v="4000"/>
    <n v="4855.8"/>
    <n v="1"/>
    <n v="89"/>
    <n v="4089"/>
    <n v="6"/>
  </r>
  <r>
    <d v="2026-09-07T07:00:00"/>
    <x v="2"/>
    <n v="24"/>
    <n v="23.8"/>
    <n v="2.8"/>
    <n v="702.6"/>
    <n v="2"/>
    <n v="4000"/>
    <n v="5141.5"/>
    <n v="1"/>
    <n v="704.6"/>
    <n v="4704.6000000000004"/>
    <n v="7"/>
  </r>
  <r>
    <d v="2026-09-07T08:00:00"/>
    <x v="2"/>
    <n v="22.6"/>
    <n v="25.4"/>
    <n v="9.4"/>
    <n v="993.6"/>
    <n v="80"/>
    <n v="4000"/>
    <n v="5201.5"/>
    <n v="1"/>
    <n v="1073.5999999999999"/>
    <n v="5073.6000000000004"/>
    <n v="8"/>
  </r>
  <r>
    <d v="2026-09-07T09:00:00"/>
    <x v="2"/>
    <n v="23.7"/>
    <n v="66.5"/>
    <n v="2.9"/>
    <n v="731.8"/>
    <n v="2.4"/>
    <n v="4000"/>
    <n v="5000.8"/>
    <n v="1"/>
    <n v="734.19999999999993"/>
    <n v="4734.2"/>
    <n v="9"/>
  </r>
  <r>
    <d v="2026-09-07T10:00:00"/>
    <x v="2"/>
    <n v="28.5"/>
    <n v="76"/>
    <n v="7.1"/>
    <n v="706.9"/>
    <n v="34.1"/>
    <n v="4000"/>
    <n v="7315.1"/>
    <n v="1"/>
    <n v="741"/>
    <n v="4741"/>
    <n v="10"/>
  </r>
  <r>
    <d v="2026-09-07T11:00:00"/>
    <x v="2"/>
    <n v="26.8"/>
    <n v="24.5"/>
    <n v="7.3"/>
    <n v="1567"/>
    <n v="38.1"/>
    <n v="4000"/>
    <n v="7414.2"/>
    <n v="1"/>
    <n v="1605.1"/>
    <n v="5605.1"/>
    <n v="11"/>
  </r>
  <r>
    <d v="2026-09-07T12:00:00"/>
    <x v="2"/>
    <n v="25"/>
    <n v="49.2"/>
    <n v="7.2"/>
    <n v="1213.5"/>
    <n v="36.6"/>
    <n v="4000"/>
    <n v="7462.9"/>
    <n v="1"/>
    <n v="1250.0999999999999"/>
    <n v="5250.1"/>
    <n v="12"/>
  </r>
  <r>
    <d v="2026-09-07T13:00:00"/>
    <x v="2"/>
    <n v="24.9"/>
    <n v="93.7"/>
    <n v="13"/>
    <n v="488.9"/>
    <n v="209"/>
    <n v="4000"/>
    <n v="7141.9"/>
    <n v="1"/>
    <n v="697.9"/>
    <n v="4697.8999999999996"/>
    <n v="13"/>
  </r>
  <r>
    <d v="2026-09-07T14:00:00"/>
    <x v="2"/>
    <n v="24.5"/>
    <n v="13.5"/>
    <n v="6.8"/>
    <n v="1606.9"/>
    <n v="29.8"/>
    <n v="4000"/>
    <n v="7179.4"/>
    <n v="1"/>
    <n v="1636.7"/>
    <n v="5636.7"/>
    <n v="14"/>
  </r>
  <r>
    <d v="2026-09-07T15:00:00"/>
    <x v="2"/>
    <n v="26.5"/>
    <n v="59.9"/>
    <n v="4.2"/>
    <n v="814"/>
    <n v="7.3"/>
    <n v="4000"/>
    <n v="5115.6000000000004"/>
    <n v="1"/>
    <n v="821.3"/>
    <n v="4821.3"/>
    <n v="15"/>
  </r>
  <r>
    <d v="2026-09-07T16:00:00"/>
    <x v="2"/>
    <n v="26.2"/>
    <n v="87.4"/>
    <n v="1.4"/>
    <n v="375"/>
    <n v="0.2"/>
    <n v="4000"/>
    <n v="4786.2"/>
    <n v="1"/>
    <n v="375.2"/>
    <n v="4375.2"/>
    <n v="16"/>
  </r>
  <r>
    <d v="2026-09-07T17:00:00"/>
    <x v="2"/>
    <n v="24.4"/>
    <n v="100"/>
    <n v="2"/>
    <n v="173.6"/>
    <n v="0.7"/>
    <n v="4000"/>
    <n v="5188.5"/>
    <n v="1"/>
    <n v="174.29999999999998"/>
    <n v="4174.3"/>
    <n v="17"/>
  </r>
  <r>
    <d v="2026-09-07T18:00:00"/>
    <x v="2"/>
    <n v="21.7"/>
    <n v="75.099999999999994"/>
    <n v="11.4"/>
    <n v="177.7"/>
    <n v="141.80000000000001"/>
    <n v="4000"/>
    <n v="7495.1"/>
    <n v="1"/>
    <n v="319.5"/>
    <n v="4319.5"/>
    <n v="18"/>
  </r>
  <r>
    <d v="2026-09-07T19:00:00"/>
    <x v="2"/>
    <n v="20.2"/>
    <n v="29.2"/>
    <n v="9.6999999999999993"/>
    <n v="0"/>
    <n v="87.3"/>
    <n v="4000"/>
    <n v="7805.9"/>
    <n v="1"/>
    <n v="87.3"/>
    <n v="4087.3"/>
    <n v="19"/>
  </r>
  <r>
    <d v="2026-09-07T20:00:00"/>
    <x v="2"/>
    <n v="22.8"/>
    <n v="51.5"/>
    <n v="10.8"/>
    <n v="0"/>
    <n v="120"/>
    <n v="4000"/>
    <n v="7555.3"/>
    <n v="1"/>
    <n v="120"/>
    <n v="4120"/>
    <n v="20"/>
  </r>
  <r>
    <d v="2026-09-07T21:00:00"/>
    <x v="2"/>
    <n v="18.2"/>
    <n v="44.4"/>
    <n v="5"/>
    <n v="0"/>
    <n v="11.8"/>
    <n v="4000"/>
    <n v="7801.8"/>
    <n v="1"/>
    <n v="11.8"/>
    <n v="4011.8"/>
    <n v="21"/>
  </r>
  <r>
    <d v="2026-09-07T22:00:00"/>
    <x v="2"/>
    <n v="17.8"/>
    <n v="42.2"/>
    <n v="5.5"/>
    <n v="0"/>
    <n v="16"/>
    <n v="4000"/>
    <n v="5014.2"/>
    <n v="1"/>
    <n v="16"/>
    <n v="4016"/>
    <n v="22"/>
  </r>
  <r>
    <d v="2026-09-07T23:00:00"/>
    <x v="2"/>
    <n v="12.9"/>
    <n v="73.7"/>
    <n v="3.1"/>
    <n v="0"/>
    <n v="2.8"/>
    <n v="4000"/>
    <n v="4961.8"/>
    <n v="1"/>
    <n v="2.8"/>
    <n v="4002.8"/>
    <n v="23"/>
  </r>
  <r>
    <d v="2026-09-08T00:00:00"/>
    <x v="2"/>
    <n v="13.6"/>
    <n v="6.2"/>
    <n v="1.9"/>
    <n v="0"/>
    <n v="0.7"/>
    <n v="4000"/>
    <n v="4777"/>
    <n v="1"/>
    <n v="0.7"/>
    <n v="4000.7"/>
    <n v="0"/>
  </r>
  <r>
    <d v="2026-09-08T01:00:00"/>
    <x v="2"/>
    <n v="21.1"/>
    <n v="44.2"/>
    <n v="6.5"/>
    <n v="0"/>
    <n v="26.8"/>
    <n v="4000"/>
    <n v="4843.6000000000004"/>
    <n v="1"/>
    <n v="26.8"/>
    <n v="4026.8"/>
    <n v="1"/>
  </r>
  <r>
    <d v="2026-09-08T02:00:00"/>
    <x v="2"/>
    <n v="17.899999999999999"/>
    <n v="57.7"/>
    <n v="2.4"/>
    <n v="0"/>
    <n v="1.4"/>
    <n v="4000"/>
    <n v="5010.1000000000004"/>
    <n v="1"/>
    <n v="1.4"/>
    <n v="4001.4"/>
    <n v="2"/>
  </r>
  <r>
    <d v="2026-09-08T03:00:00"/>
    <x v="2"/>
    <n v="22.1"/>
    <n v="9.5"/>
    <n v="2.9"/>
    <n v="0"/>
    <n v="2.4"/>
    <n v="4000"/>
    <n v="5167.6000000000004"/>
    <n v="1"/>
    <n v="2.4"/>
    <n v="4002.4"/>
    <n v="3"/>
  </r>
  <r>
    <d v="2026-09-08T04:00:00"/>
    <x v="2"/>
    <n v="17.600000000000001"/>
    <n v="75.2"/>
    <n v="3.8"/>
    <n v="0"/>
    <n v="5.3"/>
    <n v="4000"/>
    <n v="4908"/>
    <n v="1"/>
    <n v="5.3"/>
    <n v="4005.3"/>
    <n v="4"/>
  </r>
  <r>
    <d v="2026-09-08T05:00:00"/>
    <x v="2"/>
    <n v="23.1"/>
    <n v="66.400000000000006"/>
    <n v="9.1"/>
    <n v="0"/>
    <n v="71.900000000000006"/>
    <n v="4000"/>
    <n v="5274.8"/>
    <n v="1"/>
    <n v="71.900000000000006"/>
    <n v="4071.9"/>
    <n v="5"/>
  </r>
  <r>
    <d v="2026-09-08T06:00:00"/>
    <x v="2"/>
    <n v="20.9"/>
    <n v="35.5"/>
    <n v="6.2"/>
    <n v="318.60000000000002"/>
    <n v="23.3"/>
    <n v="4000"/>
    <n v="5115.8999999999996"/>
    <n v="1"/>
    <n v="341.90000000000003"/>
    <n v="4341.8999999999996"/>
    <n v="6"/>
  </r>
  <r>
    <d v="2026-09-08T07:00:00"/>
    <x v="2"/>
    <n v="23.6"/>
    <n v="12.7"/>
    <n v="3.6"/>
    <n v="779.7"/>
    <n v="4.4000000000000004"/>
    <n v="4000"/>
    <n v="5079.2"/>
    <n v="1"/>
    <n v="784.1"/>
    <n v="4784.1000000000004"/>
    <n v="7"/>
  </r>
  <r>
    <d v="2026-09-08T08:00:00"/>
    <x v="2"/>
    <n v="24.3"/>
    <n v="100"/>
    <n v="1.8"/>
    <n v="249.4"/>
    <n v="0.6"/>
    <n v="4000"/>
    <n v="4938.8999999999996"/>
    <n v="1"/>
    <n v="250"/>
    <n v="4250"/>
    <n v="8"/>
  </r>
  <r>
    <d v="2026-09-08T09:00:00"/>
    <x v="2"/>
    <n v="28.5"/>
    <n v="100"/>
    <n v="4.8"/>
    <n v="312.7"/>
    <n v="10.5"/>
    <n v="4000"/>
    <n v="5025.8"/>
    <n v="1"/>
    <n v="323.2"/>
    <n v="4323.2"/>
    <n v="9"/>
  </r>
  <r>
    <d v="2026-09-08T10:00:00"/>
    <x v="2"/>
    <n v="27.5"/>
    <n v="65.900000000000006"/>
    <n v="5.7"/>
    <n v="852.5"/>
    <n v="17.8"/>
    <n v="4000"/>
    <n v="7223.7"/>
    <n v="1"/>
    <n v="870.3"/>
    <n v="4870.3"/>
    <n v="10"/>
  </r>
  <r>
    <d v="2026-09-08T11:00:00"/>
    <x v="2"/>
    <n v="21.8"/>
    <n v="80.5"/>
    <n v="6.4"/>
    <n v="694.7"/>
    <n v="24.9"/>
    <n v="4000"/>
    <n v="7215.4"/>
    <n v="1"/>
    <n v="719.6"/>
    <n v="4719.6000000000004"/>
    <n v="11"/>
  </r>
  <r>
    <d v="2026-09-08T12:00:00"/>
    <x v="2"/>
    <n v="31.1"/>
    <n v="39.799999999999997"/>
    <n v="4.8"/>
    <n v="1364"/>
    <n v="10.6"/>
    <n v="4000"/>
    <n v="7116.6"/>
    <n v="1"/>
    <n v="1374.6"/>
    <n v="5374.6"/>
    <n v="12"/>
  </r>
  <r>
    <d v="2026-09-08T13:00:00"/>
    <x v="2"/>
    <n v="25.2"/>
    <n v="43.5"/>
    <n v="5.6"/>
    <n v="1271.4000000000001"/>
    <n v="16.5"/>
    <n v="4000"/>
    <n v="7448.7"/>
    <n v="1"/>
    <n v="1287.9000000000001"/>
    <n v="5287.9"/>
    <n v="13"/>
  </r>
  <r>
    <d v="2026-09-08T14:00:00"/>
    <x v="2"/>
    <n v="26.7"/>
    <n v="21.2"/>
    <n v="4.4000000000000004"/>
    <n v="1496"/>
    <n v="8.1999999999999993"/>
    <n v="4000"/>
    <n v="7276.1"/>
    <n v="1"/>
    <n v="1504.2"/>
    <n v="5504.2"/>
    <n v="14"/>
  </r>
  <r>
    <d v="2026-09-08T15:00:00"/>
    <x v="2"/>
    <n v="25.4"/>
    <n v="72.8"/>
    <n v="7.3"/>
    <n v="653.29999999999995"/>
    <n v="36.700000000000003"/>
    <n v="4000"/>
    <n v="4858.8999999999996"/>
    <n v="1"/>
    <n v="690"/>
    <n v="4690"/>
    <n v="15"/>
  </r>
  <r>
    <d v="2026-09-08T16:00:00"/>
    <x v="2"/>
    <n v="26.6"/>
    <n v="67.599999999999994"/>
    <n v="10.199999999999999"/>
    <n v="572.79999999999995"/>
    <n v="100.5"/>
    <n v="4000"/>
    <n v="4683.6000000000004"/>
    <n v="1"/>
    <n v="673.3"/>
    <n v="4673.3"/>
    <n v="16"/>
  </r>
  <r>
    <d v="2026-09-08T17:00:00"/>
    <x v="2"/>
    <n v="25.5"/>
    <n v="74"/>
    <n v="10"/>
    <n v="354.1"/>
    <n v="97.1"/>
    <n v="4000"/>
    <n v="5016.6000000000004"/>
    <n v="1"/>
    <n v="451.20000000000005"/>
    <n v="4451.2"/>
    <n v="17"/>
  </r>
  <r>
    <d v="2026-09-08T18:00:00"/>
    <x v="2"/>
    <n v="21.8"/>
    <n v="100"/>
    <n v="8.6999999999999993"/>
    <n v="89"/>
    <n v="62.5"/>
    <n v="4000"/>
    <n v="7778.3"/>
    <n v="1"/>
    <n v="151.5"/>
    <n v="4151.5"/>
    <n v="18"/>
  </r>
  <r>
    <d v="2026-09-08T19:00:00"/>
    <x v="2"/>
    <n v="18.2"/>
    <n v="21.4"/>
    <n v="6.9"/>
    <n v="0"/>
    <n v="31.2"/>
    <n v="4000"/>
    <n v="7786.1"/>
    <n v="1"/>
    <n v="31.2"/>
    <n v="4031.2"/>
    <n v="19"/>
  </r>
  <r>
    <d v="2026-09-08T20:00:00"/>
    <x v="2"/>
    <n v="18.3"/>
    <n v="64.2"/>
    <n v="10.8"/>
    <n v="0"/>
    <n v="119.8"/>
    <n v="4000"/>
    <n v="7721.8"/>
    <n v="1"/>
    <n v="119.8"/>
    <n v="4119.8"/>
    <n v="20"/>
  </r>
  <r>
    <d v="2026-09-08T21:00:00"/>
    <x v="2"/>
    <n v="16.2"/>
    <n v="56.7"/>
    <n v="3.6"/>
    <n v="0"/>
    <n v="4.4000000000000004"/>
    <n v="4000"/>
    <n v="7804.3"/>
    <n v="1"/>
    <n v="4.4000000000000004"/>
    <n v="4004.4"/>
    <n v="21"/>
  </r>
  <r>
    <d v="2026-09-08T22:00:00"/>
    <x v="2"/>
    <n v="16.8"/>
    <n v="45.7"/>
    <n v="2.2000000000000002"/>
    <n v="0"/>
    <n v="1.1000000000000001"/>
    <n v="4000"/>
    <n v="4891.8"/>
    <n v="1"/>
    <n v="1.1000000000000001"/>
    <n v="4001.1"/>
    <n v="22"/>
  </r>
  <r>
    <d v="2026-09-08T23:00:00"/>
    <x v="2"/>
    <n v="16"/>
    <n v="0"/>
    <n v="12.2"/>
    <n v="0"/>
    <n v="172.6"/>
    <n v="4000"/>
    <n v="4930.8999999999996"/>
    <n v="1"/>
    <n v="172.6"/>
    <n v="4172.6000000000004"/>
    <n v="23"/>
  </r>
  <r>
    <d v="2026-09-09T00:00:00"/>
    <x v="2"/>
    <n v="16.2"/>
    <n v="60.6"/>
    <n v="2.5"/>
    <n v="0"/>
    <n v="1.5"/>
    <n v="4000"/>
    <n v="5113.3"/>
    <n v="1"/>
    <n v="1.5"/>
    <n v="4001.5"/>
    <n v="0"/>
  </r>
  <r>
    <d v="2026-09-09T01:00:00"/>
    <x v="2"/>
    <n v="21"/>
    <n v="64.7"/>
    <n v="9.1"/>
    <n v="0"/>
    <n v="71.599999999999994"/>
    <n v="4000"/>
    <n v="5204.3999999999996"/>
    <n v="1"/>
    <n v="71.599999999999994"/>
    <n v="4071.6"/>
    <n v="1"/>
  </r>
  <r>
    <d v="2026-09-09T02:00:00"/>
    <x v="2"/>
    <n v="15"/>
    <n v="47.6"/>
    <n v="6.4"/>
    <n v="0"/>
    <n v="25.1"/>
    <n v="4000"/>
    <n v="4976.3"/>
    <n v="1"/>
    <n v="25.1"/>
    <n v="4025.1"/>
    <n v="2"/>
  </r>
  <r>
    <d v="2026-09-09T03:00:00"/>
    <x v="2"/>
    <n v="18"/>
    <n v="57.3"/>
    <n v="5.8"/>
    <n v="0"/>
    <n v="18.3"/>
    <n v="4000"/>
    <n v="4881.8"/>
    <n v="1"/>
    <n v="18.3"/>
    <n v="4018.3"/>
    <n v="3"/>
  </r>
  <r>
    <d v="2026-09-09T04:00:00"/>
    <x v="2"/>
    <n v="17.399999999999999"/>
    <n v="38.5"/>
    <n v="2.1"/>
    <n v="0"/>
    <n v="0.9"/>
    <n v="4000"/>
    <n v="4957.8"/>
    <n v="1"/>
    <n v="0.9"/>
    <n v="4000.9"/>
    <n v="4"/>
  </r>
  <r>
    <d v="2026-09-09T05:00:00"/>
    <x v="2"/>
    <n v="16.5"/>
    <n v="94.6"/>
    <n v="10.199999999999999"/>
    <n v="0"/>
    <n v="100.7"/>
    <n v="4000"/>
    <n v="5096.7"/>
    <n v="1"/>
    <n v="100.7"/>
    <n v="4100.7"/>
    <n v="5"/>
  </r>
  <r>
    <d v="2026-09-09T06:00:00"/>
    <x v="2"/>
    <n v="16.8"/>
    <n v="49.2"/>
    <n v="5.8"/>
    <n v="270"/>
    <n v="18.8"/>
    <n v="4000"/>
    <n v="4904.7"/>
    <n v="1"/>
    <n v="288.8"/>
    <n v="4288.8"/>
    <n v="6"/>
  </r>
  <r>
    <d v="2026-09-09T07:00:00"/>
    <x v="2"/>
    <n v="22.3"/>
    <n v="100"/>
    <n v="8"/>
    <n v="173.6"/>
    <n v="49.1"/>
    <n v="4000"/>
    <n v="4798.3999999999996"/>
    <n v="1"/>
    <n v="222.7"/>
    <n v="4222.7"/>
    <n v="7"/>
  </r>
  <r>
    <d v="2026-09-09T08:00:00"/>
    <x v="2"/>
    <n v="21.3"/>
    <n v="50.2"/>
    <n v="5.4"/>
    <n v="746.3"/>
    <n v="14.8"/>
    <n v="4000"/>
    <n v="4811.3"/>
    <n v="1"/>
    <n v="761.09999999999991"/>
    <n v="4761.1000000000004"/>
    <n v="8"/>
  </r>
  <r>
    <d v="2026-09-09T09:00:00"/>
    <x v="2"/>
    <n v="24.5"/>
    <n v="75.3"/>
    <n v="11.8"/>
    <n v="621.1"/>
    <n v="158"/>
    <n v="4000"/>
    <n v="5024.3999999999996"/>
    <n v="1"/>
    <n v="779.1"/>
    <n v="4779.1000000000004"/>
    <n v="9"/>
  </r>
  <r>
    <d v="2026-09-09T10:00:00"/>
    <x v="2"/>
    <n v="26.2"/>
    <n v="54.5"/>
    <n v="4.9000000000000004"/>
    <n v="1016.2"/>
    <n v="11.5"/>
    <n v="4000"/>
    <n v="7272.3"/>
    <n v="1"/>
    <n v="1027.7"/>
    <n v="5027.7"/>
    <n v="10"/>
  </r>
  <r>
    <d v="2026-09-09T11:00:00"/>
    <x v="2"/>
    <n v="25.6"/>
    <n v="61.4"/>
    <n v="6.2"/>
    <n v="992.8"/>
    <n v="22.4"/>
    <n v="4000"/>
    <n v="7327.1"/>
    <n v="1"/>
    <n v="1015.1999999999999"/>
    <n v="5015.2"/>
    <n v="11"/>
  </r>
  <r>
    <d v="2026-09-09T12:00:00"/>
    <x v="2"/>
    <n v="24.3"/>
    <n v="69.7"/>
    <n v="5.8"/>
    <n v="885"/>
    <n v="18.899999999999999"/>
    <n v="4000"/>
    <n v="7074.7"/>
    <n v="1"/>
    <n v="903.9"/>
    <n v="4903.8999999999996"/>
    <n v="12"/>
  </r>
  <r>
    <d v="2026-09-09T13:00:00"/>
    <x v="2"/>
    <n v="25.8"/>
    <n v="96.6"/>
    <n v="3.4"/>
    <n v="442.6"/>
    <n v="3.7"/>
    <n v="4000"/>
    <n v="7225"/>
    <n v="1"/>
    <n v="446.3"/>
    <n v="4446.3"/>
    <n v="13"/>
  </r>
  <r>
    <d v="2026-09-09T14:00:00"/>
    <x v="2"/>
    <n v="22.8"/>
    <n v="73"/>
    <n v="7.4"/>
    <n v="749"/>
    <n v="39.299999999999997"/>
    <n v="4000"/>
    <n v="7406.8"/>
    <n v="1"/>
    <n v="788.3"/>
    <n v="4788.3"/>
    <n v="14"/>
  </r>
  <r>
    <d v="2026-09-09T15:00:00"/>
    <x v="2"/>
    <n v="26.4"/>
    <n v="98.4"/>
    <n v="0"/>
    <n v="332.9"/>
    <n v="0"/>
    <n v="4000"/>
    <n v="4830.7"/>
    <n v="1"/>
    <n v="332.9"/>
    <n v="4332.8999999999996"/>
    <n v="15"/>
  </r>
  <r>
    <d v="2026-09-09T16:00:00"/>
    <x v="2"/>
    <n v="19.5"/>
    <n v="31"/>
    <n v="10.9"/>
    <n v="937.4"/>
    <n v="123.9"/>
    <n v="3964.1"/>
    <n v="5025.3999999999996"/>
    <n v="0"/>
    <n v="1061.3"/>
    <n v="5025.3999999999996"/>
    <n v="16"/>
  </r>
  <r>
    <d v="2026-09-09T17:00:00"/>
    <x v="2"/>
    <n v="20.9"/>
    <n v="54.1"/>
    <n v="12.2"/>
    <n v="492.5"/>
    <n v="174.5"/>
    <n v="4000"/>
    <n v="4862.7"/>
    <n v="1"/>
    <n v="667"/>
    <n v="4667"/>
    <n v="17"/>
  </r>
  <r>
    <d v="2026-09-09T18:00:00"/>
    <x v="2"/>
    <n v="19.899999999999999"/>
    <n v="100"/>
    <n v="11.6"/>
    <n v="89"/>
    <n v="148.80000000000001"/>
    <n v="4000"/>
    <n v="7425.2"/>
    <n v="1"/>
    <n v="237.8"/>
    <n v="4237.8"/>
    <n v="18"/>
  </r>
  <r>
    <d v="2026-09-09T19:00:00"/>
    <x v="2"/>
    <n v="18.2"/>
    <n v="100"/>
    <n v="10.8"/>
    <n v="0"/>
    <n v="120.4"/>
    <n v="4000"/>
    <n v="7684.5"/>
    <n v="1"/>
    <n v="120.4"/>
    <n v="4120.3999999999996"/>
    <n v="19"/>
  </r>
  <r>
    <d v="2026-09-09T20:00:00"/>
    <x v="2"/>
    <n v="17.899999999999999"/>
    <n v="58.5"/>
    <n v="5.5"/>
    <n v="0"/>
    <n v="16.100000000000001"/>
    <n v="4000"/>
    <n v="7801.8"/>
    <n v="1"/>
    <n v="16.100000000000001"/>
    <n v="4016.1"/>
    <n v="20"/>
  </r>
  <r>
    <d v="2026-09-09T21:00:00"/>
    <x v="2"/>
    <n v="21.4"/>
    <n v="86.4"/>
    <n v="2.8"/>
    <n v="0"/>
    <n v="2"/>
    <n v="4000"/>
    <n v="7749.6"/>
    <n v="1"/>
    <n v="2"/>
    <n v="4002"/>
    <n v="21"/>
  </r>
  <r>
    <d v="2026-09-09T22:00:00"/>
    <x v="2"/>
    <n v="18.3"/>
    <n v="80.599999999999994"/>
    <n v="10.4"/>
    <n v="0"/>
    <n v="108"/>
    <n v="4000"/>
    <n v="5156.5"/>
    <n v="1"/>
    <n v="108"/>
    <n v="4108"/>
    <n v="22"/>
  </r>
  <r>
    <d v="2026-09-09T23:00:00"/>
    <x v="2"/>
    <n v="17.100000000000001"/>
    <n v="44.1"/>
    <n v="1.3"/>
    <n v="0"/>
    <n v="0.2"/>
    <n v="4000"/>
    <n v="4783.3"/>
    <n v="1"/>
    <n v="0.2"/>
    <n v="4000.2"/>
    <n v="23"/>
  </r>
  <r>
    <d v="2026-09-10T00:00:00"/>
    <x v="2"/>
    <n v="22"/>
    <n v="4.8"/>
    <n v="5.9"/>
    <n v="0"/>
    <n v="19.7"/>
    <n v="4000"/>
    <n v="5002"/>
    <n v="1"/>
    <n v="19.7"/>
    <n v="4019.7"/>
    <n v="0"/>
  </r>
  <r>
    <d v="2026-09-10T01:00:00"/>
    <x v="2"/>
    <n v="17.399999999999999"/>
    <n v="56.6"/>
    <n v="2.1"/>
    <n v="0"/>
    <n v="0.9"/>
    <n v="4000"/>
    <n v="5046.1000000000004"/>
    <n v="1"/>
    <n v="0.9"/>
    <n v="4000.9"/>
    <n v="1"/>
  </r>
  <r>
    <d v="2026-09-10T02:00:00"/>
    <x v="2"/>
    <n v="16.2"/>
    <n v="0"/>
    <n v="9.6"/>
    <n v="0"/>
    <n v="84.5"/>
    <n v="4000"/>
    <n v="4984.8999999999996"/>
    <n v="1"/>
    <n v="84.5"/>
    <n v="4084.5"/>
    <n v="2"/>
  </r>
  <r>
    <d v="2026-09-10T03:00:00"/>
    <x v="2"/>
    <n v="18.600000000000001"/>
    <n v="66.900000000000006"/>
    <n v="9.1999999999999993"/>
    <n v="0"/>
    <n v="75.3"/>
    <n v="4000"/>
    <n v="5093.8"/>
    <n v="1"/>
    <n v="75.3"/>
    <n v="4075.3"/>
    <n v="3"/>
  </r>
  <r>
    <d v="2026-09-10T04:00:00"/>
    <x v="2"/>
    <n v="21.3"/>
    <n v="51.1"/>
    <n v="9.9"/>
    <n v="0"/>
    <n v="94.2"/>
    <n v="4000"/>
    <n v="4983.7"/>
    <n v="1"/>
    <n v="94.2"/>
    <n v="4094.2"/>
    <n v="4"/>
  </r>
  <r>
    <d v="2026-09-10T05:00:00"/>
    <x v="2"/>
    <n v="21.1"/>
    <n v="21.9"/>
    <n v="6.9"/>
    <n v="0"/>
    <n v="31"/>
    <n v="4000"/>
    <n v="4998.1000000000004"/>
    <n v="1"/>
    <n v="31"/>
    <n v="4031"/>
    <n v="5"/>
  </r>
  <r>
    <d v="2026-09-10T06:00:00"/>
    <x v="2"/>
    <n v="20.7"/>
    <n v="35.5"/>
    <n v="2.8"/>
    <n v="318.5"/>
    <n v="2.1"/>
    <n v="4000"/>
    <n v="4825.2"/>
    <n v="1"/>
    <n v="320.60000000000002"/>
    <n v="4320.6000000000004"/>
    <n v="6"/>
  </r>
  <r>
    <d v="2026-09-10T07:00:00"/>
    <x v="2"/>
    <n v="26"/>
    <n v="100"/>
    <n v="2.2999999999999998"/>
    <n v="173.6"/>
    <n v="1.2"/>
    <n v="4000"/>
    <n v="5268.7"/>
    <n v="1"/>
    <n v="174.79999999999998"/>
    <n v="4174.8"/>
    <n v="7"/>
  </r>
  <r>
    <d v="2026-09-10T08:00:00"/>
    <x v="2"/>
    <n v="21.9"/>
    <n v="39.1"/>
    <n v="3.2"/>
    <n v="856.6"/>
    <n v="3.3"/>
    <n v="4000"/>
    <n v="4960.7"/>
    <n v="1"/>
    <n v="859.9"/>
    <n v="4859.8999999999996"/>
    <n v="8"/>
  </r>
  <r>
    <d v="2026-09-10T09:00:00"/>
    <x v="2"/>
    <n v="24.7"/>
    <n v="92.1"/>
    <n v="7.8"/>
    <n v="412.2"/>
    <n v="45.8"/>
    <n v="4000"/>
    <n v="5135.8999999999996"/>
    <n v="1"/>
    <n v="458"/>
    <n v="4458"/>
    <n v="9"/>
  </r>
  <r>
    <d v="2026-09-10T10:00:00"/>
    <x v="2"/>
    <n v="23.4"/>
    <n v="97.8"/>
    <n v="9.4"/>
    <n v="392.4"/>
    <n v="80.7"/>
    <n v="4000"/>
    <n v="7495.5"/>
    <n v="1"/>
    <n v="473.09999999999997"/>
    <n v="4473.1000000000004"/>
    <n v="10"/>
  </r>
  <r>
    <d v="2026-09-10T11:00:00"/>
    <x v="2"/>
    <n v="28.8"/>
    <n v="70.099999999999994"/>
    <n v="5.3"/>
    <n v="856.6"/>
    <n v="14.4"/>
    <n v="4000"/>
    <n v="7004"/>
    <n v="1"/>
    <n v="871"/>
    <n v="4871"/>
    <n v="11"/>
  </r>
  <r>
    <d v="2026-09-10T12:00:00"/>
    <x v="2"/>
    <n v="25.6"/>
    <n v="100"/>
    <n v="6"/>
    <n v="400"/>
    <n v="20.8"/>
    <n v="4000"/>
    <n v="7026.4"/>
    <n v="1"/>
    <n v="420.8"/>
    <n v="4420.8"/>
    <n v="12"/>
  </r>
  <r>
    <d v="2026-09-10T13:00:00"/>
    <x v="2"/>
    <n v="25.2"/>
    <n v="36.6"/>
    <n v="9.1999999999999993"/>
    <n v="1378.9"/>
    <n v="75.900000000000006"/>
    <n v="4000"/>
    <n v="7267.3"/>
    <n v="1"/>
    <n v="1454.8000000000002"/>
    <n v="5454.8"/>
    <n v="13"/>
  </r>
  <r>
    <d v="2026-09-10T14:00:00"/>
    <x v="2"/>
    <n v="25.5"/>
    <n v="61"/>
    <n v="6.3"/>
    <n v="922.3"/>
    <n v="24.4"/>
    <n v="4000"/>
    <n v="6947.6"/>
    <n v="1"/>
    <n v="946.69999999999993"/>
    <n v="4946.7"/>
    <n v="14"/>
  </r>
  <r>
    <d v="2026-09-10T15:00:00"/>
    <x v="2"/>
    <n v="26.3"/>
    <n v="80.8"/>
    <n v="8.1999999999999993"/>
    <n v="553.1"/>
    <n v="53"/>
    <n v="4000"/>
    <n v="4923.1000000000004"/>
    <n v="1"/>
    <n v="606.1"/>
    <n v="4606.1000000000004"/>
    <n v="15"/>
  </r>
  <r>
    <d v="2026-09-10T16:00:00"/>
    <x v="2"/>
    <n v="23.9"/>
    <n v="95.8"/>
    <n v="8.6999999999999993"/>
    <n v="290.89999999999998"/>
    <n v="62.9"/>
    <n v="4000"/>
    <n v="4802.1000000000004"/>
    <n v="1"/>
    <n v="353.79999999999995"/>
    <n v="4353.8"/>
    <n v="16"/>
  </r>
  <r>
    <d v="2026-09-10T17:00:00"/>
    <x v="2"/>
    <n v="24"/>
    <n v="0.7"/>
    <n v="6.1"/>
    <n v="863.2"/>
    <n v="22.2"/>
    <n v="3858.7"/>
    <n v="4744.1000000000004"/>
    <n v="0"/>
    <n v="885.40000000000009"/>
    <n v="4744.1000000000004"/>
    <n v="17"/>
  </r>
  <r>
    <d v="2026-09-10T18:00:00"/>
    <x v="2"/>
    <n v="20.100000000000001"/>
    <n v="35"/>
    <n v="8.3000000000000007"/>
    <n v="320.5"/>
    <n v="54.7"/>
    <n v="4000"/>
    <n v="7984.7"/>
    <n v="1"/>
    <n v="375.2"/>
    <n v="4375.2"/>
    <n v="18"/>
  </r>
  <r>
    <d v="2026-09-10T19:00:00"/>
    <x v="2"/>
    <n v="19.399999999999999"/>
    <n v="77.900000000000006"/>
    <n v="4.0999999999999996"/>
    <n v="0"/>
    <n v="6.6"/>
    <n v="4000"/>
    <n v="7468.6"/>
    <n v="1"/>
    <n v="6.6"/>
    <n v="4006.6"/>
    <n v="19"/>
  </r>
  <r>
    <d v="2026-09-10T20:00:00"/>
    <x v="2"/>
    <n v="21"/>
    <n v="72.599999999999994"/>
    <n v="6.8"/>
    <n v="0"/>
    <n v="30.2"/>
    <n v="4000"/>
    <n v="7664.6"/>
    <n v="1"/>
    <n v="30.2"/>
    <n v="4030.2"/>
    <n v="20"/>
  </r>
  <r>
    <d v="2026-09-10T21:00:00"/>
    <x v="2"/>
    <n v="19.2"/>
    <n v="56.3"/>
    <n v="7.4"/>
    <n v="0"/>
    <n v="38.5"/>
    <n v="4000"/>
    <n v="7649.1"/>
    <n v="1"/>
    <n v="38.5"/>
    <n v="4038.5"/>
    <n v="21"/>
  </r>
  <r>
    <d v="2026-09-10T22:00:00"/>
    <x v="2"/>
    <n v="17.3"/>
    <n v="30.3"/>
    <n v="5.9"/>
    <n v="0"/>
    <n v="19.7"/>
    <n v="4000"/>
    <n v="4875.5"/>
    <n v="1"/>
    <n v="19.7"/>
    <n v="4019.7"/>
    <n v="22"/>
  </r>
  <r>
    <d v="2026-09-10T23:00:00"/>
    <x v="2"/>
    <n v="14.9"/>
    <n v="67.8"/>
    <n v="6.6"/>
    <n v="0"/>
    <n v="28.1"/>
    <n v="4000"/>
    <n v="4828.3"/>
    <n v="1"/>
    <n v="28.1"/>
    <n v="4028.1"/>
    <n v="23"/>
  </r>
  <r>
    <d v="2026-09-11T00:00:00"/>
    <x v="2"/>
    <n v="16.100000000000001"/>
    <n v="72.2"/>
    <n v="7.7"/>
    <n v="0"/>
    <n v="43"/>
    <n v="4000"/>
    <n v="5067.3999999999996"/>
    <n v="1"/>
    <n v="43"/>
    <n v="4043"/>
    <n v="0"/>
  </r>
  <r>
    <d v="2026-09-11T01:00:00"/>
    <x v="2"/>
    <n v="15.5"/>
    <n v="64.5"/>
    <n v="7.1"/>
    <n v="0"/>
    <n v="34.200000000000003"/>
    <n v="4000"/>
    <n v="5016.7"/>
    <n v="1"/>
    <n v="34.200000000000003"/>
    <n v="4034.2"/>
    <n v="1"/>
  </r>
  <r>
    <d v="2026-09-11T02:00:00"/>
    <x v="2"/>
    <n v="13.5"/>
    <n v="64.8"/>
    <n v="12.6"/>
    <n v="0"/>
    <n v="193.8"/>
    <n v="4000"/>
    <n v="4951.1000000000004"/>
    <n v="1"/>
    <n v="193.8"/>
    <n v="4193.8"/>
    <n v="2"/>
  </r>
  <r>
    <d v="2026-09-11T03:00:00"/>
    <x v="2"/>
    <n v="17"/>
    <n v="71.2"/>
    <n v="6.9"/>
    <n v="0"/>
    <n v="32"/>
    <n v="4000"/>
    <n v="4896"/>
    <n v="1"/>
    <n v="32"/>
    <n v="4032"/>
    <n v="3"/>
  </r>
  <r>
    <d v="2026-09-11T04:00:00"/>
    <x v="2"/>
    <n v="17"/>
    <n v="81.900000000000006"/>
    <n v="7.8"/>
    <n v="0"/>
    <n v="45.1"/>
    <n v="4000"/>
    <n v="5128.8999999999996"/>
    <n v="1"/>
    <n v="45.1"/>
    <n v="4045.1"/>
    <n v="4"/>
  </r>
  <r>
    <d v="2026-09-11T05:00:00"/>
    <x v="2"/>
    <n v="21.4"/>
    <n v="90.9"/>
    <n v="8.6"/>
    <n v="0"/>
    <n v="61.4"/>
    <n v="4000"/>
    <n v="4928.7"/>
    <n v="1"/>
    <n v="61.4"/>
    <n v="4061.4"/>
    <n v="5"/>
  </r>
  <r>
    <d v="2026-09-11T06:00:00"/>
    <x v="2"/>
    <n v="23.6"/>
    <n v="58.1"/>
    <n v="6.2"/>
    <n v="238.3"/>
    <n v="23.1"/>
    <n v="4000"/>
    <n v="4778.5"/>
    <n v="1"/>
    <n v="261.40000000000003"/>
    <n v="4261.3999999999996"/>
    <n v="6"/>
  </r>
  <r>
    <d v="2026-09-11T07:00:00"/>
    <x v="2"/>
    <n v="23"/>
    <n v="95.8"/>
    <n v="5.7"/>
    <n v="203"/>
    <n v="18.2"/>
    <n v="4000"/>
    <n v="4961"/>
    <n v="1"/>
    <n v="221.2"/>
    <n v="4221.2"/>
    <n v="7"/>
  </r>
  <r>
    <d v="2026-09-11T08:00:00"/>
    <x v="2"/>
    <n v="23.7"/>
    <n v="65.400000000000006"/>
    <n v="9.6999999999999993"/>
    <n v="595"/>
    <n v="87.3"/>
    <n v="4000"/>
    <n v="4782.1000000000004"/>
    <n v="1"/>
    <n v="682.3"/>
    <n v="4682.3"/>
    <n v="8"/>
  </r>
  <r>
    <d v="2026-09-11T09:00:00"/>
    <x v="2"/>
    <n v="23.8"/>
    <n v="100"/>
    <n v="6.8"/>
    <n v="312.7"/>
    <n v="30.1"/>
    <n v="4000"/>
    <n v="5040.5"/>
    <n v="1"/>
    <n v="342.8"/>
    <n v="4342.8"/>
    <n v="9"/>
  </r>
  <r>
    <d v="2026-09-11T10:00:00"/>
    <x v="2"/>
    <n v="26"/>
    <n v="76"/>
    <n v="8.5"/>
    <n v="706.3"/>
    <n v="59.3"/>
    <n v="4000"/>
    <n v="7341.3"/>
    <n v="1"/>
    <n v="765.59999999999991"/>
    <n v="4765.6000000000004"/>
    <n v="10"/>
  </r>
  <r>
    <d v="2026-09-11T11:00:00"/>
    <x v="2"/>
    <n v="28.9"/>
    <n v="86.2"/>
    <n v="5.0999999999999996"/>
    <n v="605.79999999999995"/>
    <n v="12.4"/>
    <n v="4000"/>
    <n v="7332.7"/>
    <n v="1"/>
    <n v="618.19999999999993"/>
    <n v="4618.2"/>
    <n v="11"/>
  </r>
  <r>
    <d v="2026-09-11T12:00:00"/>
    <x v="2"/>
    <n v="27.7"/>
    <n v="88"/>
    <n v="5.3"/>
    <n v="592.1"/>
    <n v="14.6"/>
    <n v="4000"/>
    <n v="7064.2"/>
    <n v="1"/>
    <n v="606.70000000000005"/>
    <n v="4606.7"/>
    <n v="12"/>
  </r>
  <r>
    <d v="2026-09-11T13:00:00"/>
    <x v="2"/>
    <n v="29.7"/>
    <n v="32.5"/>
    <n v="3.5"/>
    <n v="1442.7"/>
    <n v="4.0999999999999996"/>
    <n v="4000"/>
    <n v="7309.8"/>
    <n v="1"/>
    <n v="1446.8"/>
    <n v="5446.8"/>
    <n v="13"/>
  </r>
  <r>
    <d v="2026-09-11T14:00:00"/>
    <x v="2"/>
    <n v="26.9"/>
    <n v="44.3"/>
    <n v="10.1"/>
    <n v="1163.9000000000001"/>
    <n v="97.6"/>
    <n v="4000"/>
    <n v="7128.9"/>
    <n v="1"/>
    <n v="1261.5"/>
    <n v="5261.5"/>
    <n v="14"/>
  </r>
  <r>
    <d v="2026-09-11T15:00:00"/>
    <x v="2"/>
    <n v="25.6"/>
    <n v="16.899999999999999"/>
    <n v="2.1"/>
    <n v="1352"/>
    <n v="0.8"/>
    <n v="3660.8"/>
    <n v="5013.6000000000004"/>
    <n v="0"/>
    <n v="1352.8"/>
    <n v="5013.6000000000004"/>
    <n v="15"/>
  </r>
  <r>
    <d v="2026-09-11T16:00:00"/>
    <x v="2"/>
    <n v="20.2"/>
    <n v="90.4"/>
    <n v="5.5"/>
    <n v="345.4"/>
    <n v="16.2"/>
    <n v="4000"/>
    <n v="4992.2"/>
    <n v="1"/>
    <n v="361.59999999999997"/>
    <n v="4361.6000000000004"/>
    <n v="16"/>
  </r>
  <r>
    <d v="2026-09-11T17:00:00"/>
    <x v="2"/>
    <n v="27.9"/>
    <n v="54.6"/>
    <n v="5.7"/>
    <n v="489"/>
    <n v="17.600000000000001"/>
    <n v="4000"/>
    <n v="5436.5"/>
    <n v="1"/>
    <n v="506.6"/>
    <n v="4506.6000000000004"/>
    <n v="17"/>
  </r>
  <r>
    <d v="2026-09-11T18:00:00"/>
    <x v="2"/>
    <n v="25.4"/>
    <n v="10.9"/>
    <n v="0.6"/>
    <n v="406.4"/>
    <n v="0"/>
    <n v="4000"/>
    <n v="7849.3"/>
    <n v="1"/>
    <n v="406.4"/>
    <n v="4406.3999999999996"/>
    <n v="18"/>
  </r>
  <r>
    <d v="2026-09-11T19:00:00"/>
    <x v="2"/>
    <n v="21.9"/>
    <n v="74.900000000000006"/>
    <n v="9.1999999999999993"/>
    <n v="0"/>
    <n v="75"/>
    <n v="4000"/>
    <n v="7606.7"/>
    <n v="1"/>
    <n v="75"/>
    <n v="4075"/>
    <n v="19"/>
  </r>
  <r>
    <d v="2026-09-11T20:00:00"/>
    <x v="2"/>
    <n v="14.9"/>
    <n v="85.7"/>
    <n v="3.5"/>
    <n v="0"/>
    <n v="4.2"/>
    <n v="4000"/>
    <n v="7520"/>
    <n v="1"/>
    <n v="4.2"/>
    <n v="4004.2"/>
    <n v="20"/>
  </r>
  <r>
    <d v="2026-09-11T21:00:00"/>
    <x v="2"/>
    <n v="18.8"/>
    <n v="83.8"/>
    <n v="5.6"/>
    <n v="0"/>
    <n v="17.2"/>
    <n v="4000"/>
    <n v="7397.2"/>
    <n v="1"/>
    <n v="17.2"/>
    <n v="4017.2"/>
    <n v="21"/>
  </r>
  <r>
    <d v="2026-09-11T22:00:00"/>
    <x v="2"/>
    <n v="17.399999999999999"/>
    <n v="48.9"/>
    <n v="2"/>
    <n v="0"/>
    <n v="0.7"/>
    <n v="4000"/>
    <n v="4881.3"/>
    <n v="1"/>
    <n v="0.7"/>
    <n v="4000.7"/>
    <n v="22"/>
  </r>
  <r>
    <d v="2026-09-11T23:00:00"/>
    <x v="2"/>
    <n v="18.2"/>
    <n v="69.7"/>
    <n v="6.5"/>
    <n v="0"/>
    <n v="26.4"/>
    <n v="4000"/>
    <n v="4842.8"/>
    <n v="1"/>
    <n v="26.4"/>
    <n v="4026.4"/>
    <n v="23"/>
  </r>
  <r>
    <d v="2026-09-12T00:00:00"/>
    <x v="2"/>
    <n v="16.600000000000001"/>
    <n v="0"/>
    <n v="6.5"/>
    <n v="0"/>
    <n v="26.8"/>
    <n v="4000"/>
    <n v="4170.7"/>
    <n v="1"/>
    <n v="26.8"/>
    <n v="4026.8"/>
    <n v="0"/>
  </r>
  <r>
    <d v="2026-09-12T01:00:00"/>
    <x v="2"/>
    <n v="14.2"/>
    <n v="42.4"/>
    <n v="7"/>
    <n v="0"/>
    <n v="32.700000000000003"/>
    <n v="4000"/>
    <n v="4534.3"/>
    <n v="1"/>
    <n v="32.700000000000003"/>
    <n v="4032.7"/>
    <n v="1"/>
  </r>
  <r>
    <d v="2026-09-12T02:00:00"/>
    <x v="2"/>
    <n v="16.8"/>
    <n v="39.200000000000003"/>
    <n v="0.1"/>
    <n v="0"/>
    <n v="0"/>
    <n v="4000"/>
    <n v="4507.8999999999996"/>
    <n v="1"/>
    <n v="0"/>
    <n v="4000"/>
    <n v="2"/>
  </r>
  <r>
    <d v="2026-09-12T03:00:00"/>
    <x v="2"/>
    <n v="22.5"/>
    <n v="68.3"/>
    <n v="5.9"/>
    <n v="0"/>
    <n v="20.100000000000001"/>
    <n v="4000"/>
    <n v="4335.5"/>
    <n v="1"/>
    <n v="20.100000000000001"/>
    <n v="4020.1"/>
    <n v="3"/>
  </r>
  <r>
    <d v="2026-09-12T04:00:00"/>
    <x v="2"/>
    <n v="19.5"/>
    <n v="35.6"/>
    <n v="8.5"/>
    <n v="0"/>
    <n v="58.3"/>
    <n v="4000"/>
    <n v="4368.3"/>
    <n v="1"/>
    <n v="58.3"/>
    <n v="4058.3"/>
    <n v="4"/>
  </r>
  <r>
    <d v="2026-09-12T05:00:00"/>
    <x v="2"/>
    <n v="20.7"/>
    <n v="30.7"/>
    <n v="9.9"/>
    <n v="0"/>
    <n v="93.4"/>
    <n v="4000"/>
    <n v="4353.8999999999996"/>
    <n v="1"/>
    <n v="93.4"/>
    <n v="4093.4"/>
    <n v="5"/>
  </r>
  <r>
    <d v="2026-09-12T06:00:00"/>
    <x v="2"/>
    <n v="20.9"/>
    <n v="90.1"/>
    <n v="4.5"/>
    <n v="124.4"/>
    <n v="8.8000000000000007"/>
    <n v="4000"/>
    <n v="4419.7"/>
    <n v="1"/>
    <n v="133.20000000000002"/>
    <n v="4133.2"/>
    <n v="6"/>
  </r>
  <r>
    <d v="2026-09-12T07:00:00"/>
    <x v="2"/>
    <n v="21.8"/>
    <n v="6.9"/>
    <n v="7.4"/>
    <n v="820.1"/>
    <n v="39.1"/>
    <n v="3343.5"/>
    <n v="4202.7"/>
    <n v="0"/>
    <n v="859.2"/>
    <n v="4202.7"/>
    <n v="7"/>
  </r>
  <r>
    <d v="2026-09-12T08:00:00"/>
    <x v="2"/>
    <n v="22"/>
    <n v="0"/>
    <n v="5.7"/>
    <n v="1247"/>
    <n v="18.2"/>
    <n v="2780.1"/>
    <n v="4045.3"/>
    <n v="0"/>
    <n v="1265.2"/>
    <n v="4045.3"/>
    <n v="8"/>
  </r>
  <r>
    <d v="2026-09-12T09:00:00"/>
    <x v="2"/>
    <n v="24.9"/>
    <n v="28.7"/>
    <n v="2.5"/>
    <n v="1204.4000000000001"/>
    <n v="1.5"/>
    <n v="3091.6"/>
    <n v="4297.5"/>
    <n v="0"/>
    <n v="1205.9000000000001"/>
    <n v="4297.5"/>
    <n v="9"/>
  </r>
  <r>
    <d v="2026-09-12T10:00:00"/>
    <x v="2"/>
    <n v="25.2"/>
    <n v="69.5"/>
    <n v="3.3"/>
    <n v="800.2"/>
    <n v="3.6"/>
    <n v="4000"/>
    <n v="6309.7"/>
    <n v="1"/>
    <n v="803.80000000000007"/>
    <n v="4803.8"/>
    <n v="10"/>
  </r>
  <r>
    <d v="2026-09-12T11:00:00"/>
    <x v="2"/>
    <n v="29.4"/>
    <n v="77.599999999999994"/>
    <n v="4.8"/>
    <n v="739.6"/>
    <n v="10.4"/>
    <n v="4000"/>
    <n v="6267.2"/>
    <n v="1"/>
    <n v="750"/>
    <n v="4750"/>
    <n v="11"/>
  </r>
  <r>
    <d v="2026-09-12T12:00:00"/>
    <x v="2"/>
    <n v="26.5"/>
    <n v="60.2"/>
    <n v="5"/>
    <n v="1036.2"/>
    <n v="12.2"/>
    <n v="4000"/>
    <n v="6278.6"/>
    <n v="1"/>
    <n v="1048.4000000000001"/>
    <n v="5048.3999999999996"/>
    <n v="12"/>
  </r>
  <r>
    <d v="2026-09-12T13:00:00"/>
    <x v="2"/>
    <n v="27.3"/>
    <n v="30.2"/>
    <n v="3"/>
    <n v="1478.8"/>
    <n v="2.5"/>
    <n v="4000"/>
    <n v="6215.3"/>
    <n v="1"/>
    <n v="1481.3"/>
    <n v="5481.3"/>
    <n v="13"/>
  </r>
  <r>
    <d v="2026-09-12T14:00:00"/>
    <x v="2"/>
    <n v="23.1"/>
    <n v="23.5"/>
    <n v="6.5"/>
    <n v="1463.4"/>
    <n v="26.1"/>
    <n v="4000"/>
    <n v="6031.7"/>
    <n v="1"/>
    <n v="1489.5"/>
    <n v="5489.5"/>
    <n v="14"/>
  </r>
  <r>
    <d v="2026-09-12T15:00:00"/>
    <x v="2"/>
    <n v="26.6"/>
    <n v="61"/>
    <n v="0.1"/>
    <n v="800.1"/>
    <n v="0"/>
    <n v="3386"/>
    <n v="4186.1000000000004"/>
    <n v="0"/>
    <n v="800.1"/>
    <n v="4186.1000000000004"/>
    <n v="15"/>
  </r>
  <r>
    <d v="2026-09-12T16:00:00"/>
    <x v="2"/>
    <n v="26.1"/>
    <n v="30.2"/>
    <n v="7.3"/>
    <n v="945.9"/>
    <n v="36.700000000000003"/>
    <n v="3435.6"/>
    <n v="4418.2"/>
    <n v="0"/>
    <n v="982.6"/>
    <n v="4418.2"/>
    <n v="16"/>
  </r>
  <r>
    <d v="2026-09-12T17:00:00"/>
    <x v="2"/>
    <n v="23.5"/>
    <n v="22.1"/>
    <n v="0.6"/>
    <n v="714.6"/>
    <n v="0"/>
    <n v="3476.9"/>
    <n v="4191.5"/>
    <n v="0"/>
    <n v="714.6"/>
    <n v="4191.5"/>
    <n v="17"/>
  </r>
  <r>
    <d v="2026-09-12T18:00:00"/>
    <x v="2"/>
    <n v="21.8"/>
    <n v="48.1"/>
    <n v="2.4"/>
    <n v="273.89999999999998"/>
    <n v="1.4"/>
    <n v="4000"/>
    <n v="6662.6"/>
    <n v="1"/>
    <n v="275.29999999999995"/>
    <n v="4275.3"/>
    <n v="18"/>
  </r>
  <r>
    <d v="2026-09-12T19:00:00"/>
    <x v="2"/>
    <n v="21.2"/>
    <n v="58.7"/>
    <n v="6.5"/>
    <n v="0"/>
    <n v="26.9"/>
    <n v="4000"/>
    <n v="6660"/>
    <n v="1"/>
    <n v="26.9"/>
    <n v="4026.9"/>
    <n v="19"/>
  </r>
  <r>
    <d v="2026-09-12T20:00:00"/>
    <x v="2"/>
    <n v="21.8"/>
    <n v="24.7"/>
    <n v="7.5"/>
    <n v="0"/>
    <n v="39.9"/>
    <n v="4000"/>
    <n v="6619.5"/>
    <n v="1"/>
    <n v="39.9"/>
    <n v="4039.9"/>
    <n v="20"/>
  </r>
  <r>
    <d v="2026-09-12T21:00:00"/>
    <x v="2"/>
    <n v="19.399999999999999"/>
    <n v="53.9"/>
    <n v="4.4000000000000004"/>
    <n v="0"/>
    <n v="8.3000000000000007"/>
    <n v="4000"/>
    <n v="6897.3"/>
    <n v="1"/>
    <n v="8.3000000000000007"/>
    <n v="4008.3"/>
    <n v="21"/>
  </r>
  <r>
    <d v="2026-09-12T22:00:00"/>
    <x v="2"/>
    <n v="14.8"/>
    <n v="30.9"/>
    <n v="4.8"/>
    <n v="0"/>
    <n v="10.7"/>
    <n v="4000"/>
    <n v="4475.3999999999996"/>
    <n v="1"/>
    <n v="10.7"/>
    <n v="4010.7"/>
    <n v="22"/>
  </r>
  <r>
    <d v="2026-09-12T23:00:00"/>
    <x v="2"/>
    <n v="17.899999999999999"/>
    <n v="31"/>
    <n v="5.0999999999999996"/>
    <n v="0"/>
    <n v="12.5"/>
    <n v="4000"/>
    <n v="4505.6000000000004"/>
    <n v="1"/>
    <n v="12.5"/>
    <n v="4012.5"/>
    <n v="23"/>
  </r>
  <r>
    <d v="2026-09-13T00:00:00"/>
    <x v="2"/>
    <n v="15.6"/>
    <n v="89.4"/>
    <n v="1.9"/>
    <n v="0"/>
    <n v="0.6"/>
    <n v="4000"/>
    <n v="4227.8999999999996"/>
    <n v="1"/>
    <n v="0.6"/>
    <n v="4000.6"/>
    <n v="0"/>
  </r>
  <r>
    <d v="2026-09-13T01:00:00"/>
    <x v="2"/>
    <n v="18.8"/>
    <n v="92.7"/>
    <n v="4.5999999999999996"/>
    <n v="0"/>
    <n v="9.4"/>
    <n v="4000"/>
    <n v="4561.3"/>
    <n v="1"/>
    <n v="9.4"/>
    <n v="4009.4"/>
    <n v="1"/>
  </r>
  <r>
    <d v="2026-09-13T02:00:00"/>
    <x v="2"/>
    <n v="14.8"/>
    <n v="44.3"/>
    <n v="7.5"/>
    <n v="0"/>
    <n v="40.200000000000003"/>
    <n v="4000"/>
    <n v="4297.5"/>
    <n v="1"/>
    <n v="40.200000000000003"/>
    <n v="4040.2"/>
    <n v="2"/>
  </r>
  <r>
    <d v="2026-09-13T03:00:00"/>
    <x v="2"/>
    <n v="16.3"/>
    <n v="49"/>
    <n v="5.5"/>
    <n v="0"/>
    <n v="16.399999999999999"/>
    <n v="4000"/>
    <n v="4514.3999999999996"/>
    <n v="1"/>
    <n v="16.399999999999999"/>
    <n v="4016.4"/>
    <n v="3"/>
  </r>
  <r>
    <d v="2026-09-13T04:00:00"/>
    <x v="2"/>
    <n v="20.7"/>
    <n v="38.299999999999997"/>
    <n v="5.4"/>
    <n v="0"/>
    <n v="15.2"/>
    <n v="4000"/>
    <n v="4110.6000000000004"/>
    <n v="1"/>
    <n v="15.2"/>
    <n v="4015.2"/>
    <n v="4"/>
  </r>
  <r>
    <d v="2026-09-13T05:00:00"/>
    <x v="2"/>
    <n v="19.100000000000001"/>
    <n v="59.8"/>
    <n v="5.4"/>
    <n v="0"/>
    <n v="14.7"/>
    <n v="4000"/>
    <n v="4252.2"/>
    <n v="1"/>
    <n v="14.7"/>
    <n v="4014.7"/>
    <n v="5"/>
  </r>
  <r>
    <d v="2026-09-13T06:00:00"/>
    <x v="2"/>
    <n v="20.5"/>
    <n v="69.599999999999994"/>
    <n v="11"/>
    <n v="197.3"/>
    <n v="126.4"/>
    <n v="3940.5"/>
    <n v="4264.2"/>
    <n v="0"/>
    <n v="323.70000000000005"/>
    <n v="4264.2"/>
    <n v="6"/>
  </r>
  <r>
    <d v="2026-09-13T07:00:00"/>
    <x v="2"/>
    <n v="25.3"/>
    <n v="18.3"/>
    <n v="6.5"/>
    <n v="740.8"/>
    <n v="26"/>
    <n v="3574.2"/>
    <n v="4341"/>
    <n v="0"/>
    <n v="766.8"/>
    <n v="4341"/>
    <n v="7"/>
  </r>
  <r>
    <d v="2026-09-13T08:00:00"/>
    <x v="2"/>
    <n v="21.5"/>
    <n v="37.799999999999997"/>
    <n v="9.6"/>
    <n v="869.7"/>
    <n v="84.3"/>
    <n v="3201.4"/>
    <n v="4155.3999999999996"/>
    <n v="0"/>
    <n v="954"/>
    <n v="4155.3999999999996"/>
    <n v="8"/>
  </r>
  <r>
    <d v="2026-09-13T09:00:00"/>
    <x v="2"/>
    <n v="26"/>
    <n v="14"/>
    <n v="5.4"/>
    <n v="1388.3"/>
    <n v="15.2"/>
    <n v="3059"/>
    <n v="4462.5"/>
    <n v="0"/>
    <n v="1403.5"/>
    <n v="4462.5"/>
    <n v="9"/>
  </r>
  <r>
    <d v="2026-09-13T10:00:00"/>
    <x v="2"/>
    <n v="26.7"/>
    <n v="4.7"/>
    <n v="3.3"/>
    <n v="1734.4"/>
    <n v="3.5"/>
    <n v="4000"/>
    <n v="6285.3"/>
    <n v="1"/>
    <n v="1737.9"/>
    <n v="5737.9"/>
    <n v="10"/>
  </r>
  <r>
    <d v="2026-09-13T11:00:00"/>
    <x v="2"/>
    <n v="27.9"/>
    <n v="0"/>
    <n v="5.5"/>
    <n v="1949.9"/>
    <n v="16.100000000000001"/>
    <n v="4000"/>
    <n v="6230.4"/>
    <n v="1"/>
    <n v="1966"/>
    <n v="5966"/>
    <n v="11"/>
  </r>
  <r>
    <d v="2026-09-13T12:00:00"/>
    <x v="2"/>
    <n v="28.7"/>
    <n v="80.8"/>
    <n v="7.7"/>
    <n v="707.4"/>
    <n v="44.6"/>
    <n v="4000"/>
    <n v="6261.5"/>
    <n v="1"/>
    <n v="752"/>
    <n v="4752"/>
    <n v="12"/>
  </r>
  <r>
    <d v="2026-09-13T13:00:00"/>
    <x v="2"/>
    <n v="23"/>
    <n v="48.2"/>
    <n v="9"/>
    <n v="1197.9000000000001"/>
    <n v="70.099999999999994"/>
    <n v="4000"/>
    <n v="6120"/>
    <n v="1"/>
    <n v="1268"/>
    <n v="5268"/>
    <n v="13"/>
  </r>
  <r>
    <d v="2026-09-13T14:00:00"/>
    <x v="2"/>
    <n v="27.8"/>
    <n v="72.900000000000006"/>
    <n v="7.1"/>
    <n v="751.3"/>
    <n v="34.9"/>
    <n v="4000"/>
    <n v="6449"/>
    <n v="1"/>
    <n v="786.19999999999993"/>
    <n v="4786.2"/>
    <n v="14"/>
  </r>
  <r>
    <d v="2026-09-13T15:00:00"/>
    <x v="2"/>
    <n v="25.3"/>
    <n v="100"/>
    <n v="3.2"/>
    <n v="312.7"/>
    <n v="3.1"/>
    <n v="3920.8"/>
    <n v="4236.6000000000004"/>
    <n v="0"/>
    <n v="315.8"/>
    <n v="4236.6000000000004"/>
    <n v="15"/>
  </r>
  <r>
    <d v="2026-09-13T16:00:00"/>
    <x v="2"/>
    <n v="23.9"/>
    <n v="99.8"/>
    <n v="1.8"/>
    <n v="251.8"/>
    <n v="0.5"/>
    <n v="4000"/>
    <n v="4562.2"/>
    <n v="1"/>
    <n v="252.3"/>
    <n v="4252.3"/>
    <n v="16"/>
  </r>
  <r>
    <d v="2026-09-13T17:00:00"/>
    <x v="2"/>
    <n v="21.8"/>
    <n v="17.5"/>
    <n v="6.7"/>
    <n v="746"/>
    <n v="28.3"/>
    <n v="3633.6"/>
    <n v="4407.8999999999996"/>
    <n v="0"/>
    <n v="774.3"/>
    <n v="4407.8999999999996"/>
    <n v="17"/>
  </r>
  <r>
    <d v="2026-09-13T18:00:00"/>
    <x v="2"/>
    <n v="20.3"/>
    <n v="15"/>
    <n v="5.7"/>
    <n v="391.5"/>
    <n v="18"/>
    <n v="4000"/>
    <n v="6871.4"/>
    <n v="1"/>
    <n v="409.5"/>
    <n v="4409.5"/>
    <n v="18"/>
  </r>
  <r>
    <d v="2026-09-13T19:00:00"/>
    <x v="2"/>
    <n v="21.8"/>
    <n v="88.5"/>
    <n v="5.8"/>
    <n v="0"/>
    <n v="18.899999999999999"/>
    <n v="4000"/>
    <n v="6706.9"/>
    <n v="1"/>
    <n v="18.899999999999999"/>
    <n v="4018.9"/>
    <n v="19"/>
  </r>
  <r>
    <d v="2026-09-13T20:00:00"/>
    <x v="2"/>
    <n v="19.899999999999999"/>
    <n v="49.6"/>
    <n v="1.2"/>
    <n v="0"/>
    <n v="0.2"/>
    <n v="4000"/>
    <n v="6998.3"/>
    <n v="1"/>
    <n v="0.2"/>
    <n v="4000.2"/>
    <n v="20"/>
  </r>
  <r>
    <d v="2026-09-13T21:00:00"/>
    <x v="2"/>
    <n v="17.8"/>
    <n v="88.8"/>
    <n v="7.4"/>
    <n v="0"/>
    <n v="38.700000000000003"/>
    <n v="4000"/>
    <n v="6680.6"/>
    <n v="1"/>
    <n v="38.700000000000003"/>
    <n v="4038.7"/>
    <n v="21"/>
  </r>
  <r>
    <d v="2026-09-13T22:00:00"/>
    <x v="2"/>
    <n v="18"/>
    <n v="80.099999999999994"/>
    <n v="10.6"/>
    <n v="0"/>
    <n v="113.8"/>
    <n v="4000"/>
    <n v="4143.1000000000004"/>
    <n v="1"/>
    <n v="113.8"/>
    <n v="4113.8"/>
    <n v="22"/>
  </r>
  <r>
    <d v="2026-09-13T23:00:00"/>
    <x v="2"/>
    <n v="18.7"/>
    <n v="61.8"/>
    <n v="7.2"/>
    <n v="0"/>
    <n v="35.299999999999997"/>
    <n v="4000"/>
    <n v="4453.1000000000004"/>
    <n v="1"/>
    <n v="35.299999999999997"/>
    <n v="4035.3"/>
    <n v="23"/>
  </r>
  <r>
    <d v="2026-09-14T00:00:00"/>
    <x v="2"/>
    <n v="14.3"/>
    <n v="49.5"/>
    <n v="3.7"/>
    <n v="0"/>
    <n v="4.8"/>
    <n v="4000"/>
    <n v="5137.3999999999996"/>
    <n v="1"/>
    <n v="4.8"/>
    <n v="4004.8"/>
    <n v="0"/>
  </r>
  <r>
    <d v="2026-09-14T01:00:00"/>
    <x v="2"/>
    <n v="19.600000000000001"/>
    <n v="42.1"/>
    <n v="0"/>
    <n v="0"/>
    <n v="0"/>
    <n v="4000"/>
    <n v="5006.8999999999996"/>
    <n v="1"/>
    <n v="0"/>
    <n v="4000"/>
    <n v="1"/>
  </r>
  <r>
    <d v="2026-09-14T02:00:00"/>
    <x v="2"/>
    <n v="19.5"/>
    <n v="76.099999999999994"/>
    <n v="7.3"/>
    <n v="0"/>
    <n v="37.1"/>
    <n v="4000"/>
    <n v="4888.2"/>
    <n v="1"/>
    <n v="37.1"/>
    <n v="4037.1"/>
    <n v="2"/>
  </r>
  <r>
    <d v="2026-09-14T03:00:00"/>
    <x v="2"/>
    <n v="15.9"/>
    <n v="75.5"/>
    <n v="3.5"/>
    <n v="0"/>
    <n v="4.0999999999999996"/>
    <n v="4000"/>
    <n v="4908"/>
    <n v="1"/>
    <n v="4.0999999999999996"/>
    <n v="4004.1"/>
    <n v="3"/>
  </r>
  <r>
    <d v="2026-09-14T04:00:00"/>
    <x v="2"/>
    <n v="20.6"/>
    <n v="42.6"/>
    <n v="4.2"/>
    <n v="0"/>
    <n v="6.9"/>
    <n v="4000"/>
    <n v="5277.6"/>
    <n v="1"/>
    <n v="6.9"/>
    <n v="4006.9"/>
    <n v="4"/>
  </r>
  <r>
    <d v="2026-09-14T05:00:00"/>
    <x v="2"/>
    <n v="20.2"/>
    <n v="93.5"/>
    <n v="6.6"/>
    <n v="0"/>
    <n v="27.1"/>
    <n v="4000"/>
    <n v="4936.1000000000004"/>
    <n v="1"/>
    <n v="27.1"/>
    <n v="4027.1"/>
    <n v="5"/>
  </r>
  <r>
    <d v="2026-09-14T06:00:00"/>
    <x v="2"/>
    <n v="25.8"/>
    <n v="61.5"/>
    <n v="8.3000000000000007"/>
    <n v="226.2"/>
    <n v="55"/>
    <n v="4000"/>
    <n v="4840.3"/>
    <n v="1"/>
    <n v="281.2"/>
    <n v="4281.2"/>
    <n v="6"/>
  </r>
  <r>
    <d v="2026-09-14T07:00:00"/>
    <x v="2"/>
    <n v="24"/>
    <n v="69.3"/>
    <n v="0.3"/>
    <n v="386.4"/>
    <n v="0"/>
    <n v="4000"/>
    <n v="4858.8"/>
    <n v="1"/>
    <n v="386.4"/>
    <n v="4386.3999999999996"/>
    <n v="7"/>
  </r>
  <r>
    <d v="2026-09-14T08:00:00"/>
    <x v="2"/>
    <n v="27.1"/>
    <n v="48.1"/>
    <n v="2.7"/>
    <n v="767.3"/>
    <n v="1.9"/>
    <n v="4000"/>
    <n v="5252.3"/>
    <n v="1"/>
    <n v="769.19999999999993"/>
    <n v="4769.2"/>
    <n v="8"/>
  </r>
  <r>
    <d v="2026-09-14T09:00:00"/>
    <x v="2"/>
    <n v="25.7"/>
    <n v="70.7"/>
    <n v="6.6"/>
    <n v="679.6"/>
    <n v="27.3"/>
    <n v="4000"/>
    <n v="5002.1000000000004"/>
    <n v="1"/>
    <n v="706.9"/>
    <n v="4706.8999999999996"/>
    <n v="9"/>
  </r>
  <r>
    <d v="2026-09-14T10:00:00"/>
    <x v="2"/>
    <n v="29.2"/>
    <n v="77"/>
    <n v="2.9"/>
    <n v="691.3"/>
    <n v="2.2000000000000002"/>
    <n v="4000"/>
    <n v="7225.9"/>
    <n v="1"/>
    <n v="693.5"/>
    <n v="4693.5"/>
    <n v="10"/>
  </r>
  <r>
    <d v="2026-09-14T11:00:00"/>
    <x v="2"/>
    <n v="30.1"/>
    <n v="100"/>
    <n v="2.6"/>
    <n v="390"/>
    <n v="1.7"/>
    <n v="4000"/>
    <n v="7354.4"/>
    <n v="1"/>
    <n v="391.7"/>
    <n v="4391.7"/>
    <n v="11"/>
  </r>
  <r>
    <d v="2026-09-14T12:00:00"/>
    <x v="2"/>
    <n v="22.8"/>
    <n v="76.599999999999994"/>
    <n v="4.4000000000000004"/>
    <n v="774.5"/>
    <n v="7.9"/>
    <n v="4000"/>
    <n v="7186.4"/>
    <n v="1"/>
    <n v="782.4"/>
    <n v="4782.3999999999996"/>
    <n v="12"/>
  </r>
  <r>
    <d v="2026-09-14T13:00:00"/>
    <x v="2"/>
    <n v="25.3"/>
    <n v="9.3000000000000007"/>
    <n v="4.5999999999999996"/>
    <n v="1804.4"/>
    <n v="9.3000000000000007"/>
    <n v="4000"/>
    <n v="7438.5"/>
    <n v="1"/>
    <n v="1813.7"/>
    <n v="5813.7"/>
    <n v="13"/>
  </r>
  <r>
    <d v="2026-09-14T14:00:00"/>
    <x v="2"/>
    <n v="27.8"/>
    <n v="0"/>
    <n v="6.1"/>
    <n v="1801.9"/>
    <n v="21.6"/>
    <n v="4000"/>
    <n v="6853.7"/>
    <n v="1"/>
    <n v="1823.5"/>
    <n v="5823.5"/>
    <n v="14"/>
  </r>
  <r>
    <d v="2026-09-14T15:00:00"/>
    <x v="2"/>
    <n v="24.9"/>
    <n v="100"/>
    <n v="7.1"/>
    <n v="312.7"/>
    <n v="34.1"/>
    <n v="4000"/>
    <n v="4638.3"/>
    <n v="1"/>
    <n v="346.8"/>
    <n v="4346.8"/>
    <n v="15"/>
  </r>
  <r>
    <d v="2026-09-14T16:00:00"/>
    <x v="2"/>
    <n v="24.4"/>
    <n v="60.5"/>
    <n v="7.4"/>
    <n v="643"/>
    <n v="39.200000000000003"/>
    <n v="4000"/>
    <n v="4820.5"/>
    <n v="1"/>
    <n v="682.2"/>
    <n v="4682.2"/>
    <n v="16"/>
  </r>
  <r>
    <d v="2026-09-14T17:00:00"/>
    <x v="2"/>
    <n v="24.5"/>
    <n v="0"/>
    <n v="4.0999999999999996"/>
    <n v="867.8"/>
    <n v="6.7"/>
    <n v="3870.5"/>
    <n v="4745"/>
    <n v="0"/>
    <n v="874.5"/>
    <n v="4745"/>
    <n v="17"/>
  </r>
  <r>
    <d v="2026-09-14T18:00:00"/>
    <x v="2"/>
    <n v="23.3"/>
    <n v="60.7"/>
    <n v="1.8"/>
    <n v="229"/>
    <n v="0.5"/>
    <n v="4000"/>
    <n v="7626.8"/>
    <n v="1"/>
    <n v="229.5"/>
    <n v="4229.5"/>
    <n v="18"/>
  </r>
  <r>
    <d v="2026-09-14T19:00:00"/>
    <x v="2"/>
    <n v="21.1"/>
    <n v="57.6"/>
    <n v="4.3"/>
    <n v="0"/>
    <n v="7.4"/>
    <n v="4000"/>
    <n v="7552.3"/>
    <n v="1"/>
    <n v="7.4"/>
    <n v="4007.4"/>
    <n v="19"/>
  </r>
  <r>
    <d v="2026-09-14T20:00:00"/>
    <x v="2"/>
    <n v="20.9"/>
    <n v="44.5"/>
    <n v="5.7"/>
    <n v="0"/>
    <n v="18.100000000000001"/>
    <n v="4000"/>
    <n v="7627.9"/>
    <n v="1"/>
    <n v="18.100000000000001"/>
    <n v="4018.1"/>
    <n v="20"/>
  </r>
  <r>
    <d v="2026-09-14T21:00:00"/>
    <x v="2"/>
    <n v="15.6"/>
    <n v="4.4000000000000004"/>
    <n v="8.4"/>
    <n v="0"/>
    <n v="55.9"/>
    <n v="4000"/>
    <n v="8025.5"/>
    <n v="1"/>
    <n v="55.9"/>
    <n v="4055.9"/>
    <n v="21"/>
  </r>
  <r>
    <d v="2026-09-14T22:00:00"/>
    <x v="2"/>
    <n v="17"/>
    <n v="36.6"/>
    <n v="5.2"/>
    <n v="0"/>
    <n v="13.7"/>
    <n v="4000"/>
    <n v="4848.2"/>
    <n v="1"/>
    <n v="13.7"/>
    <n v="4013.7"/>
    <n v="22"/>
  </r>
  <r>
    <d v="2026-09-14T23:00:00"/>
    <x v="2"/>
    <n v="18.8"/>
    <n v="85.9"/>
    <n v="1.8"/>
    <n v="0"/>
    <n v="0.5"/>
    <n v="4000"/>
    <n v="5189.8"/>
    <n v="1"/>
    <n v="0.5"/>
    <n v="4000.5"/>
    <n v="2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d v="2026-09-01T00:00:00"/>
    <x v="0"/>
    <n v="21.8"/>
    <n v="38"/>
    <n v="7"/>
    <n v="0"/>
    <n v="22.4"/>
    <n v="4000"/>
    <n v="5024.5"/>
    <n v="1"/>
    <n v="22.4"/>
    <n v="4022.4"/>
    <n v="0"/>
  </r>
  <r>
    <d v="2026-09-01T01:00:00"/>
    <x v="0"/>
    <n v="21.9"/>
    <n v="56.6"/>
    <n v="5.5"/>
    <n v="0"/>
    <n v="10.9"/>
    <n v="4000"/>
    <n v="4914.8999999999996"/>
    <n v="1"/>
    <n v="10.9"/>
    <n v="4010.9"/>
    <n v="1"/>
  </r>
  <r>
    <d v="2026-09-01T02:00:00"/>
    <x v="0"/>
    <n v="23.6"/>
    <n v="15.7"/>
    <n v="3.1"/>
    <n v="0"/>
    <n v="1.8"/>
    <n v="4000"/>
    <n v="4879.6000000000004"/>
    <n v="1"/>
    <n v="1.8"/>
    <n v="4001.8"/>
    <n v="2"/>
  </r>
  <r>
    <d v="2026-09-01T03:00:00"/>
    <x v="0"/>
    <n v="20.9"/>
    <n v="0"/>
    <n v="2.9"/>
    <n v="0"/>
    <n v="1.5"/>
    <n v="4000"/>
    <n v="4986.3"/>
    <n v="1"/>
    <n v="1.5"/>
    <n v="4001.5"/>
    <n v="3"/>
  </r>
  <r>
    <d v="2026-09-01T04:00:00"/>
    <x v="0"/>
    <n v="25.5"/>
    <n v="6.8"/>
    <n v="1.2"/>
    <n v="0"/>
    <n v="0.1"/>
    <n v="4000"/>
    <n v="4798.1000000000004"/>
    <n v="1"/>
    <n v="0.1"/>
    <n v="4000.1"/>
    <n v="4"/>
  </r>
  <r>
    <d v="2026-09-01T05:00:00"/>
    <x v="0"/>
    <n v="26.1"/>
    <n v="26.4"/>
    <n v="1.2"/>
    <n v="0"/>
    <n v="0.1"/>
    <n v="4000"/>
    <n v="5169.8"/>
    <n v="1"/>
    <n v="0.1"/>
    <n v="4000.1"/>
    <n v="5"/>
  </r>
  <r>
    <d v="2026-09-01T06:00:00"/>
    <x v="0"/>
    <n v="28.2"/>
    <n v="2"/>
    <n v="4.8"/>
    <n v="658.3"/>
    <n v="6.9"/>
    <n v="4000"/>
    <n v="4868.3"/>
    <n v="1"/>
    <n v="665.19999999999993"/>
    <n v="4665.2"/>
    <n v="6"/>
  </r>
  <r>
    <d v="2026-09-01T07:00:00"/>
    <x v="0"/>
    <n v="29.1"/>
    <n v="13"/>
    <n v="7.7"/>
    <n v="1183.5"/>
    <n v="29.3"/>
    <n v="3647.1"/>
    <n v="4859.8999999999996"/>
    <n v="0"/>
    <n v="1212.8"/>
    <n v="4859.8999999999996"/>
    <n v="7"/>
  </r>
  <r>
    <d v="2026-09-01T08:00:00"/>
    <x v="0"/>
    <n v="29.4"/>
    <n v="41.5"/>
    <n v="1.6"/>
    <n v="1327.7"/>
    <n v="0.2"/>
    <n v="3620.1"/>
    <n v="4948"/>
    <n v="0"/>
    <n v="1327.9"/>
    <n v="4948"/>
    <n v="8"/>
  </r>
  <r>
    <d v="2026-09-01T09:00:00"/>
    <x v="0"/>
    <n v="29.3"/>
    <n v="0"/>
    <n v="4.4000000000000004"/>
    <n v="2345.5"/>
    <n v="5.4"/>
    <n v="2630.4"/>
    <n v="4981.3"/>
    <n v="0"/>
    <n v="2350.9"/>
    <n v="4981.3"/>
    <n v="9"/>
  </r>
  <r>
    <d v="2026-09-01T10:00:00"/>
    <x v="0"/>
    <n v="33.5"/>
    <n v="22.7"/>
    <n v="3.4"/>
    <n v="2273.6999999999998"/>
    <n v="2.5"/>
    <n v="4000"/>
    <n v="7260.8"/>
    <n v="1"/>
    <n v="2276.1999999999998"/>
    <n v="6276.2"/>
    <n v="10"/>
  </r>
  <r>
    <d v="2026-09-01T11:00:00"/>
    <x v="0"/>
    <n v="32.700000000000003"/>
    <n v="15.8"/>
    <n v="6.1"/>
    <n v="2601.6"/>
    <n v="14.6"/>
    <n v="4000"/>
    <n v="6928.2"/>
    <n v="1"/>
    <n v="2616.1999999999998"/>
    <n v="6616.2"/>
    <n v="11"/>
  </r>
  <r>
    <d v="2026-09-01T12:00:00"/>
    <x v="0"/>
    <n v="31.4"/>
    <n v="31.5"/>
    <n v="3.2"/>
    <n v="2338.9"/>
    <n v="2.2000000000000002"/>
    <n v="4000"/>
    <n v="7201.5"/>
    <n v="1"/>
    <n v="2341.1"/>
    <n v="6341.1"/>
    <n v="12"/>
  </r>
  <r>
    <d v="2026-09-01T13:00:00"/>
    <x v="0"/>
    <n v="34.700000000000003"/>
    <n v="45.6"/>
    <n v="5.9"/>
    <n v="1990.8"/>
    <n v="12.9"/>
    <n v="4000"/>
    <n v="7048.5"/>
    <n v="1"/>
    <n v="2003.7"/>
    <n v="6003.7"/>
    <n v="13"/>
  </r>
  <r>
    <d v="2026-09-01T14:00:00"/>
    <x v="0"/>
    <n v="32.700000000000003"/>
    <n v="31.6"/>
    <n v="6"/>
    <n v="2104.5"/>
    <n v="13.5"/>
    <n v="4000"/>
    <n v="7024.1"/>
    <n v="1"/>
    <n v="2118"/>
    <n v="6118"/>
    <n v="14"/>
  </r>
  <r>
    <d v="2026-09-01T15:00:00"/>
    <x v="0"/>
    <n v="32"/>
    <n v="2.9"/>
    <n v="1.6"/>
    <n v="2298.3000000000002"/>
    <n v="0.3"/>
    <n v="2579.5"/>
    <n v="4878.1000000000004"/>
    <n v="0"/>
    <n v="2298.6000000000004"/>
    <n v="4878.1000000000004"/>
    <n v="15"/>
  </r>
  <r>
    <d v="2026-09-01T16:00:00"/>
    <x v="0"/>
    <n v="33"/>
    <n v="23.6"/>
    <n v="6"/>
    <n v="1562"/>
    <n v="13.9"/>
    <n v="3496"/>
    <n v="5071.8999999999996"/>
    <n v="0"/>
    <n v="1575.9"/>
    <n v="5071.8999999999996"/>
    <n v="16"/>
  </r>
  <r>
    <d v="2026-09-01T17:00:00"/>
    <x v="0"/>
    <n v="28.6"/>
    <n v="32.200000000000003"/>
    <n v="7.1"/>
    <n v="1008"/>
    <n v="22.7"/>
    <n v="3973.5"/>
    <n v="5004.2"/>
    <n v="0"/>
    <n v="1030.7"/>
    <n v="5004.2"/>
    <n v="17"/>
  </r>
  <r>
    <d v="2026-09-01T18:00:00"/>
    <x v="0"/>
    <n v="30.3"/>
    <n v="0"/>
    <n v="5.6"/>
    <n v="667.6"/>
    <n v="11.5"/>
    <n v="4000"/>
    <n v="7694.6"/>
    <n v="1"/>
    <n v="679.1"/>
    <n v="4679.1000000000004"/>
    <n v="18"/>
  </r>
  <r>
    <d v="2026-09-01T19:00:00"/>
    <x v="0"/>
    <n v="26"/>
    <n v="26.8"/>
    <n v="0"/>
    <n v="0"/>
    <n v="0"/>
    <n v="4000"/>
    <n v="7713.1"/>
    <n v="1"/>
    <n v="0"/>
    <n v="4000"/>
    <n v="19"/>
  </r>
  <r>
    <d v="2026-09-01T20:00:00"/>
    <x v="0"/>
    <n v="25.5"/>
    <n v="54.6"/>
    <n v="3"/>
    <n v="0"/>
    <n v="1.7"/>
    <n v="4000"/>
    <n v="7667"/>
    <n v="1"/>
    <n v="1.7"/>
    <n v="4001.7"/>
    <n v="20"/>
  </r>
  <r>
    <d v="2026-09-01T21:00:00"/>
    <x v="0"/>
    <n v="23"/>
    <n v="43.3"/>
    <n v="4.7"/>
    <n v="0"/>
    <n v="6.5"/>
    <n v="4000"/>
    <n v="7578.7"/>
    <n v="1"/>
    <n v="6.5"/>
    <n v="4006.5"/>
    <n v="21"/>
  </r>
  <r>
    <d v="2026-09-01T22:00:00"/>
    <x v="0"/>
    <n v="23.6"/>
    <n v="26.9"/>
    <n v="5.9"/>
    <n v="0"/>
    <n v="13.4"/>
    <n v="4000"/>
    <n v="4870.5"/>
    <n v="1"/>
    <n v="13.4"/>
    <n v="4013.4"/>
    <n v="22"/>
  </r>
  <r>
    <d v="2026-09-01T23:00:00"/>
    <x v="0"/>
    <n v="21.7"/>
    <n v="17.2"/>
    <n v="1.1000000000000001"/>
    <n v="0"/>
    <n v="0.1"/>
    <n v="4000"/>
    <n v="4844.7"/>
    <n v="1"/>
    <n v="0.1"/>
    <n v="4000.1"/>
    <n v="23"/>
  </r>
  <r>
    <d v="2026-09-02T00:00:00"/>
    <x v="0"/>
    <n v="22.4"/>
    <n v="25.1"/>
    <n v="3.5"/>
    <n v="0"/>
    <n v="2.8"/>
    <n v="4000"/>
    <n v="4994.3999999999996"/>
    <n v="1"/>
    <n v="2.8"/>
    <n v="4002.8"/>
    <n v="0"/>
  </r>
  <r>
    <d v="2026-09-02T01:00:00"/>
    <x v="0"/>
    <n v="21.6"/>
    <n v="18.100000000000001"/>
    <n v="2.4"/>
    <n v="0"/>
    <n v="0.9"/>
    <n v="4000"/>
    <n v="4737.7"/>
    <n v="1"/>
    <n v="0.9"/>
    <n v="4000.9"/>
    <n v="1"/>
  </r>
  <r>
    <d v="2026-09-02T02:00:00"/>
    <x v="0"/>
    <n v="23.4"/>
    <n v="62.7"/>
    <n v="4.3"/>
    <n v="0"/>
    <n v="5.3"/>
    <n v="4000"/>
    <n v="4925.8"/>
    <n v="1"/>
    <n v="5.3"/>
    <n v="4005.3"/>
    <n v="2"/>
  </r>
  <r>
    <d v="2026-09-02T03:00:00"/>
    <x v="0"/>
    <n v="23.6"/>
    <n v="0"/>
    <n v="3.9"/>
    <n v="0"/>
    <n v="3.9"/>
    <n v="4000"/>
    <n v="4988.6000000000004"/>
    <n v="1"/>
    <n v="3.9"/>
    <n v="4003.9"/>
    <n v="3"/>
  </r>
  <r>
    <d v="2026-09-02T04:00:00"/>
    <x v="0"/>
    <n v="28.7"/>
    <n v="21.2"/>
    <n v="4.5999999999999996"/>
    <n v="0"/>
    <n v="6.2"/>
    <n v="4000"/>
    <n v="4959"/>
    <n v="1"/>
    <n v="6.2"/>
    <n v="4006.2"/>
    <n v="4"/>
  </r>
  <r>
    <d v="2026-09-02T05:00:00"/>
    <x v="0"/>
    <n v="24.7"/>
    <n v="47.9"/>
    <n v="5.5"/>
    <n v="0"/>
    <n v="10.7"/>
    <n v="4000"/>
    <n v="4944.8"/>
    <n v="1"/>
    <n v="10.7"/>
    <n v="4010.7"/>
    <n v="5"/>
  </r>
  <r>
    <d v="2026-09-02T06:00:00"/>
    <x v="0"/>
    <n v="26.6"/>
    <n v="53.1"/>
    <n v="1.2"/>
    <n v="419.6"/>
    <n v="0.1"/>
    <n v="4000"/>
    <n v="5068.7"/>
    <n v="1"/>
    <n v="419.70000000000005"/>
    <n v="4419.7"/>
    <n v="6"/>
  </r>
  <r>
    <d v="2026-09-02T07:00:00"/>
    <x v="0"/>
    <n v="32.799999999999997"/>
    <n v="5.2"/>
    <n v="2.9"/>
    <n v="1254.4000000000001"/>
    <n v="1.5"/>
    <n v="3782.1"/>
    <n v="5038"/>
    <n v="0"/>
    <n v="1255.9000000000001"/>
    <n v="5038"/>
    <n v="7"/>
  </r>
  <r>
    <d v="2026-09-02T08:00:00"/>
    <x v="0"/>
    <n v="30.2"/>
    <n v="0"/>
    <n v="4.0999999999999996"/>
    <n v="1870.5"/>
    <n v="4.5"/>
    <n v="3089.9"/>
    <n v="4964.8999999999996"/>
    <n v="0"/>
    <n v="1875"/>
    <n v="4964.8999999999996"/>
    <n v="8"/>
  </r>
  <r>
    <d v="2026-09-02T09:00:00"/>
    <x v="0"/>
    <n v="33"/>
    <n v="6.6"/>
    <n v="7.1"/>
    <n v="2236.9"/>
    <n v="22.9"/>
    <n v="2530.9"/>
    <n v="4790.7"/>
    <n v="0"/>
    <n v="2259.8000000000002"/>
    <n v="4790.7000000000007"/>
    <n v="9"/>
  </r>
  <r>
    <d v="2026-09-02T10:00:00"/>
    <x v="0"/>
    <n v="32.700000000000003"/>
    <n v="41.3"/>
    <n v="1.5"/>
    <n v="1922.1"/>
    <n v="0.2"/>
    <n v="4000"/>
    <n v="7032.5"/>
    <n v="1"/>
    <n v="1922.3"/>
    <n v="5922.3"/>
    <n v="10"/>
  </r>
  <r>
    <d v="2026-09-02T11:00:00"/>
    <x v="0"/>
    <n v="35.799999999999997"/>
    <n v="0"/>
    <n v="4.4000000000000004"/>
    <n v="2924.8"/>
    <n v="5.3"/>
    <n v="4000"/>
    <n v="7184.1"/>
    <n v="1"/>
    <n v="2930.1000000000004"/>
    <n v="6930.1"/>
    <n v="11"/>
  </r>
  <r>
    <d v="2026-09-02T12:00:00"/>
    <x v="0"/>
    <n v="35.200000000000003"/>
    <n v="0.3"/>
    <n v="1.4"/>
    <n v="2994.5"/>
    <n v="0.2"/>
    <n v="4000"/>
    <n v="7189"/>
    <n v="1"/>
    <n v="2994.7"/>
    <n v="6994.7"/>
    <n v="12"/>
  </r>
  <r>
    <d v="2026-09-02T13:00:00"/>
    <x v="0"/>
    <n v="34.200000000000003"/>
    <n v="30"/>
    <n v="4.7"/>
    <n v="2310.4"/>
    <n v="6.6"/>
    <n v="4000"/>
    <n v="7228.3"/>
    <n v="1"/>
    <n v="2317"/>
    <n v="6317"/>
    <n v="13"/>
  </r>
  <r>
    <d v="2026-09-02T14:00:00"/>
    <x v="0"/>
    <n v="33.5"/>
    <n v="30.9"/>
    <n v="2.6"/>
    <n v="2119"/>
    <n v="1.1000000000000001"/>
    <n v="4000"/>
    <n v="7048"/>
    <n v="1"/>
    <n v="2120.1"/>
    <n v="6120.1"/>
    <n v="14"/>
  </r>
  <r>
    <d v="2026-09-02T15:00:00"/>
    <x v="0"/>
    <n v="33"/>
    <n v="1.2"/>
    <n v="5.3"/>
    <n v="2326.1999999999998"/>
    <n v="9.6"/>
    <n v="2894.1"/>
    <n v="5229.8999999999996"/>
    <n v="0"/>
    <n v="2335.7999999999997"/>
    <n v="5229.8999999999996"/>
    <n v="15"/>
  </r>
  <r>
    <d v="2026-09-02T16:00:00"/>
    <x v="0"/>
    <n v="32.200000000000003"/>
    <n v="48.2"/>
    <n v="2.4"/>
    <n v="1239.7"/>
    <n v="0.8"/>
    <n v="3563.3"/>
    <n v="4803.8"/>
    <n v="0"/>
    <n v="1240.5"/>
    <n v="4803.8"/>
    <n v="16"/>
  </r>
  <r>
    <d v="2026-09-02T17:00:00"/>
    <x v="0"/>
    <n v="30.2"/>
    <n v="41.4"/>
    <n v="7.8"/>
    <n v="924.1"/>
    <n v="30.3"/>
    <n v="4000"/>
    <n v="5094.5"/>
    <n v="1"/>
    <n v="954.4"/>
    <n v="4954.3999999999996"/>
    <n v="17"/>
  </r>
  <r>
    <d v="2026-09-02T18:00:00"/>
    <x v="0"/>
    <n v="26.9"/>
    <n v="7.2"/>
    <n v="2.4"/>
    <n v="633.9"/>
    <n v="0.9"/>
    <n v="4000"/>
    <n v="7663.2"/>
    <n v="1"/>
    <n v="634.79999999999995"/>
    <n v="4634.8"/>
    <n v="18"/>
  </r>
  <r>
    <d v="2026-09-02T19:00:00"/>
    <x v="0"/>
    <n v="27"/>
    <n v="30.5"/>
    <n v="5.7"/>
    <n v="0"/>
    <n v="11.6"/>
    <n v="4000"/>
    <n v="7688.4"/>
    <n v="1"/>
    <n v="11.6"/>
    <n v="4011.6"/>
    <n v="19"/>
  </r>
  <r>
    <d v="2026-09-02T20:00:00"/>
    <x v="0"/>
    <n v="27.2"/>
    <n v="19.7"/>
    <n v="9.4"/>
    <n v="0"/>
    <n v="53.8"/>
    <n v="4000"/>
    <n v="7702"/>
    <n v="1"/>
    <n v="53.8"/>
    <n v="4053.8"/>
    <n v="20"/>
  </r>
  <r>
    <d v="2026-09-02T21:00:00"/>
    <x v="0"/>
    <n v="22.5"/>
    <n v="3.6"/>
    <n v="5"/>
    <n v="0"/>
    <n v="7.8"/>
    <n v="4000"/>
    <n v="7793.9"/>
    <n v="1"/>
    <n v="7.8"/>
    <n v="4007.8"/>
    <n v="21"/>
  </r>
  <r>
    <d v="2026-09-02T22:00:00"/>
    <x v="0"/>
    <n v="23.9"/>
    <n v="34.5"/>
    <n v="3.9"/>
    <n v="0"/>
    <n v="3.7"/>
    <n v="4000"/>
    <n v="4916.5"/>
    <n v="1"/>
    <n v="3.7"/>
    <n v="4003.7"/>
    <n v="22"/>
  </r>
  <r>
    <d v="2026-09-02T23:00:00"/>
    <x v="0"/>
    <n v="19.899999999999999"/>
    <n v="16.100000000000001"/>
    <n v="5.7"/>
    <n v="0"/>
    <n v="11.9"/>
    <n v="4000"/>
    <n v="4823"/>
    <n v="1"/>
    <n v="11.9"/>
    <n v="4011.9"/>
    <n v="23"/>
  </r>
  <r>
    <d v="2026-09-03T00:00:00"/>
    <x v="0"/>
    <n v="20.100000000000001"/>
    <n v="28.5"/>
    <n v="4.8"/>
    <n v="0"/>
    <n v="6.9"/>
    <n v="4000"/>
    <n v="4982.1000000000004"/>
    <n v="1"/>
    <n v="6.9"/>
    <n v="4006.9"/>
    <n v="0"/>
  </r>
  <r>
    <d v="2026-09-03T01:00:00"/>
    <x v="0"/>
    <n v="22.4"/>
    <n v="26.2"/>
    <n v="1.7"/>
    <n v="0"/>
    <n v="0.3"/>
    <n v="4000"/>
    <n v="4817.3999999999996"/>
    <n v="1"/>
    <n v="0.3"/>
    <n v="4000.3"/>
    <n v="1"/>
  </r>
  <r>
    <d v="2026-09-03T02:00:00"/>
    <x v="0"/>
    <n v="23.6"/>
    <n v="46.7"/>
    <n v="6.1"/>
    <n v="0"/>
    <n v="14.6"/>
    <n v="4000"/>
    <n v="5003.7"/>
    <n v="1"/>
    <n v="14.6"/>
    <n v="4014.6"/>
    <n v="2"/>
  </r>
  <r>
    <d v="2026-09-03T03:00:00"/>
    <x v="0"/>
    <n v="22.4"/>
    <n v="35.299999999999997"/>
    <n v="5"/>
    <n v="0"/>
    <n v="8.1"/>
    <n v="4000"/>
    <n v="4743.3"/>
    <n v="1"/>
    <n v="8.1"/>
    <n v="4008.1"/>
    <n v="3"/>
  </r>
  <r>
    <d v="2026-09-03T04:00:00"/>
    <x v="0"/>
    <n v="30.8"/>
    <n v="36.4"/>
    <n v="6.3"/>
    <n v="0"/>
    <n v="15.8"/>
    <n v="4000"/>
    <n v="5027.3"/>
    <n v="1"/>
    <n v="15.8"/>
    <n v="4015.8"/>
    <n v="4"/>
  </r>
  <r>
    <d v="2026-09-03T05:00:00"/>
    <x v="0"/>
    <n v="27.4"/>
    <n v="18.7"/>
    <n v="5.5"/>
    <n v="0"/>
    <n v="10.8"/>
    <n v="4000"/>
    <n v="5093.1000000000004"/>
    <n v="1"/>
    <n v="10.8"/>
    <n v="4010.8"/>
    <n v="5"/>
  </r>
  <r>
    <d v="2026-09-03T06:00:00"/>
    <x v="0"/>
    <n v="27.6"/>
    <n v="15.3"/>
    <n v="4.2"/>
    <n v="596.1"/>
    <n v="4.5999999999999996"/>
    <n v="4000"/>
    <n v="4834.1000000000004"/>
    <n v="1"/>
    <n v="600.70000000000005"/>
    <n v="4600.7"/>
    <n v="6"/>
  </r>
  <r>
    <d v="2026-09-03T07:00:00"/>
    <x v="0"/>
    <n v="26.8"/>
    <n v="38.700000000000003"/>
    <n v="0.8"/>
    <n v="948.8"/>
    <n v="0"/>
    <n v="4000"/>
    <n v="5297.2"/>
    <n v="1"/>
    <n v="948.8"/>
    <n v="4948.8"/>
    <n v="7"/>
  </r>
  <r>
    <d v="2026-09-03T08:00:00"/>
    <x v="0"/>
    <n v="32.6"/>
    <n v="26.3"/>
    <n v="1.8"/>
    <n v="1526.3"/>
    <n v="0.4"/>
    <n v="3352.5"/>
    <n v="4879.2"/>
    <n v="0"/>
    <n v="1526.7"/>
    <n v="4879.2"/>
    <n v="8"/>
  </r>
  <r>
    <d v="2026-09-03T09:00:00"/>
    <x v="0"/>
    <n v="33.299999999999997"/>
    <n v="10.4"/>
    <n v="4.4000000000000004"/>
    <n v="2174.9"/>
    <n v="5.6"/>
    <n v="2662.2"/>
    <n v="4842.7"/>
    <n v="0"/>
    <n v="2180.5"/>
    <n v="4842.7"/>
    <n v="9"/>
  </r>
  <r>
    <d v="2026-09-03T10:00:00"/>
    <x v="0"/>
    <n v="32.200000000000003"/>
    <n v="67.900000000000006"/>
    <n v="5.3"/>
    <n v="1418.6"/>
    <n v="9.4"/>
    <n v="4000"/>
    <n v="7156.8"/>
    <n v="1"/>
    <n v="1428"/>
    <n v="5428"/>
    <n v="10"/>
  </r>
  <r>
    <d v="2026-09-03T11:00:00"/>
    <x v="0"/>
    <n v="34.1"/>
    <n v="11.8"/>
    <n v="5.7"/>
    <n v="2683.9"/>
    <n v="11.9"/>
    <n v="4000"/>
    <n v="6846.2"/>
    <n v="1"/>
    <n v="2695.8"/>
    <n v="6695.8"/>
    <n v="11"/>
  </r>
  <r>
    <d v="2026-09-03T12:00:00"/>
    <x v="0"/>
    <n v="33.799999999999997"/>
    <n v="35.1"/>
    <n v="5.7"/>
    <n v="2262.9"/>
    <n v="12.1"/>
    <n v="4000"/>
    <n v="7031.1"/>
    <n v="1"/>
    <n v="2275"/>
    <n v="6275"/>
    <n v="12"/>
  </r>
  <r>
    <d v="2026-09-03T13:00:00"/>
    <x v="0"/>
    <n v="33.299999999999997"/>
    <n v="15.5"/>
    <n v="2.7"/>
    <n v="2607.4"/>
    <n v="1.3"/>
    <n v="4000"/>
    <n v="6970"/>
    <n v="1"/>
    <n v="2608.7000000000003"/>
    <n v="6608.7000000000007"/>
    <n v="13"/>
  </r>
  <r>
    <d v="2026-09-03T14:00:00"/>
    <x v="0"/>
    <n v="33.799999999999997"/>
    <n v="0"/>
    <n v="5.8"/>
    <n v="2702.9"/>
    <n v="12.7"/>
    <n v="4000"/>
    <n v="7414.8"/>
    <n v="1"/>
    <n v="2715.6"/>
    <n v="6715.6"/>
    <n v="14"/>
  </r>
  <r>
    <d v="2026-09-03T15:00:00"/>
    <x v="0"/>
    <n v="33.799999999999997"/>
    <n v="0"/>
    <n v="3"/>
    <n v="2345.5"/>
    <n v="1.8"/>
    <n v="2921"/>
    <n v="5268.3"/>
    <n v="0"/>
    <n v="2347.3000000000002"/>
    <n v="5268.3"/>
    <n v="15"/>
  </r>
  <r>
    <d v="2026-09-03T16:00:00"/>
    <x v="0"/>
    <n v="29.9"/>
    <n v="33.9"/>
    <n v="5.5"/>
    <n v="1426.9"/>
    <n v="10.9"/>
    <n v="3702.2"/>
    <n v="5140"/>
    <n v="0"/>
    <n v="1437.8000000000002"/>
    <n v="5140"/>
    <n v="16"/>
  </r>
  <r>
    <d v="2026-09-03T17:00:00"/>
    <x v="0"/>
    <n v="29.5"/>
    <n v="0"/>
    <n v="2"/>
    <n v="1301.7"/>
    <n v="0.5"/>
    <n v="3508.8"/>
    <n v="4811"/>
    <n v="0"/>
    <n v="1302.2"/>
    <n v="4811"/>
    <n v="17"/>
  </r>
  <r>
    <d v="2026-09-03T18:00:00"/>
    <x v="0"/>
    <n v="26.1"/>
    <n v="57.6"/>
    <n v="1.1000000000000001"/>
    <n v="398.2"/>
    <n v="0.1"/>
    <n v="4000"/>
    <n v="7662.1"/>
    <n v="1"/>
    <n v="398.3"/>
    <n v="4398.3"/>
    <n v="18"/>
  </r>
  <r>
    <d v="2026-09-03T19:00:00"/>
    <x v="0"/>
    <n v="26.6"/>
    <n v="53.8"/>
    <n v="1.1000000000000001"/>
    <n v="0"/>
    <n v="0.1"/>
    <n v="4000"/>
    <n v="7634"/>
    <n v="1"/>
    <n v="0.1"/>
    <n v="4000.1"/>
    <n v="19"/>
  </r>
  <r>
    <d v="2026-09-03T20:00:00"/>
    <x v="0"/>
    <n v="25"/>
    <n v="5.4"/>
    <n v="4.9000000000000004"/>
    <n v="0"/>
    <n v="7.6"/>
    <n v="4000"/>
    <n v="7874.5"/>
    <n v="1"/>
    <n v="7.6"/>
    <n v="4007.6"/>
    <n v="20"/>
  </r>
  <r>
    <d v="2026-09-03T21:00:00"/>
    <x v="0"/>
    <n v="22.9"/>
    <n v="26.4"/>
    <n v="3.2"/>
    <n v="0"/>
    <n v="2.2000000000000002"/>
    <n v="4000"/>
    <n v="7729.9"/>
    <n v="1"/>
    <n v="2.2000000000000002"/>
    <n v="4002.2"/>
    <n v="21"/>
  </r>
  <r>
    <d v="2026-09-03T22:00:00"/>
    <x v="0"/>
    <n v="23.8"/>
    <n v="56.7"/>
    <n v="1.5"/>
    <n v="0"/>
    <n v="0.2"/>
    <n v="4000"/>
    <n v="4967"/>
    <n v="1"/>
    <n v="0.2"/>
    <n v="4000.2"/>
    <n v="22"/>
  </r>
  <r>
    <d v="2026-09-03T23:00:00"/>
    <x v="0"/>
    <n v="19.3"/>
    <n v="22"/>
    <n v="5.2"/>
    <n v="0"/>
    <n v="8.9"/>
    <n v="4000"/>
    <n v="5270"/>
    <n v="1"/>
    <n v="8.9"/>
    <n v="4008.9"/>
    <n v="23"/>
  </r>
  <r>
    <d v="2026-09-04T00:00:00"/>
    <x v="0"/>
    <n v="21.1"/>
    <n v="20.8"/>
    <n v="3"/>
    <n v="0"/>
    <n v="1.8"/>
    <n v="4000"/>
    <n v="4992.1000000000004"/>
    <n v="1"/>
    <n v="1.8"/>
    <n v="4001.8"/>
    <n v="0"/>
  </r>
  <r>
    <d v="2026-09-04T01:00:00"/>
    <x v="0"/>
    <n v="23.5"/>
    <n v="32.1"/>
    <n v="2.6"/>
    <n v="0"/>
    <n v="1.1000000000000001"/>
    <n v="4000"/>
    <n v="4861.6000000000004"/>
    <n v="1"/>
    <n v="1.1000000000000001"/>
    <n v="4001.1"/>
    <n v="1"/>
  </r>
  <r>
    <d v="2026-09-04T02:00:00"/>
    <x v="0"/>
    <n v="23.3"/>
    <n v="41.3"/>
    <n v="5.3"/>
    <n v="0"/>
    <n v="9.3000000000000007"/>
    <n v="4000"/>
    <n v="5084.8999999999996"/>
    <n v="1"/>
    <n v="9.3000000000000007"/>
    <n v="4009.3"/>
    <n v="2"/>
  </r>
  <r>
    <d v="2026-09-04T03:00:00"/>
    <x v="0"/>
    <n v="22.9"/>
    <n v="39.9"/>
    <n v="5.2"/>
    <n v="0"/>
    <n v="9.1"/>
    <n v="4000"/>
    <n v="4825.7"/>
    <n v="1"/>
    <n v="9.1"/>
    <n v="4009.1"/>
    <n v="3"/>
  </r>
  <r>
    <d v="2026-09-04T04:00:00"/>
    <x v="0"/>
    <n v="25.2"/>
    <n v="50.6"/>
    <n v="2.8"/>
    <n v="0"/>
    <n v="1.4"/>
    <n v="4000"/>
    <n v="4946.8999999999996"/>
    <n v="1"/>
    <n v="1.4"/>
    <n v="4001.4"/>
    <n v="4"/>
  </r>
  <r>
    <d v="2026-09-04T05:00:00"/>
    <x v="0"/>
    <n v="26.1"/>
    <n v="20.6"/>
    <n v="6.2"/>
    <n v="0"/>
    <n v="15.2"/>
    <n v="4000"/>
    <n v="5032.1000000000004"/>
    <n v="1"/>
    <n v="15.2"/>
    <n v="4015.2"/>
    <n v="5"/>
  </r>
  <r>
    <d v="2026-09-04T06:00:00"/>
    <x v="0"/>
    <n v="29.2"/>
    <n v="51.1"/>
    <n v="4"/>
    <n v="428.7"/>
    <n v="4.2"/>
    <n v="4000"/>
    <n v="5073.8"/>
    <n v="1"/>
    <n v="432.9"/>
    <n v="4432.8999999999996"/>
    <n v="6"/>
  </r>
  <r>
    <d v="2026-09-04T07:00:00"/>
    <x v="0"/>
    <n v="29.1"/>
    <n v="31.5"/>
    <n v="3.7"/>
    <n v="1014.8"/>
    <n v="3.3"/>
    <n v="4000"/>
    <n v="5052.3"/>
    <n v="1"/>
    <n v="1018.0999999999999"/>
    <n v="5018.1000000000004"/>
    <n v="7"/>
  </r>
  <r>
    <d v="2026-09-04T08:00:00"/>
    <x v="0"/>
    <n v="31.9"/>
    <n v="8.6"/>
    <n v="8.1999999999999993"/>
    <n v="1757.4"/>
    <n v="35.1"/>
    <n v="3172"/>
    <n v="4964.5"/>
    <n v="0"/>
    <n v="1792.5"/>
    <n v="4964.5"/>
    <n v="8"/>
  </r>
  <r>
    <d v="2026-09-04T09:00:00"/>
    <x v="0"/>
    <n v="30.4"/>
    <n v="48.2"/>
    <n v="5.6"/>
    <n v="1554.7"/>
    <n v="11.1"/>
    <n v="3233.3"/>
    <n v="4799.1000000000004"/>
    <n v="0"/>
    <n v="1565.8"/>
    <n v="4799.1000000000004"/>
    <n v="9"/>
  </r>
  <r>
    <d v="2026-09-04T10:00:00"/>
    <x v="0"/>
    <n v="34.1"/>
    <n v="24.8"/>
    <n v="2.2000000000000002"/>
    <n v="2234.5"/>
    <n v="0.7"/>
    <n v="4000"/>
    <n v="7243.6"/>
    <n v="1"/>
    <n v="2235.1999999999998"/>
    <n v="6235.2"/>
    <n v="10"/>
  </r>
  <r>
    <d v="2026-09-04T11:00:00"/>
    <x v="0"/>
    <n v="32.799999999999997"/>
    <n v="44.5"/>
    <n v="3.7"/>
    <n v="2013.7"/>
    <n v="3.3"/>
    <n v="4000"/>
    <n v="7161.4"/>
    <n v="1"/>
    <n v="2017"/>
    <n v="6017"/>
    <n v="11"/>
  </r>
  <r>
    <d v="2026-09-04T12:00:00"/>
    <x v="0"/>
    <n v="33.5"/>
    <n v="33.299999999999997"/>
    <n v="2.9"/>
    <n v="2301.6"/>
    <n v="1.5"/>
    <n v="4000"/>
    <n v="7026.2"/>
    <n v="1"/>
    <n v="2303.1"/>
    <n v="6303.1"/>
    <n v="12"/>
  </r>
  <r>
    <d v="2026-09-04T13:00:00"/>
    <x v="0"/>
    <n v="34.200000000000003"/>
    <n v="29.9"/>
    <n v="3"/>
    <n v="2312.6"/>
    <n v="1.7"/>
    <n v="4000"/>
    <n v="7026.7"/>
    <n v="1"/>
    <n v="2314.2999999999997"/>
    <n v="6314.2999999999993"/>
    <n v="13"/>
  </r>
  <r>
    <d v="2026-09-04T14:00:00"/>
    <x v="0"/>
    <n v="33.5"/>
    <n v="0"/>
    <n v="1.2"/>
    <n v="2702.9"/>
    <n v="0.1"/>
    <n v="4000"/>
    <n v="7079.3"/>
    <n v="1"/>
    <n v="2703"/>
    <n v="6703"/>
    <n v="14"/>
  </r>
  <r>
    <d v="2026-09-04T15:00:00"/>
    <x v="0"/>
    <n v="31.9"/>
    <n v="31.2"/>
    <n v="7"/>
    <n v="1832.9"/>
    <n v="21.5"/>
    <n v="2987.8"/>
    <n v="4842.2"/>
    <n v="0"/>
    <n v="1854.4"/>
    <n v="4842.2000000000007"/>
    <n v="15"/>
  </r>
  <r>
    <d v="2026-09-04T16:00:00"/>
    <x v="0"/>
    <n v="30.8"/>
    <n v="24.6"/>
    <n v="2"/>
    <n v="1548.1"/>
    <n v="0.5"/>
    <n v="3530"/>
    <n v="5078.6000000000004"/>
    <n v="0"/>
    <n v="1548.6"/>
    <n v="5078.6000000000004"/>
    <n v="16"/>
  </r>
  <r>
    <d v="2026-09-04T17:00:00"/>
    <x v="0"/>
    <n v="29.1"/>
    <n v="31.5"/>
    <n v="2.2999999999999998"/>
    <n v="1015.1"/>
    <n v="0.8"/>
    <n v="3931.3"/>
    <n v="4947.2"/>
    <n v="0"/>
    <n v="1015.9"/>
    <n v="4947.2"/>
    <n v="17"/>
  </r>
  <r>
    <d v="2026-09-04T18:00:00"/>
    <x v="0"/>
    <n v="30.3"/>
    <n v="22.8"/>
    <n v="4.8"/>
    <n v="560.9"/>
    <n v="7.1"/>
    <n v="4000"/>
    <n v="7777.9"/>
    <n v="1"/>
    <n v="568"/>
    <n v="4568"/>
    <n v="18"/>
  </r>
  <r>
    <d v="2026-09-04T19:00:00"/>
    <x v="0"/>
    <n v="25.8"/>
    <n v="29.5"/>
    <n v="4"/>
    <n v="0"/>
    <n v="4.2"/>
    <n v="4000"/>
    <n v="7803.5"/>
    <n v="1"/>
    <n v="4.2"/>
    <n v="4004.2"/>
    <n v="19"/>
  </r>
  <r>
    <d v="2026-09-04T20:00:00"/>
    <x v="0"/>
    <n v="23.8"/>
    <n v="25.5"/>
    <n v="5"/>
    <n v="0"/>
    <n v="8"/>
    <n v="4000"/>
    <n v="7714.7"/>
    <n v="1"/>
    <n v="8"/>
    <n v="4008"/>
    <n v="20"/>
  </r>
  <r>
    <d v="2026-09-04T21:00:00"/>
    <x v="0"/>
    <n v="25.2"/>
    <n v="68.099999999999994"/>
    <n v="2.5"/>
    <n v="0"/>
    <n v="1"/>
    <n v="4000"/>
    <n v="7917.7"/>
    <n v="1"/>
    <n v="1"/>
    <n v="4001"/>
    <n v="21"/>
  </r>
  <r>
    <d v="2026-09-04T22:00:00"/>
    <x v="0"/>
    <n v="23.1"/>
    <n v="68.8"/>
    <n v="2.4"/>
    <n v="0"/>
    <n v="0.9"/>
    <n v="4000"/>
    <n v="5080.8"/>
    <n v="1"/>
    <n v="0.9"/>
    <n v="4000.9"/>
    <n v="22"/>
  </r>
  <r>
    <d v="2026-09-04T23:00:00"/>
    <x v="0"/>
    <n v="21.3"/>
    <n v="0"/>
    <n v="2.9"/>
    <n v="0"/>
    <n v="1.6"/>
    <n v="4000"/>
    <n v="4824"/>
    <n v="1"/>
    <n v="1.6"/>
    <n v="4001.6"/>
    <n v="23"/>
  </r>
  <r>
    <d v="2026-09-05T00:00:00"/>
    <x v="0"/>
    <n v="22.2"/>
    <n v="31.8"/>
    <n v="7.8"/>
    <n v="0"/>
    <n v="29.8"/>
    <n v="4000"/>
    <n v="4206.1000000000004"/>
    <n v="1"/>
    <n v="29.8"/>
    <n v="4029.8"/>
    <n v="0"/>
  </r>
  <r>
    <d v="2026-09-05T01:00:00"/>
    <x v="0"/>
    <n v="21.3"/>
    <n v="7"/>
    <n v="5"/>
    <n v="0"/>
    <n v="7.9"/>
    <n v="4000"/>
    <n v="4462.6000000000004"/>
    <n v="1"/>
    <n v="7.9"/>
    <n v="4007.9"/>
    <n v="1"/>
  </r>
  <r>
    <d v="2026-09-05T02:00:00"/>
    <x v="0"/>
    <n v="25.6"/>
    <n v="48.6"/>
    <n v="3.1"/>
    <n v="0"/>
    <n v="1.8"/>
    <n v="4000"/>
    <n v="4122"/>
    <n v="1"/>
    <n v="1.8"/>
    <n v="4001.8"/>
    <n v="2"/>
  </r>
  <r>
    <d v="2026-09-05T03:00:00"/>
    <x v="0"/>
    <n v="25.8"/>
    <n v="22.7"/>
    <n v="6.5"/>
    <n v="0"/>
    <n v="17.399999999999999"/>
    <n v="4000"/>
    <n v="4063"/>
    <n v="1"/>
    <n v="17.399999999999999"/>
    <n v="4017.4"/>
    <n v="3"/>
  </r>
  <r>
    <d v="2026-09-05T04:00:00"/>
    <x v="0"/>
    <n v="24.1"/>
    <n v="25.1"/>
    <n v="4.0999999999999996"/>
    <n v="0"/>
    <n v="4.4000000000000004"/>
    <n v="4000"/>
    <n v="4080.8"/>
    <n v="1"/>
    <n v="4.4000000000000004"/>
    <n v="4004.4"/>
    <n v="4"/>
  </r>
  <r>
    <d v="2026-09-05T05:00:00"/>
    <x v="0"/>
    <n v="27.4"/>
    <n v="3.6"/>
    <n v="3.7"/>
    <n v="0"/>
    <n v="3.3"/>
    <n v="4000"/>
    <n v="4252.5"/>
    <n v="1"/>
    <n v="3.3"/>
    <n v="4003.3"/>
    <n v="5"/>
  </r>
  <r>
    <d v="2026-09-05T06:00:00"/>
    <x v="0"/>
    <n v="28.8"/>
    <n v="39.200000000000003"/>
    <n v="1.8"/>
    <n v="484.2"/>
    <n v="0.3"/>
    <n v="3853.5"/>
    <n v="4338"/>
    <n v="0"/>
    <n v="484.5"/>
    <n v="4338"/>
    <n v="6"/>
  </r>
  <r>
    <d v="2026-09-05T07:00:00"/>
    <x v="0"/>
    <n v="31.5"/>
    <n v="31.6"/>
    <n v="2.5"/>
    <n v="1013.3"/>
    <n v="1"/>
    <n v="3075.6"/>
    <n v="4089.9"/>
    <n v="0"/>
    <n v="1014.3"/>
    <n v="4089.8999999999996"/>
    <n v="7"/>
  </r>
  <r>
    <d v="2026-09-05T08:00:00"/>
    <x v="0"/>
    <n v="31.2"/>
    <n v="48.6"/>
    <n v="4.0999999999999996"/>
    <n v="1234.3"/>
    <n v="4.5"/>
    <n v="3313.9"/>
    <n v="4552.7"/>
    <n v="0"/>
    <n v="1238.8"/>
    <n v="4552.7"/>
    <n v="8"/>
  </r>
  <r>
    <d v="2026-09-05T09:00:00"/>
    <x v="0"/>
    <n v="34.9"/>
    <n v="20"/>
    <n v="5.9"/>
    <n v="2016.8"/>
    <n v="13.4"/>
    <n v="2598.9"/>
    <n v="4629.1000000000004"/>
    <n v="0"/>
    <n v="2030.2"/>
    <n v="4629.1000000000004"/>
    <n v="9"/>
  </r>
  <r>
    <d v="2026-09-05T10:00:00"/>
    <x v="0"/>
    <n v="35.200000000000003"/>
    <n v="5.7"/>
    <n v="5.4"/>
    <n v="2595"/>
    <n v="9.9"/>
    <n v="3731.9"/>
    <n v="6336.8"/>
    <n v="0"/>
    <n v="2604.9"/>
    <n v="6336.8"/>
    <n v="10"/>
  </r>
  <r>
    <d v="2026-09-05T11:00:00"/>
    <x v="0"/>
    <n v="31.2"/>
    <n v="1.3"/>
    <n v="0"/>
    <n v="2897.5"/>
    <n v="0"/>
    <n v="3501.3"/>
    <n v="6398.8"/>
    <n v="0"/>
    <n v="2897.5"/>
    <n v="6398.8"/>
    <n v="11"/>
  </r>
  <r>
    <d v="2026-09-05T12:00:00"/>
    <x v="0"/>
    <n v="35.1"/>
    <n v="55"/>
    <n v="4.0999999999999996"/>
    <n v="1844"/>
    <n v="4.5999999999999996"/>
    <n v="4000"/>
    <n v="6199.6"/>
    <n v="1"/>
    <n v="1848.6"/>
    <n v="5848.6"/>
    <n v="12"/>
  </r>
  <r>
    <d v="2026-09-05T13:00:00"/>
    <x v="0"/>
    <n v="31.7"/>
    <n v="0"/>
    <n v="3.9"/>
    <n v="2924.8"/>
    <n v="3.8"/>
    <n v="3555.7"/>
    <n v="6484.3"/>
    <n v="0"/>
    <n v="2928.6000000000004"/>
    <n v="6484.3"/>
    <n v="13"/>
  </r>
  <r>
    <d v="2026-09-05T14:00:00"/>
    <x v="0"/>
    <n v="33.1"/>
    <n v="0"/>
    <n v="3.8"/>
    <n v="2702.9"/>
    <n v="3.6"/>
    <n v="3591.1"/>
    <n v="6297.6"/>
    <n v="0"/>
    <n v="2706.5"/>
    <n v="6297.6"/>
    <n v="14"/>
  </r>
  <r>
    <d v="2026-09-05T15:00:00"/>
    <x v="0"/>
    <n v="33.200000000000003"/>
    <n v="32.299999999999997"/>
    <n v="2.1"/>
    <n v="1814.7"/>
    <n v="0.6"/>
    <n v="2309"/>
    <n v="4124.3"/>
    <n v="0"/>
    <n v="1815.3"/>
    <n v="4124.3"/>
    <n v="15"/>
  </r>
  <r>
    <d v="2026-09-05T16:00:00"/>
    <x v="0"/>
    <n v="29.4"/>
    <n v="23.7"/>
    <n v="5.9"/>
    <n v="1559.6"/>
    <n v="13.2"/>
    <n v="2670.1"/>
    <n v="4242.8999999999996"/>
    <n v="0"/>
    <n v="1572.8"/>
    <n v="4242.8999999999996"/>
    <n v="16"/>
  </r>
  <r>
    <d v="2026-09-05T17:00:00"/>
    <x v="0"/>
    <n v="30.3"/>
    <n v="14.4"/>
    <n v="2.4"/>
    <n v="1170.5"/>
    <n v="0.9"/>
    <n v="3000.7"/>
    <n v="4172.1000000000004"/>
    <n v="0"/>
    <n v="1171.4000000000001"/>
    <n v="4172.1000000000004"/>
    <n v="17"/>
  </r>
  <r>
    <d v="2026-09-05T18:00:00"/>
    <x v="0"/>
    <n v="26.4"/>
    <n v="13.9"/>
    <n v="1.6"/>
    <n v="602.5"/>
    <n v="0.3"/>
    <n v="4000"/>
    <n v="6703.9"/>
    <n v="1"/>
    <n v="602.79999999999995"/>
    <n v="4602.8"/>
    <n v="18"/>
  </r>
  <r>
    <d v="2026-09-05T19:00:00"/>
    <x v="0"/>
    <n v="26.5"/>
    <n v="11"/>
    <n v="4.4000000000000004"/>
    <n v="0"/>
    <n v="5.6"/>
    <n v="4000"/>
    <n v="7014.7"/>
    <n v="1"/>
    <n v="5.6"/>
    <n v="4005.6"/>
    <n v="19"/>
  </r>
  <r>
    <d v="2026-09-05T20:00:00"/>
    <x v="0"/>
    <n v="24.7"/>
    <n v="37.299999999999997"/>
    <n v="5.5"/>
    <n v="0"/>
    <n v="10.7"/>
    <n v="4000"/>
    <n v="6703.2"/>
    <n v="1"/>
    <n v="10.7"/>
    <n v="4010.7"/>
    <n v="20"/>
  </r>
  <r>
    <d v="2026-09-05T21:00:00"/>
    <x v="0"/>
    <n v="22.9"/>
    <n v="19.5"/>
    <n v="0"/>
    <n v="0"/>
    <n v="0"/>
    <n v="4000"/>
    <n v="6640.4"/>
    <n v="1"/>
    <n v="0"/>
    <n v="4000"/>
    <n v="21"/>
  </r>
  <r>
    <d v="2026-09-05T22:00:00"/>
    <x v="0"/>
    <n v="24.9"/>
    <n v="57.9"/>
    <n v="3.5"/>
    <n v="0"/>
    <n v="2.7"/>
    <n v="4000"/>
    <n v="4092.7"/>
    <n v="1"/>
    <n v="2.7"/>
    <n v="4002.7"/>
    <n v="22"/>
  </r>
  <r>
    <d v="2026-09-05T23:00:00"/>
    <x v="0"/>
    <n v="22.7"/>
    <n v="86.6"/>
    <n v="6.2"/>
    <n v="0"/>
    <n v="15.5"/>
    <n v="4000"/>
    <n v="4406.5"/>
    <n v="1"/>
    <n v="15.5"/>
    <n v="4015.5"/>
    <n v="23"/>
  </r>
  <r>
    <d v="2026-09-06T00:00:00"/>
    <x v="0"/>
    <n v="20.6"/>
    <n v="0"/>
    <n v="4.4000000000000004"/>
    <n v="0"/>
    <n v="5.5"/>
    <n v="4000"/>
    <n v="4300.8"/>
    <n v="1"/>
    <n v="5.5"/>
    <n v="4005.5"/>
    <n v="0"/>
  </r>
  <r>
    <d v="2026-09-06T01:00:00"/>
    <x v="0"/>
    <n v="20.100000000000001"/>
    <n v="12.1"/>
    <n v="1.8"/>
    <n v="0"/>
    <n v="0.4"/>
    <n v="4000"/>
    <n v="4206.5"/>
    <n v="1"/>
    <n v="0.4"/>
    <n v="4000.4"/>
    <n v="1"/>
  </r>
  <r>
    <d v="2026-09-06T02:00:00"/>
    <x v="0"/>
    <n v="24.1"/>
    <n v="24.8"/>
    <n v="7"/>
    <n v="0"/>
    <n v="21.6"/>
    <n v="4000"/>
    <n v="4573.1000000000004"/>
    <n v="1"/>
    <n v="21.6"/>
    <n v="4021.6"/>
    <n v="2"/>
  </r>
  <r>
    <d v="2026-09-06T03:00:00"/>
    <x v="0"/>
    <n v="22.5"/>
    <n v="55.5"/>
    <n v="5.0999999999999996"/>
    <n v="0"/>
    <n v="8.4"/>
    <n v="4000"/>
    <n v="4331.6000000000004"/>
    <n v="1"/>
    <n v="8.4"/>
    <n v="4008.4"/>
    <n v="3"/>
  </r>
  <r>
    <d v="2026-09-06T04:00:00"/>
    <x v="0"/>
    <n v="24.7"/>
    <n v="7.5"/>
    <n v="1.2"/>
    <n v="0"/>
    <n v="0.1"/>
    <n v="4000"/>
    <n v="4164.3999999999996"/>
    <n v="1"/>
    <n v="0.1"/>
    <n v="4000.1"/>
    <n v="4"/>
  </r>
  <r>
    <d v="2026-09-06T05:00:00"/>
    <x v="0"/>
    <n v="29.3"/>
    <n v="0"/>
    <n v="5.0999999999999996"/>
    <n v="0"/>
    <n v="8.6"/>
    <n v="4000"/>
    <n v="4458.8999999999996"/>
    <n v="1"/>
    <n v="8.6"/>
    <n v="4008.6"/>
    <n v="5"/>
  </r>
  <r>
    <d v="2026-09-06T06:00:00"/>
    <x v="0"/>
    <n v="27.3"/>
    <n v="13.2"/>
    <n v="2.2999999999999998"/>
    <n v="606.1"/>
    <n v="0.8"/>
    <n v="3615.5"/>
    <n v="4222.3999999999996"/>
    <n v="0"/>
    <n v="606.9"/>
    <n v="4222.3999999999996"/>
    <n v="6"/>
  </r>
  <r>
    <d v="2026-09-06T07:00:00"/>
    <x v="0"/>
    <n v="28.3"/>
    <n v="30.4"/>
    <n v="3.9"/>
    <n v="1024.5999999999999"/>
    <n v="3.8"/>
    <n v="3298.9"/>
    <n v="4327.3"/>
    <n v="0"/>
    <n v="1028.3999999999999"/>
    <n v="4327.3"/>
    <n v="7"/>
  </r>
  <r>
    <d v="2026-09-06T08:00:00"/>
    <x v="0"/>
    <n v="29.6"/>
    <n v="13.5"/>
    <n v="5.5"/>
    <n v="1694.2"/>
    <n v="10.7"/>
    <n v="2579.3000000000002"/>
    <n v="4284.2"/>
    <n v="0"/>
    <n v="1704.9"/>
    <n v="4284.2000000000007"/>
    <n v="8"/>
  </r>
  <r>
    <d v="2026-09-06T09:00:00"/>
    <x v="0"/>
    <n v="30.8"/>
    <n v="27"/>
    <n v="5.5"/>
    <n v="1902.4"/>
    <n v="10.7"/>
    <n v="2482"/>
    <n v="4395.1000000000004"/>
    <n v="0"/>
    <n v="1913.1000000000001"/>
    <n v="4395.1000000000004"/>
    <n v="9"/>
  </r>
  <r>
    <d v="2026-09-06T10:00:00"/>
    <x v="0"/>
    <n v="34"/>
    <n v="11.7"/>
    <n v="5.0999999999999996"/>
    <n v="2480.6"/>
    <n v="8.6999999999999993"/>
    <n v="3500.3"/>
    <n v="5989.6"/>
    <n v="0"/>
    <n v="2489.2999999999997"/>
    <n v="5989.6"/>
    <n v="10"/>
  </r>
  <r>
    <d v="2026-09-06T11:00:00"/>
    <x v="0"/>
    <n v="31.1"/>
    <n v="0"/>
    <n v="4.0999999999999996"/>
    <n v="2924.8"/>
    <n v="4.4000000000000004"/>
    <n v="3196.3"/>
    <n v="6125.5"/>
    <n v="0"/>
    <n v="2929.2000000000003"/>
    <n v="6125.5"/>
    <n v="11"/>
  </r>
  <r>
    <d v="2026-09-06T12:00:00"/>
    <x v="0"/>
    <n v="32.6"/>
    <n v="37.799999999999997"/>
    <n v="0.7"/>
    <n v="2206.8000000000002"/>
    <n v="0"/>
    <n v="4000"/>
    <n v="6279"/>
    <n v="1"/>
    <n v="2206.8000000000002"/>
    <n v="6206.8"/>
    <n v="12"/>
  </r>
  <r>
    <d v="2026-09-06T13:00:00"/>
    <x v="0"/>
    <n v="32"/>
    <n v="12"/>
    <n v="4.0999999999999996"/>
    <n v="2679.9"/>
    <n v="4.4000000000000004"/>
    <n v="3545.8"/>
    <n v="6230.1"/>
    <n v="0"/>
    <n v="2684.3"/>
    <n v="6230.1"/>
    <n v="13"/>
  </r>
  <r>
    <d v="2026-09-06T14:00:00"/>
    <x v="0"/>
    <n v="32.6"/>
    <n v="45.1"/>
    <n v="2.8"/>
    <n v="1849.1"/>
    <n v="1.5"/>
    <n v="4000"/>
    <n v="6110.9"/>
    <n v="1"/>
    <n v="1850.6"/>
    <n v="5850.6"/>
    <n v="14"/>
  </r>
  <r>
    <d v="2026-09-06T15:00:00"/>
    <x v="0"/>
    <n v="30.5"/>
    <n v="35.6"/>
    <n v="6.9"/>
    <n v="1761.1"/>
    <n v="20.9"/>
    <n v="2663.4"/>
    <n v="4445.3999999999996"/>
    <n v="0"/>
    <n v="1782"/>
    <n v="4445.3999999999996"/>
    <n v="15"/>
  </r>
  <r>
    <d v="2026-09-06T16:00:00"/>
    <x v="0"/>
    <n v="29.8"/>
    <n v="36.5"/>
    <n v="3.6"/>
    <n v="1392"/>
    <n v="3"/>
    <n v="2554.3000000000002"/>
    <n v="3949.3"/>
    <n v="0"/>
    <n v="1395"/>
    <n v="3949.3"/>
    <n v="16"/>
  </r>
  <r>
    <d v="2026-09-06T17:00:00"/>
    <x v="0"/>
    <n v="28.6"/>
    <n v="26.7"/>
    <n v="3.7"/>
    <n v="1058.0999999999999"/>
    <n v="3.2"/>
    <n v="3314.4"/>
    <n v="4375.7"/>
    <n v="0"/>
    <n v="1061.3"/>
    <n v="4375.7"/>
    <n v="17"/>
  </r>
  <r>
    <d v="2026-09-06T18:00:00"/>
    <x v="0"/>
    <n v="28.4"/>
    <n v="31.8"/>
    <n v="3.2"/>
    <n v="519.20000000000005"/>
    <n v="2.1"/>
    <n v="4000"/>
    <n v="6895.2"/>
    <n v="1"/>
    <n v="521.30000000000007"/>
    <n v="4521.3"/>
    <n v="18"/>
  </r>
  <r>
    <d v="2026-09-06T19:00:00"/>
    <x v="0"/>
    <n v="25.8"/>
    <n v="32.9"/>
    <n v="3.2"/>
    <n v="0"/>
    <n v="2"/>
    <n v="4000"/>
    <n v="6646.9"/>
    <n v="1"/>
    <n v="2"/>
    <n v="4002"/>
    <n v="19"/>
  </r>
  <r>
    <d v="2026-09-06T20:00:00"/>
    <x v="0"/>
    <n v="28.1"/>
    <n v="42.4"/>
    <n v="3.3"/>
    <n v="0"/>
    <n v="2.4"/>
    <n v="4000"/>
    <n v="6763.5"/>
    <n v="1"/>
    <n v="2.4"/>
    <n v="4002.4"/>
    <n v="20"/>
  </r>
  <r>
    <d v="2026-09-06T21:00:00"/>
    <x v="0"/>
    <n v="23.1"/>
    <n v="0"/>
    <n v="2"/>
    <n v="0"/>
    <n v="0.5"/>
    <n v="4000"/>
    <n v="6900.2"/>
    <n v="1"/>
    <n v="0.5"/>
    <n v="4000.5"/>
    <n v="21"/>
  </r>
  <r>
    <d v="2026-09-06T22:00:00"/>
    <x v="0"/>
    <n v="22.3"/>
    <n v="25.4"/>
    <n v="7.4"/>
    <n v="0"/>
    <n v="25.4"/>
    <n v="4000"/>
    <n v="4039.4"/>
    <n v="1"/>
    <n v="25.4"/>
    <n v="4025.4"/>
    <n v="22"/>
  </r>
  <r>
    <d v="2026-09-06T23:00:00"/>
    <x v="0"/>
    <n v="21.9"/>
    <n v="41.6"/>
    <n v="0"/>
    <n v="0"/>
    <n v="0"/>
    <n v="4000"/>
    <n v="4369"/>
    <n v="1"/>
    <n v="0"/>
    <n v="4000"/>
    <n v="23"/>
  </r>
  <r>
    <d v="2026-09-07T00:00:00"/>
    <x v="0"/>
    <n v="23.2"/>
    <n v="0"/>
    <n v="6.3"/>
    <n v="0"/>
    <n v="15.9"/>
    <n v="4000"/>
    <n v="4985.3"/>
    <n v="1"/>
    <n v="15.9"/>
    <n v="4015.9"/>
    <n v="0"/>
  </r>
  <r>
    <d v="2026-09-07T01:00:00"/>
    <x v="0"/>
    <n v="21.6"/>
    <n v="37.700000000000003"/>
    <n v="8.5"/>
    <n v="0"/>
    <n v="39.9"/>
    <n v="4000"/>
    <n v="5000.8"/>
    <n v="1"/>
    <n v="39.9"/>
    <n v="4039.9"/>
    <n v="1"/>
  </r>
  <r>
    <d v="2026-09-07T02:00:00"/>
    <x v="0"/>
    <n v="23.2"/>
    <n v="15.8"/>
    <n v="2.2999999999999998"/>
    <n v="0"/>
    <n v="0.8"/>
    <n v="4000"/>
    <n v="4977.3"/>
    <n v="1"/>
    <n v="0.8"/>
    <n v="4000.8"/>
    <n v="2"/>
  </r>
  <r>
    <d v="2026-09-07T03:00:00"/>
    <x v="0"/>
    <n v="22.5"/>
    <n v="26.4"/>
    <n v="3"/>
    <n v="0"/>
    <n v="1.8"/>
    <n v="4000"/>
    <n v="5074.6000000000004"/>
    <n v="1"/>
    <n v="1.8"/>
    <n v="4001.8"/>
    <n v="3"/>
  </r>
  <r>
    <d v="2026-09-07T04:00:00"/>
    <x v="0"/>
    <n v="25.5"/>
    <n v="45.8"/>
    <n v="3"/>
    <n v="0"/>
    <n v="1.7"/>
    <n v="4000"/>
    <n v="5021.8"/>
    <n v="1"/>
    <n v="1.7"/>
    <n v="4001.7"/>
    <n v="4"/>
  </r>
  <r>
    <d v="2026-09-07T05:00:00"/>
    <x v="0"/>
    <n v="25"/>
    <n v="16.100000000000001"/>
    <n v="4.8"/>
    <n v="0"/>
    <n v="6.9"/>
    <n v="4000"/>
    <n v="4909.5"/>
    <n v="1"/>
    <n v="6.9"/>
    <n v="4006.9"/>
    <n v="5"/>
  </r>
  <r>
    <d v="2026-09-07T06:00:00"/>
    <x v="0"/>
    <n v="26.6"/>
    <n v="42.4"/>
    <n v="6.7"/>
    <n v="469.5"/>
    <n v="19.3"/>
    <n v="4000"/>
    <n v="5063.5"/>
    <n v="1"/>
    <n v="488.8"/>
    <n v="4488.8"/>
    <n v="6"/>
  </r>
  <r>
    <d v="2026-09-07T07:00:00"/>
    <x v="0"/>
    <n v="32.4"/>
    <n v="9.5"/>
    <n v="1.5"/>
    <n v="1214.9000000000001"/>
    <n v="0.2"/>
    <n v="3796.9"/>
    <n v="5012"/>
    <n v="0"/>
    <n v="1215.1000000000001"/>
    <n v="5012"/>
    <n v="7"/>
  </r>
  <r>
    <d v="2026-09-07T08:00:00"/>
    <x v="0"/>
    <n v="33.200000000000003"/>
    <n v="38.1"/>
    <n v="3.9"/>
    <n v="1371.8"/>
    <n v="3.8"/>
    <n v="3307.6"/>
    <n v="4683.2"/>
    <n v="0"/>
    <n v="1375.6"/>
    <n v="4683.2"/>
    <n v="8"/>
  </r>
  <r>
    <d v="2026-09-07T09:00:00"/>
    <x v="0"/>
    <n v="30.6"/>
    <n v="73.900000000000006"/>
    <n v="4.3"/>
    <n v="1131.9000000000001"/>
    <n v="4.9000000000000004"/>
    <n v="3855.2"/>
    <n v="4992"/>
    <n v="0"/>
    <n v="1136.8000000000002"/>
    <n v="4992"/>
    <n v="9"/>
  </r>
  <r>
    <d v="2026-09-07T10:00:00"/>
    <x v="0"/>
    <n v="34.299999999999997"/>
    <n v="34.6"/>
    <n v="4.4000000000000004"/>
    <n v="2047.9"/>
    <n v="5.6"/>
    <n v="4000"/>
    <n v="7166.4"/>
    <n v="1"/>
    <n v="2053.5"/>
    <n v="6053.5"/>
    <n v="10"/>
  </r>
  <r>
    <d v="2026-09-07T11:00:00"/>
    <x v="0"/>
    <n v="34.5"/>
    <n v="62.6"/>
    <n v="6.7"/>
    <n v="1642.3"/>
    <n v="19.2"/>
    <n v="4000"/>
    <n v="7031.4"/>
    <n v="1"/>
    <n v="1661.5"/>
    <n v="5661.5"/>
    <n v="11"/>
  </r>
  <r>
    <d v="2026-09-07T12:00:00"/>
    <x v="0"/>
    <n v="33.200000000000003"/>
    <n v="5.2"/>
    <n v="3.7"/>
    <n v="2890.6"/>
    <n v="3.4"/>
    <n v="4000"/>
    <n v="7389"/>
    <n v="1"/>
    <n v="2894"/>
    <n v="6894"/>
    <n v="12"/>
  </r>
  <r>
    <d v="2026-09-07T13:00:00"/>
    <x v="0"/>
    <n v="35.4"/>
    <n v="0"/>
    <n v="7.1"/>
    <n v="2924.8"/>
    <n v="22.5"/>
    <n v="4000"/>
    <n v="7158.4"/>
    <n v="1"/>
    <n v="2947.3"/>
    <n v="6947.3"/>
    <n v="13"/>
  </r>
  <r>
    <d v="2026-09-07T14:00:00"/>
    <x v="0"/>
    <n v="32.6"/>
    <n v="4.8"/>
    <n v="0.7"/>
    <n v="2612.9"/>
    <n v="0"/>
    <n v="4000"/>
    <n v="7126.3"/>
    <n v="1"/>
    <n v="2612.9"/>
    <n v="6612.9"/>
    <n v="14"/>
  </r>
  <r>
    <d v="2026-09-07T15:00:00"/>
    <x v="0"/>
    <n v="32.4"/>
    <n v="0"/>
    <n v="1.4"/>
    <n v="2345.5"/>
    <n v="0.2"/>
    <n v="2727.8"/>
    <n v="5073.5"/>
    <n v="0"/>
    <n v="2345.6999999999998"/>
    <n v="5073.5"/>
    <n v="15"/>
  </r>
  <r>
    <d v="2026-09-07T16:00:00"/>
    <x v="0"/>
    <n v="33.5"/>
    <n v="19.8"/>
    <n v="1"/>
    <n v="1611.1"/>
    <n v="0.1"/>
    <n v="3288.4"/>
    <n v="4899.6000000000004"/>
    <n v="0"/>
    <n v="1611.1999999999998"/>
    <n v="4899.6000000000004"/>
    <n v="16"/>
  </r>
  <r>
    <d v="2026-09-07T17:00:00"/>
    <x v="0"/>
    <n v="29.1"/>
    <n v="0"/>
    <n v="3.9"/>
    <n v="1301.7"/>
    <n v="3.8"/>
    <n v="3607.6"/>
    <n v="4913.1000000000004"/>
    <n v="0"/>
    <n v="1305.5"/>
    <n v="4913.1000000000004"/>
    <n v="17"/>
  </r>
  <r>
    <d v="2026-09-07T18:00:00"/>
    <x v="0"/>
    <n v="29"/>
    <n v="62"/>
    <n v="6.3"/>
    <n v="377.9"/>
    <n v="15.6"/>
    <n v="4000"/>
    <n v="7665.4"/>
    <n v="1"/>
    <n v="393.5"/>
    <n v="4393.5"/>
    <n v="18"/>
  </r>
  <r>
    <d v="2026-09-07T19:00:00"/>
    <x v="0"/>
    <n v="24.8"/>
    <n v="76.5"/>
    <n v="4.0999999999999996"/>
    <n v="0"/>
    <n v="4.5"/>
    <n v="4000"/>
    <n v="7659.7"/>
    <n v="1"/>
    <n v="4.5"/>
    <n v="4004.5"/>
    <n v="19"/>
  </r>
  <r>
    <d v="2026-09-07T20:00:00"/>
    <x v="0"/>
    <n v="25"/>
    <n v="29"/>
    <n v="3.7"/>
    <n v="0"/>
    <n v="3.3"/>
    <n v="4000"/>
    <n v="7702.1"/>
    <n v="1"/>
    <n v="3.3"/>
    <n v="4003.3"/>
    <n v="20"/>
  </r>
  <r>
    <d v="2026-09-07T21:00:00"/>
    <x v="0"/>
    <n v="22.9"/>
    <n v="24.3"/>
    <n v="2.9"/>
    <n v="0"/>
    <n v="1.6"/>
    <n v="4000"/>
    <n v="7614"/>
    <n v="1"/>
    <n v="1.6"/>
    <n v="4001.6"/>
    <n v="21"/>
  </r>
  <r>
    <d v="2026-09-07T22:00:00"/>
    <x v="0"/>
    <n v="23"/>
    <n v="19.899999999999999"/>
    <n v="7"/>
    <n v="0"/>
    <n v="22"/>
    <n v="4000"/>
    <n v="4843.1000000000004"/>
    <n v="1"/>
    <n v="22"/>
    <n v="4022"/>
    <n v="22"/>
  </r>
  <r>
    <d v="2026-09-07T23:00:00"/>
    <x v="0"/>
    <n v="23.8"/>
    <n v="49.9"/>
    <n v="0"/>
    <n v="0"/>
    <n v="0"/>
    <n v="4000"/>
    <n v="4552.3999999999996"/>
    <n v="1"/>
    <n v="0"/>
    <n v="4000"/>
    <n v="23"/>
  </r>
  <r>
    <d v="2026-09-08T00:00:00"/>
    <x v="0"/>
    <n v="21.4"/>
    <n v="0"/>
    <n v="2.4"/>
    <n v="0"/>
    <n v="0.9"/>
    <n v="4000"/>
    <n v="4898.6000000000004"/>
    <n v="1"/>
    <n v="0.9"/>
    <n v="4000.9"/>
    <n v="0"/>
  </r>
  <r>
    <d v="2026-09-08T01:00:00"/>
    <x v="0"/>
    <n v="24.8"/>
    <n v="43.7"/>
    <n v="6.5"/>
    <n v="0"/>
    <n v="17.899999999999999"/>
    <n v="4000"/>
    <n v="4783.3999999999996"/>
    <n v="1"/>
    <n v="17.899999999999999"/>
    <n v="4017.9"/>
    <n v="1"/>
  </r>
  <r>
    <d v="2026-09-08T02:00:00"/>
    <x v="0"/>
    <n v="21.1"/>
    <n v="14.5"/>
    <n v="5"/>
    <n v="0"/>
    <n v="7.9"/>
    <n v="4000"/>
    <n v="5058.3"/>
    <n v="1"/>
    <n v="7.9"/>
    <n v="4007.9"/>
    <n v="2"/>
  </r>
  <r>
    <d v="2026-09-08T03:00:00"/>
    <x v="0"/>
    <n v="24.8"/>
    <n v="20.2"/>
    <n v="3.3"/>
    <n v="0"/>
    <n v="2.2000000000000002"/>
    <n v="4000"/>
    <n v="4766.7"/>
    <n v="1"/>
    <n v="2.2000000000000002"/>
    <n v="4002.2"/>
    <n v="3"/>
  </r>
  <r>
    <d v="2026-09-08T04:00:00"/>
    <x v="0"/>
    <n v="25.7"/>
    <n v="17.8"/>
    <n v="6.3"/>
    <n v="0"/>
    <n v="16.100000000000001"/>
    <n v="4000"/>
    <n v="5056.6000000000004"/>
    <n v="1"/>
    <n v="16.100000000000001"/>
    <n v="4016.1"/>
    <n v="4"/>
  </r>
  <r>
    <d v="2026-09-08T05:00:00"/>
    <x v="0"/>
    <n v="27.4"/>
    <n v="36.9"/>
    <n v="3.4"/>
    <n v="0"/>
    <n v="2.5"/>
    <n v="4000"/>
    <n v="4787.8"/>
    <n v="1"/>
    <n v="2.5"/>
    <n v="4002.5"/>
    <n v="5"/>
  </r>
  <r>
    <d v="2026-09-08T06:00:00"/>
    <x v="0"/>
    <n v="26.1"/>
    <n v="43.5"/>
    <n v="3.6"/>
    <n v="464.4"/>
    <n v="3.1"/>
    <n v="4000"/>
    <n v="4998.8999999999996"/>
    <n v="1"/>
    <n v="467.5"/>
    <n v="4467.5"/>
    <n v="6"/>
  </r>
  <r>
    <d v="2026-09-08T07:00:00"/>
    <x v="0"/>
    <n v="31.1"/>
    <n v="10.9"/>
    <n v="1.2"/>
    <n v="1202.2"/>
    <n v="0.1"/>
    <n v="3669.3"/>
    <n v="4871.6000000000004"/>
    <n v="0"/>
    <n v="1202.3"/>
    <n v="4871.6000000000004"/>
    <n v="7"/>
  </r>
  <r>
    <d v="2026-09-08T08:00:00"/>
    <x v="0"/>
    <n v="31.9"/>
    <n v="0"/>
    <n v="7.5"/>
    <n v="1870.5"/>
    <n v="27.1"/>
    <n v="2818.9"/>
    <n v="4716.5"/>
    <n v="0"/>
    <n v="1897.6"/>
    <n v="4716.5"/>
    <n v="8"/>
  </r>
  <r>
    <d v="2026-09-08T09:00:00"/>
    <x v="0"/>
    <n v="34.799999999999997"/>
    <n v="29.2"/>
    <n v="3.8"/>
    <n v="1865.7"/>
    <n v="3.5"/>
    <n v="2768.5"/>
    <n v="4637.7"/>
    <n v="0"/>
    <n v="1869.2"/>
    <n v="4637.7"/>
    <n v="9"/>
  </r>
  <r>
    <d v="2026-09-08T10:00:00"/>
    <x v="0"/>
    <n v="33.799999999999997"/>
    <n v="24.2"/>
    <n v="6.2"/>
    <n v="2244.1"/>
    <n v="15.3"/>
    <n v="4000"/>
    <n v="7068.3"/>
    <n v="1"/>
    <n v="2259.4"/>
    <n v="6259.4"/>
    <n v="10"/>
  </r>
  <r>
    <d v="2026-09-08T11:00:00"/>
    <x v="0"/>
    <n v="34"/>
    <n v="17.7"/>
    <n v="3.9"/>
    <n v="2561.8000000000002"/>
    <n v="3.8"/>
    <n v="4000"/>
    <n v="7167.1"/>
    <n v="1"/>
    <n v="2565.6000000000004"/>
    <n v="6565.6"/>
    <n v="11"/>
  </r>
  <r>
    <d v="2026-09-08T12:00:00"/>
    <x v="0"/>
    <n v="31.4"/>
    <n v="0"/>
    <n v="5.5"/>
    <n v="3000"/>
    <n v="10.6"/>
    <n v="4000"/>
    <n v="7196.2"/>
    <n v="1"/>
    <n v="3010.6"/>
    <n v="7010.6"/>
    <n v="12"/>
  </r>
  <r>
    <d v="2026-09-08T13:00:00"/>
    <x v="0"/>
    <n v="33.5"/>
    <n v="25.4"/>
    <n v="4.7"/>
    <n v="2405.4"/>
    <n v="6.6"/>
    <n v="4000"/>
    <n v="7175.6"/>
    <n v="1"/>
    <n v="2412"/>
    <n v="6412"/>
    <n v="13"/>
  </r>
  <r>
    <d v="2026-09-08T14:00:00"/>
    <x v="0"/>
    <n v="32"/>
    <n v="28.9"/>
    <n v="2"/>
    <n v="2155.8000000000002"/>
    <n v="0.5"/>
    <n v="4000"/>
    <n v="7069"/>
    <n v="1"/>
    <n v="2156.3000000000002"/>
    <n v="6156.3"/>
    <n v="14"/>
  </r>
  <r>
    <d v="2026-09-08T15:00:00"/>
    <x v="0"/>
    <n v="29.7"/>
    <n v="45.6"/>
    <n v="4.9000000000000004"/>
    <n v="1597.1"/>
    <n v="7.7"/>
    <n v="3406.4"/>
    <n v="5011.2"/>
    <n v="0"/>
    <n v="1604.8"/>
    <n v="5011.2"/>
    <n v="15"/>
  </r>
  <r>
    <d v="2026-09-08T16:00:00"/>
    <x v="0"/>
    <n v="32.5"/>
    <n v="58.3"/>
    <n v="6"/>
    <n v="1107"/>
    <n v="14"/>
    <n v="3867.4"/>
    <n v="4988.3999999999996"/>
    <n v="0"/>
    <n v="1121"/>
    <n v="4988.3999999999996"/>
    <n v="16"/>
  </r>
  <r>
    <d v="2026-09-08T17:00:00"/>
    <x v="0"/>
    <n v="27.6"/>
    <n v="12.5"/>
    <n v="4.0999999999999996"/>
    <n v="1187.7"/>
    <n v="4.3"/>
    <n v="3481.9"/>
    <n v="4673.8999999999996"/>
    <n v="0"/>
    <n v="1192"/>
    <n v="4673.8999999999996"/>
    <n v="17"/>
  </r>
  <r>
    <d v="2026-09-08T18:00:00"/>
    <x v="0"/>
    <n v="26.9"/>
    <n v="28.7"/>
    <n v="2.5"/>
    <n v="533.29999999999995"/>
    <n v="1"/>
    <n v="4000"/>
    <n v="7777.6"/>
    <n v="1"/>
    <n v="534.29999999999995"/>
    <n v="4534.3"/>
    <n v="18"/>
  </r>
  <r>
    <d v="2026-09-08T19:00:00"/>
    <x v="0"/>
    <n v="24.3"/>
    <n v="6.5"/>
    <n v="1.3"/>
    <n v="0"/>
    <n v="0.1"/>
    <n v="4000"/>
    <n v="7608.3"/>
    <n v="1"/>
    <n v="0.1"/>
    <n v="4000.1"/>
    <n v="19"/>
  </r>
  <r>
    <d v="2026-09-08T20:00:00"/>
    <x v="0"/>
    <n v="26.6"/>
    <n v="6"/>
    <n v="9.3000000000000007"/>
    <n v="0"/>
    <n v="50.9"/>
    <n v="4000"/>
    <n v="7553.6"/>
    <n v="1"/>
    <n v="50.9"/>
    <n v="4050.9"/>
    <n v="20"/>
  </r>
  <r>
    <d v="2026-09-08T21:00:00"/>
    <x v="0"/>
    <n v="24"/>
    <n v="7.8"/>
    <n v="5.4"/>
    <n v="0"/>
    <n v="10.1"/>
    <n v="4000"/>
    <n v="7774"/>
    <n v="1"/>
    <n v="10.1"/>
    <n v="4010.1"/>
    <n v="21"/>
  </r>
  <r>
    <d v="2026-09-08T22:00:00"/>
    <x v="0"/>
    <n v="23"/>
    <n v="76.2"/>
    <n v="3.8"/>
    <n v="0"/>
    <n v="3.5"/>
    <n v="4000"/>
    <n v="4863.7"/>
    <n v="1"/>
    <n v="3.5"/>
    <n v="4003.5"/>
    <n v="22"/>
  </r>
  <r>
    <d v="2026-09-08T23:00:00"/>
    <x v="0"/>
    <n v="21.1"/>
    <n v="24.3"/>
    <n v="7.5"/>
    <n v="0"/>
    <n v="27.5"/>
    <n v="4000"/>
    <n v="5122.3999999999996"/>
    <n v="1"/>
    <n v="27.5"/>
    <n v="4027.5"/>
    <n v="23"/>
  </r>
  <r>
    <d v="2026-09-09T00:00:00"/>
    <x v="0"/>
    <n v="24.7"/>
    <n v="39.200000000000003"/>
    <n v="2.9"/>
    <n v="0"/>
    <n v="1.5"/>
    <n v="4000"/>
    <n v="4856"/>
    <n v="1"/>
    <n v="1.5"/>
    <n v="4001.5"/>
    <n v="0"/>
  </r>
  <r>
    <d v="2026-09-09T01:00:00"/>
    <x v="0"/>
    <n v="23.7"/>
    <n v="37.4"/>
    <n v="0.9"/>
    <n v="0"/>
    <n v="0"/>
    <n v="4000"/>
    <n v="5044.8999999999996"/>
    <n v="1"/>
    <n v="0"/>
    <n v="4000"/>
    <n v="1"/>
  </r>
  <r>
    <d v="2026-09-09T02:00:00"/>
    <x v="0"/>
    <n v="22.4"/>
    <n v="23.5"/>
    <n v="5.2"/>
    <n v="0"/>
    <n v="9.1999999999999993"/>
    <n v="4000"/>
    <n v="4840.8999999999996"/>
    <n v="1"/>
    <n v="9.1999999999999993"/>
    <n v="4009.2"/>
    <n v="2"/>
  </r>
  <r>
    <d v="2026-09-09T03:00:00"/>
    <x v="0"/>
    <n v="21.8"/>
    <n v="32.6"/>
    <n v="5.2"/>
    <n v="0"/>
    <n v="9.1"/>
    <n v="4000"/>
    <n v="4976.7"/>
    <n v="1"/>
    <n v="9.1"/>
    <n v="4009.1"/>
    <n v="3"/>
  </r>
  <r>
    <d v="2026-09-09T04:00:00"/>
    <x v="0"/>
    <n v="26.6"/>
    <n v="41.7"/>
    <n v="4.9000000000000004"/>
    <n v="0"/>
    <n v="7.6"/>
    <n v="4000"/>
    <n v="5034"/>
    <n v="1"/>
    <n v="7.6"/>
    <n v="4007.6"/>
    <n v="4"/>
  </r>
  <r>
    <d v="2026-09-09T05:00:00"/>
    <x v="0"/>
    <n v="24"/>
    <n v="33.6"/>
    <n v="4.4000000000000004"/>
    <n v="0"/>
    <n v="5.5"/>
    <n v="4000"/>
    <n v="4939.5"/>
    <n v="1"/>
    <n v="5.5"/>
    <n v="4005.5"/>
    <n v="5"/>
  </r>
  <r>
    <d v="2026-09-09T06:00:00"/>
    <x v="0"/>
    <n v="26.1"/>
    <n v="3.4"/>
    <n v="6.1"/>
    <n v="651.79999999999995"/>
    <n v="14.6"/>
    <n v="4000"/>
    <n v="4990.7"/>
    <n v="1"/>
    <n v="666.4"/>
    <n v="4666.3999999999996"/>
    <n v="6"/>
  </r>
  <r>
    <d v="2026-09-09T07:00:00"/>
    <x v="0"/>
    <n v="30.6"/>
    <n v="25.6"/>
    <n v="4.0999999999999996"/>
    <n v="1068.7"/>
    <n v="4.3"/>
    <n v="3871.1"/>
    <n v="4944.1000000000004"/>
    <n v="0"/>
    <n v="1073"/>
    <n v="4944.1000000000004"/>
    <n v="7"/>
  </r>
  <r>
    <d v="2026-09-09T08:00:00"/>
    <x v="0"/>
    <n v="30.2"/>
    <n v="26.9"/>
    <n v="3.1"/>
    <n v="1518"/>
    <n v="1.9"/>
    <n v="3570.8"/>
    <n v="5090.7"/>
    <n v="0"/>
    <n v="1519.9"/>
    <n v="5090.7000000000007"/>
    <n v="8"/>
  </r>
  <r>
    <d v="2026-09-09T09:00:00"/>
    <x v="0"/>
    <n v="31.8"/>
    <n v="29.4"/>
    <n v="3"/>
    <n v="1862.1"/>
    <n v="1.8"/>
    <n v="3020.9"/>
    <n v="4884.8"/>
    <n v="0"/>
    <n v="1863.8999999999999"/>
    <n v="4884.8"/>
    <n v="9"/>
  </r>
  <r>
    <d v="2026-09-09T10:00:00"/>
    <x v="0"/>
    <n v="31.9"/>
    <n v="21.3"/>
    <n v="3.1"/>
    <n v="2300.6"/>
    <n v="1.9"/>
    <n v="4000"/>
    <n v="7338.4"/>
    <n v="1"/>
    <n v="2302.5"/>
    <n v="6302.5"/>
    <n v="10"/>
  </r>
  <r>
    <d v="2026-09-09T11:00:00"/>
    <x v="0"/>
    <n v="34.1"/>
    <n v="45.6"/>
    <n v="1"/>
    <n v="1990.4"/>
    <n v="0.1"/>
    <n v="4000"/>
    <n v="7367"/>
    <n v="1"/>
    <n v="1990.5"/>
    <n v="5990.5"/>
    <n v="11"/>
  </r>
  <r>
    <d v="2026-09-09T12:00:00"/>
    <x v="0"/>
    <n v="35.299999999999997"/>
    <n v="26.6"/>
    <n v="6.1"/>
    <n v="2440.4"/>
    <n v="14.7"/>
    <n v="4000"/>
    <n v="7190.1"/>
    <n v="1"/>
    <n v="2455.1"/>
    <n v="6455.1"/>
    <n v="12"/>
  </r>
  <r>
    <d v="2026-09-09T13:00:00"/>
    <x v="0"/>
    <n v="35.9"/>
    <n v="71"/>
    <n v="3.3"/>
    <n v="1471.6"/>
    <n v="2.2000000000000002"/>
    <n v="4000"/>
    <n v="7072.4"/>
    <n v="1"/>
    <n v="1473.8"/>
    <n v="5473.8"/>
    <n v="13"/>
  </r>
  <r>
    <d v="2026-09-09T14:00:00"/>
    <x v="0"/>
    <n v="35.4"/>
    <n v="56.6"/>
    <n v="3"/>
    <n v="1632.2"/>
    <n v="1.7"/>
    <n v="4000"/>
    <n v="7083.2"/>
    <n v="1"/>
    <n v="1633.9"/>
    <n v="5633.9"/>
    <n v="14"/>
  </r>
  <r>
    <d v="2026-09-09T15:00:00"/>
    <x v="0"/>
    <n v="31.8"/>
    <n v="0"/>
    <n v="2.2000000000000002"/>
    <n v="2345.5"/>
    <n v="0.6"/>
    <n v="2540.9"/>
    <n v="4887"/>
    <n v="0"/>
    <n v="2346.1"/>
    <n v="4887"/>
    <n v="15"/>
  </r>
  <r>
    <d v="2026-09-09T16:00:00"/>
    <x v="0"/>
    <n v="29.8"/>
    <n v="24.3"/>
    <n v="4.5"/>
    <n v="1552.2"/>
    <n v="5.7"/>
    <n v="3241.5"/>
    <n v="4799.3999999999996"/>
    <n v="0"/>
    <n v="1557.9"/>
    <n v="4799.3999999999996"/>
    <n v="16"/>
  </r>
  <r>
    <d v="2026-09-09T17:00:00"/>
    <x v="0"/>
    <n v="28.1"/>
    <n v="44.7"/>
    <n v="3.6"/>
    <n v="894.5"/>
    <n v="2.9"/>
    <n v="4000"/>
    <n v="5182.6000000000004"/>
    <n v="1"/>
    <n v="897.4"/>
    <n v="4897.3999999999996"/>
    <n v="17"/>
  </r>
  <r>
    <d v="2026-09-09T18:00:00"/>
    <x v="0"/>
    <n v="29"/>
    <n v="2.5"/>
    <n v="4.8"/>
    <n v="655.7"/>
    <n v="6.9"/>
    <n v="4000"/>
    <n v="7692.6"/>
    <n v="1"/>
    <n v="662.6"/>
    <n v="4662.6000000000004"/>
    <n v="18"/>
  </r>
  <r>
    <d v="2026-09-09T19:00:00"/>
    <x v="0"/>
    <n v="27.2"/>
    <n v="30.8"/>
    <n v="8.9"/>
    <n v="0"/>
    <n v="45.3"/>
    <n v="4000"/>
    <n v="7725"/>
    <n v="1"/>
    <n v="45.3"/>
    <n v="4045.3"/>
    <n v="19"/>
  </r>
  <r>
    <d v="2026-09-09T20:00:00"/>
    <x v="0"/>
    <n v="24.2"/>
    <n v="12.5"/>
    <n v="2.9"/>
    <n v="0"/>
    <n v="1.5"/>
    <n v="4000"/>
    <n v="7604.3"/>
    <n v="1"/>
    <n v="1.5"/>
    <n v="4001.5"/>
    <n v="20"/>
  </r>
  <r>
    <d v="2026-09-09T21:00:00"/>
    <x v="0"/>
    <n v="25.5"/>
    <n v="53.4"/>
    <n v="2.9"/>
    <n v="0"/>
    <n v="1.5"/>
    <n v="4000"/>
    <n v="7604.4"/>
    <n v="1"/>
    <n v="1.5"/>
    <n v="4001.5"/>
    <n v="21"/>
  </r>
  <r>
    <d v="2026-09-09T22:00:00"/>
    <x v="0"/>
    <n v="23.5"/>
    <n v="14"/>
    <n v="5.3"/>
    <n v="0"/>
    <n v="9.3000000000000007"/>
    <n v="4000"/>
    <n v="4825.1000000000004"/>
    <n v="1"/>
    <n v="9.3000000000000007"/>
    <n v="4009.3"/>
    <n v="22"/>
  </r>
  <r>
    <d v="2026-09-09T23:00:00"/>
    <x v="0"/>
    <n v="19.899999999999999"/>
    <n v="56"/>
    <n v="7.6"/>
    <n v="0"/>
    <n v="28"/>
    <n v="4000"/>
    <n v="4980.3999999999996"/>
    <n v="1"/>
    <n v="28"/>
    <n v="4028"/>
    <n v="23"/>
  </r>
  <r>
    <d v="2026-09-10T00:00:00"/>
    <x v="0"/>
    <n v="21.4"/>
    <n v="30.7"/>
    <n v="4.7"/>
    <n v="0"/>
    <n v="6.5"/>
    <n v="4000"/>
    <n v="4858.1000000000004"/>
    <n v="1"/>
    <n v="6.5"/>
    <n v="4006.5"/>
    <n v="0"/>
  </r>
  <r>
    <d v="2026-09-10T01:00:00"/>
    <x v="0"/>
    <n v="25.2"/>
    <n v="21.5"/>
    <n v="2.4"/>
    <n v="0"/>
    <n v="0.9"/>
    <n v="4000"/>
    <n v="5048.8"/>
    <n v="1"/>
    <n v="0.9"/>
    <n v="4000.9"/>
    <n v="1"/>
  </r>
  <r>
    <d v="2026-09-10T02:00:00"/>
    <x v="0"/>
    <n v="21.7"/>
    <n v="24.3"/>
    <n v="7.6"/>
    <n v="0"/>
    <n v="28"/>
    <n v="4000"/>
    <n v="4743.1000000000004"/>
    <n v="1"/>
    <n v="28"/>
    <n v="4028"/>
    <n v="2"/>
  </r>
  <r>
    <d v="2026-09-10T03:00:00"/>
    <x v="0"/>
    <n v="24.1"/>
    <n v="24.7"/>
    <n v="6.4"/>
    <n v="0"/>
    <n v="16.600000000000001"/>
    <n v="4000"/>
    <n v="4872.3999999999996"/>
    <n v="1"/>
    <n v="16.600000000000001"/>
    <n v="4016.6"/>
    <n v="3"/>
  </r>
  <r>
    <d v="2026-09-10T04:00:00"/>
    <x v="0"/>
    <n v="24.2"/>
    <n v="15.2"/>
    <n v="6.1"/>
    <n v="0"/>
    <n v="14.4"/>
    <n v="4000"/>
    <n v="5329"/>
    <n v="1"/>
    <n v="14.4"/>
    <n v="4014.4"/>
    <n v="4"/>
  </r>
  <r>
    <d v="2026-09-10T05:00:00"/>
    <x v="0"/>
    <n v="29.2"/>
    <n v="36.700000000000003"/>
    <n v="3.3"/>
    <n v="0"/>
    <n v="2.2999999999999998"/>
    <n v="4000"/>
    <n v="5052.3"/>
    <n v="1"/>
    <n v="2.2999999999999998"/>
    <n v="4002.3"/>
    <n v="5"/>
  </r>
  <r>
    <d v="2026-09-10T06:00:00"/>
    <x v="0"/>
    <n v="29.7"/>
    <n v="41.4"/>
    <n v="5"/>
    <n v="474.1"/>
    <n v="8.1"/>
    <n v="4000"/>
    <n v="5038.6000000000004"/>
    <n v="1"/>
    <n v="482.20000000000005"/>
    <n v="4482.2"/>
    <n v="6"/>
  </r>
  <r>
    <d v="2026-09-10T07:00:00"/>
    <x v="0"/>
    <n v="31.3"/>
    <n v="52.6"/>
    <n v="5.3"/>
    <n v="822"/>
    <n v="9.5"/>
    <n v="4000"/>
    <n v="5110"/>
    <n v="1"/>
    <n v="831.5"/>
    <n v="4831.5"/>
    <n v="7"/>
  </r>
  <r>
    <d v="2026-09-10T08:00:00"/>
    <x v="0"/>
    <n v="31.2"/>
    <n v="49.1"/>
    <n v="2.4"/>
    <n v="1227.2"/>
    <n v="0.8"/>
    <n v="3696.9"/>
    <n v="4924.8999999999996"/>
    <n v="0"/>
    <n v="1228"/>
    <n v="4924.8999999999996"/>
    <n v="8"/>
  </r>
  <r>
    <d v="2026-09-10T09:00:00"/>
    <x v="0"/>
    <n v="31.7"/>
    <n v="25.6"/>
    <n v="6.6"/>
    <n v="1925.6"/>
    <n v="18"/>
    <n v="3061.7"/>
    <n v="5005.3"/>
    <n v="0"/>
    <n v="1943.6"/>
    <n v="5005.2999999999993"/>
    <n v="9"/>
  </r>
  <r>
    <d v="2026-09-10T10:00:00"/>
    <x v="0"/>
    <n v="33.299999999999997"/>
    <n v="0"/>
    <n v="5.5"/>
    <n v="2702.9"/>
    <n v="10.6"/>
    <n v="4000"/>
    <n v="7178.7"/>
    <n v="1"/>
    <n v="2713.5"/>
    <n v="6713.5"/>
    <n v="10"/>
  </r>
  <r>
    <d v="2026-09-10T11:00:00"/>
    <x v="0"/>
    <n v="37"/>
    <n v="18.8"/>
    <n v="4.4000000000000004"/>
    <n v="2539"/>
    <n v="5.6"/>
    <n v="4000"/>
    <n v="7246.8"/>
    <n v="1"/>
    <n v="2544.6"/>
    <n v="6544.6"/>
    <n v="11"/>
  </r>
  <r>
    <d v="2026-09-10T12:00:00"/>
    <x v="0"/>
    <n v="36.4"/>
    <n v="23.1"/>
    <n v="4.5999999999999996"/>
    <n v="2515"/>
    <n v="6.1"/>
    <n v="4000"/>
    <n v="7187.4"/>
    <n v="1"/>
    <n v="2521.1"/>
    <n v="6521.1"/>
    <n v="12"/>
  </r>
  <r>
    <d v="2026-09-10T13:00:00"/>
    <x v="0"/>
    <n v="34.1"/>
    <n v="16.100000000000001"/>
    <n v="4.4000000000000004"/>
    <n v="2595.6999999999998"/>
    <n v="5.4"/>
    <n v="4000"/>
    <n v="7241.2"/>
    <n v="1"/>
    <n v="2601.1"/>
    <n v="6601.1"/>
    <n v="13"/>
  </r>
  <r>
    <d v="2026-09-10T14:00:00"/>
    <x v="0"/>
    <n v="31.7"/>
    <n v="27.7"/>
    <n v="2.6"/>
    <n v="2179.6"/>
    <n v="1.1000000000000001"/>
    <n v="4000"/>
    <n v="7311"/>
    <n v="1"/>
    <n v="2180.6999999999998"/>
    <n v="6180.7"/>
    <n v="14"/>
  </r>
  <r>
    <d v="2026-09-10T15:00:00"/>
    <x v="0"/>
    <n v="30"/>
    <n v="13.8"/>
    <n v="4.8"/>
    <n v="2118.6"/>
    <n v="6.9"/>
    <n v="3003.8"/>
    <n v="5129.3"/>
    <n v="0"/>
    <n v="2125.5"/>
    <n v="5129.3"/>
    <n v="15"/>
  </r>
  <r>
    <d v="2026-09-10T16:00:00"/>
    <x v="0"/>
    <n v="30.9"/>
    <n v="13.9"/>
    <n v="7.8"/>
    <n v="1688.5"/>
    <n v="29.9"/>
    <n v="3466.4"/>
    <n v="5184.8"/>
    <n v="0"/>
    <n v="1718.4"/>
    <n v="5184.8"/>
    <n v="16"/>
  </r>
  <r>
    <d v="2026-09-10T17:00:00"/>
    <x v="0"/>
    <n v="26.3"/>
    <n v="33.799999999999997"/>
    <n v="3"/>
    <n v="993.7"/>
    <n v="1.7"/>
    <n v="3737.4"/>
    <n v="4732.8"/>
    <n v="0"/>
    <n v="995.40000000000009"/>
    <n v="4732.8"/>
    <n v="17"/>
  </r>
  <r>
    <d v="2026-09-10T18:00:00"/>
    <x v="0"/>
    <n v="29.1"/>
    <n v="29.9"/>
    <n v="2.9"/>
    <n v="528"/>
    <n v="1.5"/>
    <n v="4000"/>
    <n v="7546.8"/>
    <n v="1"/>
    <n v="529.5"/>
    <n v="4529.5"/>
    <n v="18"/>
  </r>
  <r>
    <d v="2026-09-10T19:00:00"/>
    <x v="0"/>
    <n v="27.8"/>
    <n v="38"/>
    <n v="3.8"/>
    <n v="0"/>
    <n v="3.5"/>
    <n v="4000"/>
    <n v="7508"/>
    <n v="1"/>
    <n v="3.5"/>
    <n v="4003.5"/>
    <n v="19"/>
  </r>
  <r>
    <d v="2026-09-10T20:00:00"/>
    <x v="0"/>
    <n v="23.4"/>
    <n v="0"/>
    <n v="2.6"/>
    <n v="0"/>
    <n v="1.1000000000000001"/>
    <n v="4000"/>
    <n v="7977"/>
    <n v="1"/>
    <n v="1.1000000000000001"/>
    <n v="4001.1"/>
    <n v="20"/>
  </r>
  <r>
    <d v="2026-09-10T21:00:00"/>
    <x v="0"/>
    <n v="24.1"/>
    <n v="20.2"/>
    <n v="4.7"/>
    <n v="0"/>
    <n v="6.7"/>
    <n v="4000"/>
    <n v="7693.2"/>
    <n v="1"/>
    <n v="6.7"/>
    <n v="4006.7"/>
    <n v="21"/>
  </r>
  <r>
    <d v="2026-09-10T22:00:00"/>
    <x v="0"/>
    <n v="25"/>
    <n v="23.4"/>
    <n v="6.2"/>
    <n v="0"/>
    <n v="15.5"/>
    <n v="4000"/>
    <n v="4762.3"/>
    <n v="1"/>
    <n v="15.5"/>
    <n v="4015.5"/>
    <n v="22"/>
  </r>
  <r>
    <d v="2026-09-10T23:00:00"/>
    <x v="0"/>
    <n v="22.9"/>
    <n v="36.4"/>
    <n v="4.9000000000000004"/>
    <n v="0"/>
    <n v="7.5"/>
    <n v="4000"/>
    <n v="5001.3999999999996"/>
    <n v="1"/>
    <n v="7.5"/>
    <n v="4007.5"/>
    <n v="23"/>
  </r>
  <r>
    <d v="2026-09-11T00:00:00"/>
    <x v="0"/>
    <n v="24"/>
    <n v="28.9"/>
    <n v="5.4"/>
    <n v="0"/>
    <n v="10.199999999999999"/>
    <n v="4000"/>
    <n v="5046.3999999999996"/>
    <n v="1"/>
    <n v="10.199999999999999"/>
    <n v="4010.2"/>
    <n v="0"/>
  </r>
  <r>
    <d v="2026-09-11T01:00:00"/>
    <x v="0"/>
    <n v="24.4"/>
    <n v="11.5"/>
    <n v="7.6"/>
    <n v="0"/>
    <n v="28.1"/>
    <n v="4000"/>
    <n v="4936.5"/>
    <n v="1"/>
    <n v="28.1"/>
    <n v="4028.1"/>
    <n v="1"/>
  </r>
  <r>
    <d v="2026-09-11T02:00:00"/>
    <x v="0"/>
    <n v="20.7"/>
    <n v="27.6"/>
    <n v="2.6"/>
    <n v="0"/>
    <n v="1.2"/>
    <n v="4000"/>
    <n v="4944"/>
    <n v="1"/>
    <n v="1.2"/>
    <n v="4001.2"/>
    <n v="2"/>
  </r>
  <r>
    <d v="2026-09-11T03:00:00"/>
    <x v="0"/>
    <n v="22.8"/>
    <n v="16.100000000000001"/>
    <n v="0.2"/>
    <n v="0"/>
    <n v="0"/>
    <n v="4000"/>
    <n v="5076.1000000000004"/>
    <n v="1"/>
    <n v="0"/>
    <n v="4000"/>
    <n v="3"/>
  </r>
  <r>
    <d v="2026-09-11T04:00:00"/>
    <x v="0"/>
    <n v="21.4"/>
    <n v="0"/>
    <n v="5.5"/>
    <n v="0"/>
    <n v="10.8"/>
    <n v="4000"/>
    <n v="4882.2"/>
    <n v="1"/>
    <n v="10.8"/>
    <n v="4010.8"/>
    <n v="4"/>
  </r>
  <r>
    <d v="2026-09-11T05:00:00"/>
    <x v="0"/>
    <n v="27.1"/>
    <n v="5.7"/>
    <n v="3.9"/>
    <n v="0"/>
    <n v="3.8"/>
    <n v="4000"/>
    <n v="5067.8999999999996"/>
    <n v="1"/>
    <n v="3.8"/>
    <n v="4003.8"/>
    <n v="5"/>
  </r>
  <r>
    <d v="2026-09-11T06:00:00"/>
    <x v="0"/>
    <n v="26.3"/>
    <n v="55.1"/>
    <n v="5.8"/>
    <n v="410.2"/>
    <n v="12.2"/>
    <n v="4000"/>
    <n v="4949.5"/>
    <n v="1"/>
    <n v="422.4"/>
    <n v="4422.3999999999996"/>
    <n v="6"/>
  </r>
  <r>
    <d v="2026-09-11T07:00:00"/>
    <x v="0"/>
    <n v="29.6"/>
    <n v="29.2"/>
    <n v="0"/>
    <n v="1035.9000000000001"/>
    <n v="0"/>
    <n v="3881"/>
    <n v="4916.8999999999996"/>
    <n v="0"/>
    <n v="1035.9000000000001"/>
    <n v="4916.8999999999996"/>
    <n v="7"/>
  </r>
  <r>
    <d v="2026-09-11T08:00:00"/>
    <x v="0"/>
    <n v="30"/>
    <n v="5"/>
    <n v="3.4"/>
    <n v="1805.4"/>
    <n v="2.6"/>
    <n v="3104.9"/>
    <n v="4912.8999999999996"/>
    <n v="0"/>
    <n v="1808"/>
    <n v="4912.8999999999996"/>
    <n v="8"/>
  </r>
  <r>
    <d v="2026-09-11T09:00:00"/>
    <x v="0"/>
    <n v="33.200000000000003"/>
    <n v="13.6"/>
    <n v="5.0999999999999996"/>
    <n v="2122.6"/>
    <n v="8.6999999999999993"/>
    <n v="3088.4"/>
    <n v="5219.7"/>
    <n v="0"/>
    <n v="2131.2999999999997"/>
    <n v="5219.7"/>
    <n v="9"/>
  </r>
  <r>
    <d v="2026-09-11T10:00:00"/>
    <x v="0"/>
    <n v="34.6"/>
    <n v="26.2"/>
    <n v="2.7"/>
    <n v="2207.3000000000002"/>
    <n v="1.3"/>
    <n v="4000"/>
    <n v="7359.9"/>
    <n v="1"/>
    <n v="2208.6000000000004"/>
    <n v="6208.6"/>
    <n v="10"/>
  </r>
  <r>
    <d v="2026-09-11T11:00:00"/>
    <x v="0"/>
    <n v="34.4"/>
    <n v="42.9"/>
    <n v="5.3"/>
    <n v="2046.4"/>
    <n v="9.4"/>
    <n v="4000"/>
    <n v="7254.7"/>
    <n v="1"/>
    <n v="2055.8000000000002"/>
    <n v="6055.8"/>
    <n v="11"/>
  </r>
  <r>
    <d v="2026-09-11T12:00:00"/>
    <x v="0"/>
    <n v="33.200000000000003"/>
    <n v="51.3"/>
    <n v="4.4000000000000004"/>
    <n v="1921.7"/>
    <n v="5.4"/>
    <n v="4000"/>
    <n v="7307.4"/>
    <n v="1"/>
    <n v="1927.1000000000001"/>
    <n v="5927.1"/>
    <n v="12"/>
  </r>
  <r>
    <d v="2026-09-11T13:00:00"/>
    <x v="0"/>
    <n v="32.799999999999997"/>
    <n v="59.7"/>
    <n v="4.4000000000000004"/>
    <n v="1702.1"/>
    <n v="5.4"/>
    <n v="4000"/>
    <n v="7461.3"/>
    <n v="1"/>
    <n v="1707.5"/>
    <n v="5707.5"/>
    <n v="13"/>
  </r>
  <r>
    <d v="2026-09-11T14:00:00"/>
    <x v="0"/>
    <n v="32.5"/>
    <n v="18.600000000000001"/>
    <n v="4.8"/>
    <n v="2351.1"/>
    <n v="7.3"/>
    <n v="4000"/>
    <n v="7052.3"/>
    <n v="1"/>
    <n v="2358.4"/>
    <n v="6358.4"/>
    <n v="14"/>
  </r>
  <r>
    <d v="2026-09-11T15:00:00"/>
    <x v="0"/>
    <n v="31.4"/>
    <n v="24.5"/>
    <n v="8.3000000000000007"/>
    <n v="1943"/>
    <n v="36.4"/>
    <n v="3049"/>
    <n v="5028.3999999999996"/>
    <n v="0"/>
    <n v="1979.4"/>
    <n v="5028.3999999999996"/>
    <n v="15"/>
  </r>
  <r>
    <d v="2026-09-11T16:00:00"/>
    <x v="0"/>
    <n v="31.7"/>
    <n v="25.8"/>
    <n v="4.2"/>
    <n v="1533.2"/>
    <n v="4.9000000000000004"/>
    <n v="3671"/>
    <n v="5209.1000000000004"/>
    <n v="0"/>
    <n v="1538.1000000000001"/>
    <n v="5209.1000000000004"/>
    <n v="16"/>
  </r>
  <r>
    <d v="2026-09-11T17:00:00"/>
    <x v="0"/>
    <n v="28"/>
    <n v="19.899999999999999"/>
    <n v="0.7"/>
    <n v="1120.8"/>
    <n v="0"/>
    <n v="3921.2"/>
    <n v="5042"/>
    <n v="0"/>
    <n v="1120.8"/>
    <n v="5042"/>
    <n v="17"/>
  </r>
  <r>
    <d v="2026-09-11T18:00:00"/>
    <x v="0"/>
    <n v="29"/>
    <n v="15.3"/>
    <n v="7.1"/>
    <n v="595.9"/>
    <n v="23.4"/>
    <n v="4000"/>
    <n v="7759.9"/>
    <n v="1"/>
    <n v="619.29999999999995"/>
    <n v="4619.3"/>
    <n v="18"/>
  </r>
  <r>
    <d v="2026-09-11T19:00:00"/>
    <x v="0"/>
    <n v="24.3"/>
    <n v="29.5"/>
    <n v="6.1"/>
    <n v="0"/>
    <n v="14.5"/>
    <n v="4000"/>
    <n v="7516.1"/>
    <n v="1"/>
    <n v="14.5"/>
    <n v="4014.5"/>
    <n v="19"/>
  </r>
  <r>
    <d v="2026-09-11T20:00:00"/>
    <x v="0"/>
    <n v="24.3"/>
    <n v="46.6"/>
    <n v="3.9"/>
    <n v="0"/>
    <n v="3.9"/>
    <n v="4000"/>
    <n v="7952.6"/>
    <n v="1"/>
    <n v="3.9"/>
    <n v="4003.9"/>
    <n v="20"/>
  </r>
  <r>
    <d v="2026-09-11T21:00:00"/>
    <x v="0"/>
    <n v="25.1"/>
    <n v="38"/>
    <n v="0.8"/>
    <n v="0"/>
    <n v="0"/>
    <n v="4000"/>
    <n v="7674.1"/>
    <n v="1"/>
    <n v="0"/>
    <n v="4000"/>
    <n v="21"/>
  </r>
  <r>
    <d v="2026-09-11T22:00:00"/>
    <x v="0"/>
    <n v="24.9"/>
    <n v="12.5"/>
    <n v="4.8"/>
    <n v="0"/>
    <n v="7"/>
    <n v="4000"/>
    <n v="5171.5"/>
    <n v="1"/>
    <n v="7"/>
    <n v="4007"/>
    <n v="22"/>
  </r>
  <r>
    <d v="2026-09-11T23:00:00"/>
    <x v="0"/>
    <n v="22.6"/>
    <n v="14"/>
    <n v="2.7"/>
    <n v="0"/>
    <n v="1.2"/>
    <n v="4000"/>
    <n v="5024.1000000000004"/>
    <n v="1"/>
    <n v="1.2"/>
    <n v="4001.2"/>
    <n v="23"/>
  </r>
  <r>
    <d v="2026-09-12T00:00:00"/>
    <x v="0"/>
    <n v="23.8"/>
    <n v="35.9"/>
    <n v="3.3"/>
    <n v="0"/>
    <n v="2.2000000000000002"/>
    <n v="4000"/>
    <n v="4316.2"/>
    <n v="1"/>
    <n v="2.2000000000000002"/>
    <n v="4002.2"/>
    <n v="0"/>
  </r>
  <r>
    <d v="2026-09-12T01:00:00"/>
    <x v="0"/>
    <n v="17.899999999999999"/>
    <n v="48"/>
    <n v="0.5"/>
    <n v="0"/>
    <n v="0"/>
    <n v="4000"/>
    <n v="4435.8"/>
    <n v="1"/>
    <n v="0"/>
    <n v="4000"/>
    <n v="1"/>
  </r>
  <r>
    <d v="2026-09-12T02:00:00"/>
    <x v="0"/>
    <n v="21.1"/>
    <n v="0"/>
    <n v="6.3"/>
    <n v="0"/>
    <n v="16.2"/>
    <n v="4000"/>
    <n v="4265.6000000000004"/>
    <n v="1"/>
    <n v="16.2"/>
    <n v="4016.2"/>
    <n v="2"/>
  </r>
  <r>
    <d v="2026-09-12T03:00:00"/>
    <x v="0"/>
    <n v="24.3"/>
    <n v="24.1"/>
    <n v="5"/>
    <n v="0"/>
    <n v="7.8"/>
    <n v="4000"/>
    <n v="4249.8"/>
    <n v="1"/>
    <n v="7.8"/>
    <n v="4007.8"/>
    <n v="3"/>
  </r>
  <r>
    <d v="2026-09-12T04:00:00"/>
    <x v="0"/>
    <n v="23.1"/>
    <n v="44.9"/>
    <n v="3"/>
    <n v="0"/>
    <n v="1.7"/>
    <n v="4000"/>
    <n v="4331.5"/>
    <n v="1"/>
    <n v="1.7"/>
    <n v="4001.7"/>
    <n v="4"/>
  </r>
  <r>
    <d v="2026-09-12T05:00:00"/>
    <x v="0"/>
    <n v="25.8"/>
    <n v="55"/>
    <n v="5.7"/>
    <n v="0"/>
    <n v="11.9"/>
    <n v="4000"/>
    <n v="4086.5"/>
    <n v="1"/>
    <n v="11.9"/>
    <n v="4011.9"/>
    <n v="5"/>
  </r>
  <r>
    <d v="2026-09-12T06:00:00"/>
    <x v="0"/>
    <n v="27.5"/>
    <n v="18.600000000000001"/>
    <n v="8.1999999999999993"/>
    <n v="580.79999999999995"/>
    <n v="34.700000000000003"/>
    <n v="3652.2"/>
    <n v="4267.7"/>
    <n v="0"/>
    <n v="615.5"/>
    <n v="4267.7"/>
    <n v="6"/>
  </r>
  <r>
    <d v="2026-09-12T07:00:00"/>
    <x v="0"/>
    <n v="30.2"/>
    <n v="45.6"/>
    <n v="4.5"/>
    <n v="886.1"/>
    <n v="5.7"/>
    <n v="3485.5"/>
    <n v="4377.3"/>
    <n v="0"/>
    <n v="891.80000000000007"/>
    <n v="4377.3"/>
    <n v="7"/>
  </r>
  <r>
    <d v="2026-09-12T08:00:00"/>
    <x v="0"/>
    <n v="30.7"/>
    <n v="23.6"/>
    <n v="3.9"/>
    <n v="1561.9"/>
    <n v="3.9"/>
    <n v="2715.3"/>
    <n v="4281.1000000000004"/>
    <n v="0"/>
    <n v="1565.8000000000002"/>
    <n v="4281.1000000000004"/>
    <n v="8"/>
  </r>
  <r>
    <d v="2026-09-12T09:00:00"/>
    <x v="0"/>
    <n v="32.299999999999997"/>
    <n v="39.700000000000003"/>
    <n v="3.8"/>
    <n v="1694.5"/>
    <n v="3.6"/>
    <n v="2731"/>
    <n v="4429.1000000000004"/>
    <n v="0"/>
    <n v="1698.1"/>
    <n v="4429.1000000000004"/>
    <n v="9"/>
  </r>
  <r>
    <d v="2026-09-12T10:00:00"/>
    <x v="0"/>
    <n v="30.2"/>
    <n v="43.3"/>
    <n v="4.7"/>
    <n v="1883.2"/>
    <n v="6.6"/>
    <n v="4000"/>
    <n v="6251.8"/>
    <n v="1"/>
    <n v="1889.8"/>
    <n v="5889.8"/>
    <n v="10"/>
  </r>
  <r>
    <d v="2026-09-12T11:00:00"/>
    <x v="0"/>
    <n v="29.5"/>
    <n v="66.8"/>
    <n v="3.7"/>
    <n v="1557.8"/>
    <n v="3.3"/>
    <n v="4000"/>
    <n v="6389.7"/>
    <n v="1"/>
    <n v="1561.1"/>
    <n v="5561.1"/>
    <n v="11"/>
  </r>
  <r>
    <d v="2026-09-12T12:00:00"/>
    <x v="0"/>
    <n v="32.4"/>
    <n v="37.299999999999997"/>
    <n v="1.9"/>
    <n v="2217.6"/>
    <n v="0.4"/>
    <n v="4000"/>
    <n v="6406.2"/>
    <n v="1"/>
    <n v="2218"/>
    <n v="6218"/>
    <n v="12"/>
  </r>
  <r>
    <d v="2026-09-12T13:00:00"/>
    <x v="0"/>
    <n v="36.700000000000003"/>
    <n v="21.2"/>
    <n v="4.4000000000000004"/>
    <n v="2491"/>
    <n v="5.6"/>
    <n v="3649.8"/>
    <n v="6146.4"/>
    <n v="0"/>
    <n v="2496.6"/>
    <n v="6146.4"/>
    <n v="13"/>
  </r>
  <r>
    <d v="2026-09-12T14:00:00"/>
    <x v="0"/>
    <n v="33.9"/>
    <n v="28"/>
    <n v="4.7"/>
    <n v="2173"/>
    <n v="6.8"/>
    <n v="4000"/>
    <n v="6370.5"/>
    <n v="1"/>
    <n v="2179.8000000000002"/>
    <n v="6179.8"/>
    <n v="14"/>
  </r>
  <r>
    <d v="2026-09-12T15:00:00"/>
    <x v="0"/>
    <n v="32.200000000000003"/>
    <n v="29"/>
    <n v="6.1"/>
    <n v="1869"/>
    <n v="14.5"/>
    <n v="2797"/>
    <n v="4680.5"/>
    <n v="0"/>
    <n v="1883.5"/>
    <n v="4680.5"/>
    <n v="15"/>
  </r>
  <r>
    <d v="2026-09-12T16:00:00"/>
    <x v="0"/>
    <n v="32.799999999999997"/>
    <n v="37.799999999999997"/>
    <n v="1.7"/>
    <n v="1375.9"/>
    <n v="0.3"/>
    <n v="3109.6"/>
    <n v="4485.8"/>
    <n v="0"/>
    <n v="1376.2"/>
    <n v="4485.8"/>
    <n v="16"/>
  </r>
  <r>
    <d v="2026-09-12T17:00:00"/>
    <x v="0"/>
    <n v="27.8"/>
    <n v="31.1"/>
    <n v="2.5"/>
    <n v="1018.7"/>
    <n v="1"/>
    <n v="3545.3"/>
    <n v="4565"/>
    <n v="0"/>
    <n v="1019.7"/>
    <n v="4565"/>
    <n v="17"/>
  </r>
  <r>
    <d v="2026-09-12T18:00:00"/>
    <x v="0"/>
    <n v="28.5"/>
    <n v="31.4"/>
    <n v="4.8"/>
    <n v="520.70000000000005"/>
    <n v="7.3"/>
    <n v="4000"/>
    <n v="6710.4"/>
    <n v="1"/>
    <n v="528"/>
    <n v="4528"/>
    <n v="18"/>
  </r>
  <r>
    <d v="2026-09-12T19:00:00"/>
    <x v="0"/>
    <n v="27.1"/>
    <n v="20.100000000000001"/>
    <n v="5.9"/>
    <n v="0"/>
    <n v="13.3"/>
    <n v="4000"/>
    <n v="6962.1"/>
    <n v="1"/>
    <n v="13.3"/>
    <n v="4013.3"/>
    <n v="19"/>
  </r>
  <r>
    <d v="2026-09-12T20:00:00"/>
    <x v="0"/>
    <n v="23.2"/>
    <n v="36.9"/>
    <n v="5.4"/>
    <n v="0"/>
    <n v="10.1"/>
    <n v="4000"/>
    <n v="6898.4"/>
    <n v="1"/>
    <n v="10.1"/>
    <n v="4010.1"/>
    <n v="20"/>
  </r>
  <r>
    <d v="2026-09-12T21:00:00"/>
    <x v="0"/>
    <n v="25.8"/>
    <n v="22"/>
    <n v="4.3"/>
    <n v="0"/>
    <n v="4.9000000000000004"/>
    <n v="4000"/>
    <n v="6675.4"/>
    <n v="1"/>
    <n v="4.9000000000000004"/>
    <n v="4004.9"/>
    <n v="21"/>
  </r>
  <r>
    <d v="2026-09-12T22:00:00"/>
    <x v="0"/>
    <n v="22.8"/>
    <n v="3.1"/>
    <n v="1.1000000000000001"/>
    <n v="0"/>
    <n v="0.1"/>
    <n v="4000"/>
    <n v="4294"/>
    <n v="1"/>
    <n v="0.1"/>
    <n v="4000.1"/>
    <n v="22"/>
  </r>
  <r>
    <d v="2026-09-12T23:00:00"/>
    <x v="0"/>
    <n v="20.9"/>
    <n v="5.2"/>
    <n v="0"/>
    <n v="0"/>
    <n v="0"/>
    <n v="4000"/>
    <n v="4559.2"/>
    <n v="1"/>
    <n v="0"/>
    <n v="4000"/>
    <n v="23"/>
  </r>
  <r>
    <d v="2026-09-13T00:00:00"/>
    <x v="0"/>
    <n v="20"/>
    <n v="57.8"/>
    <n v="6"/>
    <n v="0"/>
    <n v="14"/>
    <n v="4000"/>
    <n v="4224.2"/>
    <n v="1"/>
    <n v="14"/>
    <n v="4014"/>
    <n v="0"/>
  </r>
  <r>
    <d v="2026-09-13T01:00:00"/>
    <x v="0"/>
    <n v="25.6"/>
    <n v="44.6"/>
    <n v="3.4"/>
    <n v="0"/>
    <n v="2.4"/>
    <n v="4000"/>
    <n v="4216.8"/>
    <n v="1"/>
    <n v="2.4"/>
    <n v="4002.4"/>
    <n v="1"/>
  </r>
  <r>
    <d v="2026-09-13T02:00:00"/>
    <x v="0"/>
    <n v="26.2"/>
    <n v="0"/>
    <n v="0.7"/>
    <n v="0"/>
    <n v="0"/>
    <n v="3945.1"/>
    <n v="3945.1"/>
    <n v="0"/>
    <n v="0"/>
    <n v="3945.1"/>
    <n v="2"/>
  </r>
  <r>
    <d v="2026-09-13T03:00:00"/>
    <x v="0"/>
    <n v="27.4"/>
    <n v="52.7"/>
    <n v="5.0999999999999996"/>
    <n v="0"/>
    <n v="8.6"/>
    <n v="4000"/>
    <n v="4473.3999999999996"/>
    <n v="1"/>
    <n v="8.6"/>
    <n v="4008.6"/>
    <n v="3"/>
  </r>
  <r>
    <d v="2026-09-13T04:00:00"/>
    <x v="0"/>
    <n v="26.3"/>
    <n v="40.200000000000003"/>
    <n v="4.5999999999999996"/>
    <n v="0"/>
    <n v="6.1"/>
    <n v="4000"/>
    <n v="4409.2"/>
    <n v="1"/>
    <n v="6.1"/>
    <n v="4006.1"/>
    <n v="4"/>
  </r>
  <r>
    <d v="2026-09-13T05:00:00"/>
    <x v="0"/>
    <n v="26.4"/>
    <n v="9.9"/>
    <n v="3.4"/>
    <n v="0"/>
    <n v="2.6"/>
    <n v="4000"/>
    <n v="4335.6000000000004"/>
    <n v="1"/>
    <n v="2.6"/>
    <n v="4002.6"/>
    <n v="5"/>
  </r>
  <r>
    <d v="2026-09-13T06:00:00"/>
    <x v="0"/>
    <n v="27.9"/>
    <n v="5.2"/>
    <n v="1.8"/>
    <n v="643.1"/>
    <n v="0.4"/>
    <n v="3422.6"/>
    <n v="4066.1"/>
    <n v="0"/>
    <n v="643.5"/>
    <n v="4066.1"/>
    <n v="6"/>
  </r>
  <r>
    <d v="2026-09-13T07:00:00"/>
    <x v="0"/>
    <n v="31.6"/>
    <n v="43.4"/>
    <n v="0.9"/>
    <n v="906.5"/>
    <n v="0"/>
    <n v="3440.5"/>
    <n v="4347"/>
    <n v="0"/>
    <n v="906.5"/>
    <n v="4347"/>
    <n v="7"/>
  </r>
  <r>
    <d v="2026-09-13T08:00:00"/>
    <x v="0"/>
    <n v="32.4"/>
    <n v="5.4"/>
    <n v="3.6"/>
    <n v="1800.4"/>
    <n v="2.9"/>
    <n v="2368.3000000000002"/>
    <n v="4171.6000000000004"/>
    <n v="0"/>
    <n v="1803.3000000000002"/>
    <n v="4171.6000000000004"/>
    <n v="8"/>
  </r>
  <r>
    <d v="2026-09-13T09:00:00"/>
    <x v="0"/>
    <n v="30.8"/>
    <n v="27.1"/>
    <n v="1.3"/>
    <n v="1900.4"/>
    <n v="0.2"/>
    <n v="2501.9"/>
    <n v="4402.5"/>
    <n v="0"/>
    <n v="1900.6000000000001"/>
    <n v="4402.5"/>
    <n v="9"/>
  </r>
  <r>
    <d v="2026-09-13T10:00:00"/>
    <x v="0"/>
    <n v="33.700000000000003"/>
    <n v="0"/>
    <n v="4.9000000000000004"/>
    <n v="2702.9"/>
    <n v="7.4"/>
    <n v="3439.5"/>
    <n v="6149.8"/>
    <n v="0"/>
    <n v="2710.3"/>
    <n v="6149.8"/>
    <n v="10"/>
  </r>
  <r>
    <d v="2026-09-13T11:00:00"/>
    <x v="0"/>
    <n v="34.6"/>
    <n v="29.5"/>
    <n v="6.7"/>
    <n v="2321.3000000000002"/>
    <n v="19.5"/>
    <n v="3896.3"/>
    <n v="6237.1"/>
    <n v="0"/>
    <n v="2340.8000000000002"/>
    <n v="6237.1"/>
    <n v="11"/>
  </r>
  <r>
    <d v="2026-09-13T12:00:00"/>
    <x v="0"/>
    <n v="33.4"/>
    <n v="27.4"/>
    <n v="5.0999999999999996"/>
    <n v="2423.6"/>
    <n v="8.4"/>
    <n v="3826.8"/>
    <n v="6258.8"/>
    <n v="0"/>
    <n v="2432"/>
    <n v="6258.8"/>
    <n v="12"/>
  </r>
  <r>
    <d v="2026-09-13T13:00:00"/>
    <x v="0"/>
    <n v="33.9"/>
    <n v="11"/>
    <n v="2.7"/>
    <n v="2700.4"/>
    <n v="1.2"/>
    <n v="3545.7"/>
    <n v="6247.3"/>
    <n v="0"/>
    <n v="2701.6"/>
    <n v="6247.2999999999993"/>
    <n v="13"/>
  </r>
  <r>
    <d v="2026-09-13T14:00:00"/>
    <x v="0"/>
    <n v="35.799999999999997"/>
    <n v="0.1"/>
    <n v="2.6"/>
    <n v="2700.6"/>
    <n v="1.1000000000000001"/>
    <n v="3327.9"/>
    <n v="6029.6"/>
    <n v="0"/>
    <n v="2701.7"/>
    <n v="6029.6"/>
    <n v="14"/>
  </r>
  <r>
    <d v="2026-09-13T15:00:00"/>
    <x v="0"/>
    <n v="33.6"/>
    <n v="19.100000000000001"/>
    <n v="6.5"/>
    <n v="2031.9"/>
    <n v="17.5"/>
    <n v="2162.8000000000002"/>
    <n v="4212.2"/>
    <n v="0"/>
    <n v="2049.4"/>
    <n v="4212.2000000000007"/>
    <n v="15"/>
  </r>
  <r>
    <d v="2026-09-13T16:00:00"/>
    <x v="0"/>
    <n v="31.4"/>
    <n v="8.3000000000000007"/>
    <n v="8.3000000000000007"/>
    <n v="1761.9"/>
    <n v="36.5"/>
    <n v="2420.6"/>
    <n v="4219"/>
    <n v="0"/>
    <n v="1798.4"/>
    <n v="4219"/>
    <n v="16"/>
  </r>
  <r>
    <d v="2026-09-13T17:00:00"/>
    <x v="0"/>
    <n v="30"/>
    <n v="37.700000000000003"/>
    <n v="4.8"/>
    <n v="958.4"/>
    <n v="7.2"/>
    <n v="3176.3"/>
    <n v="4141.8999999999996"/>
    <n v="0"/>
    <n v="965.6"/>
    <n v="4141.9000000000005"/>
    <n v="17"/>
  </r>
  <r>
    <d v="2026-09-13T18:00:00"/>
    <x v="0"/>
    <n v="27.8"/>
    <n v="25.9"/>
    <n v="3.7"/>
    <n v="546.6"/>
    <n v="3.3"/>
    <n v="4000"/>
    <n v="6692.2"/>
    <n v="1"/>
    <n v="549.9"/>
    <n v="4549.8999999999996"/>
    <n v="18"/>
  </r>
  <r>
    <d v="2026-09-13T19:00:00"/>
    <x v="0"/>
    <n v="29.8"/>
    <n v="13.9"/>
    <n v="1.3"/>
    <n v="0"/>
    <n v="0.1"/>
    <n v="4000"/>
    <n v="6864.6"/>
    <n v="1"/>
    <n v="0.1"/>
    <n v="4000.1"/>
    <n v="19"/>
  </r>
  <r>
    <d v="2026-09-13T20:00:00"/>
    <x v="0"/>
    <n v="28.9"/>
    <n v="8.9"/>
    <n v="7.3"/>
    <n v="0"/>
    <n v="24.7"/>
    <n v="4000"/>
    <n v="6706.8"/>
    <n v="1"/>
    <n v="24.7"/>
    <n v="4024.7"/>
    <n v="20"/>
  </r>
  <r>
    <d v="2026-09-13T21:00:00"/>
    <x v="0"/>
    <n v="22.9"/>
    <n v="36.4"/>
    <n v="7.3"/>
    <n v="0"/>
    <n v="24.5"/>
    <n v="4000"/>
    <n v="6971.7"/>
    <n v="1"/>
    <n v="24.5"/>
    <n v="4024.5"/>
    <n v="21"/>
  </r>
  <r>
    <d v="2026-09-13T22:00:00"/>
    <x v="0"/>
    <n v="22.5"/>
    <n v="13.4"/>
    <n v="2"/>
    <n v="0"/>
    <n v="0.5"/>
    <n v="4000"/>
    <n v="4263.1000000000004"/>
    <n v="1"/>
    <n v="0.5"/>
    <n v="4000.5"/>
    <n v="22"/>
  </r>
  <r>
    <d v="2026-09-13T23:00:00"/>
    <x v="0"/>
    <n v="20.399999999999999"/>
    <n v="25.7"/>
    <n v="2.5"/>
    <n v="0"/>
    <n v="1"/>
    <n v="4000"/>
    <n v="4222.6000000000004"/>
    <n v="1"/>
    <n v="1"/>
    <n v="4001"/>
    <n v="23"/>
  </r>
  <r>
    <d v="2026-09-14T00:00:00"/>
    <x v="0"/>
    <n v="19.7"/>
    <n v="31.6"/>
    <n v="5.7"/>
    <n v="0"/>
    <n v="11.6"/>
    <n v="4000"/>
    <n v="4985.1000000000004"/>
    <n v="1"/>
    <n v="11.6"/>
    <n v="4011.6"/>
    <n v="0"/>
  </r>
  <r>
    <d v="2026-09-14T01:00:00"/>
    <x v="0"/>
    <n v="22.8"/>
    <n v="49.6"/>
    <n v="1.6"/>
    <n v="0"/>
    <n v="0.3"/>
    <n v="4000"/>
    <n v="4650.8999999999996"/>
    <n v="1"/>
    <n v="0.3"/>
    <n v="4000.3"/>
    <n v="1"/>
  </r>
  <r>
    <d v="2026-09-14T02:00:00"/>
    <x v="0"/>
    <n v="23.4"/>
    <n v="10.9"/>
    <n v="3.9"/>
    <n v="0"/>
    <n v="3.8"/>
    <n v="4000"/>
    <n v="5200.8999999999996"/>
    <n v="1"/>
    <n v="3.8"/>
    <n v="4003.8"/>
    <n v="2"/>
  </r>
  <r>
    <d v="2026-09-14T03:00:00"/>
    <x v="0"/>
    <n v="23.9"/>
    <n v="35.799999999999997"/>
    <n v="2.2000000000000002"/>
    <n v="0"/>
    <n v="0.6"/>
    <n v="4000"/>
    <n v="5033.7"/>
    <n v="1"/>
    <n v="0.6"/>
    <n v="4000.6"/>
    <n v="3"/>
  </r>
  <r>
    <d v="2026-09-14T04:00:00"/>
    <x v="0"/>
    <n v="22.9"/>
    <n v="22.8"/>
    <n v="2.2000000000000002"/>
    <n v="0"/>
    <n v="0.7"/>
    <n v="4000"/>
    <n v="4975.3999999999996"/>
    <n v="1"/>
    <n v="0.7"/>
    <n v="4000.7"/>
    <n v="4"/>
  </r>
  <r>
    <d v="2026-09-14T05:00:00"/>
    <x v="0"/>
    <n v="28.3"/>
    <n v="46.8"/>
    <n v="5.2"/>
    <n v="0"/>
    <n v="9.1"/>
    <n v="4000"/>
    <n v="4839.7"/>
    <n v="1"/>
    <n v="9.1"/>
    <n v="4009.1"/>
    <n v="5"/>
  </r>
  <r>
    <d v="2026-09-14T06:00:00"/>
    <x v="0"/>
    <n v="27.5"/>
    <n v="49.3"/>
    <n v="4.3"/>
    <n v="437.4"/>
    <n v="5"/>
    <n v="4000"/>
    <n v="4786.2"/>
    <n v="1"/>
    <n v="442.4"/>
    <n v="4442.3999999999996"/>
    <n v="6"/>
  </r>
  <r>
    <d v="2026-09-14T07:00:00"/>
    <x v="0"/>
    <n v="30.1"/>
    <n v="28.8"/>
    <n v="3.4"/>
    <n v="1038.9000000000001"/>
    <n v="2.5"/>
    <n v="4000"/>
    <n v="5297.9"/>
    <n v="1"/>
    <n v="1041.4000000000001"/>
    <n v="5041.3999999999996"/>
    <n v="7"/>
  </r>
  <r>
    <d v="2026-09-14T08:00:00"/>
    <x v="0"/>
    <n v="30.8"/>
    <n v="39.200000000000003"/>
    <n v="5.9"/>
    <n v="1357.7"/>
    <n v="13.2"/>
    <n v="3599.1"/>
    <n v="4970"/>
    <n v="0"/>
    <n v="1370.9"/>
    <n v="4970"/>
    <n v="8"/>
  </r>
  <r>
    <d v="2026-09-14T09:00:00"/>
    <x v="0"/>
    <n v="30.2"/>
    <n v="0"/>
    <n v="5"/>
    <n v="2345.5"/>
    <n v="8.1"/>
    <n v="2478.5"/>
    <n v="4832.1000000000004"/>
    <n v="0"/>
    <n v="2353.6"/>
    <n v="4832.1000000000004"/>
    <n v="9"/>
  </r>
  <r>
    <d v="2026-09-14T10:00:00"/>
    <x v="0"/>
    <n v="30"/>
    <n v="32.799999999999997"/>
    <n v="9"/>
    <n v="2082.9"/>
    <n v="46.4"/>
    <n v="4000"/>
    <n v="6984.5"/>
    <n v="1"/>
    <n v="2129.3000000000002"/>
    <n v="6129.3"/>
    <n v="10"/>
  </r>
  <r>
    <d v="2026-09-14T11:00:00"/>
    <x v="0"/>
    <n v="35.1"/>
    <n v="26.6"/>
    <n v="3.8"/>
    <n v="2379.4"/>
    <n v="3.5"/>
    <n v="4000"/>
    <n v="7149.1"/>
    <n v="1"/>
    <n v="2382.9"/>
    <n v="6382.9"/>
    <n v="11"/>
  </r>
  <r>
    <d v="2026-09-14T12:00:00"/>
    <x v="0"/>
    <n v="33.6"/>
    <n v="30.3"/>
    <n v="4.5999999999999996"/>
    <n v="2362.6999999999998"/>
    <n v="6.4"/>
    <n v="4000"/>
    <n v="7287.9"/>
    <n v="1"/>
    <n v="2369.1"/>
    <n v="6369.1"/>
    <n v="12"/>
  </r>
  <r>
    <d v="2026-09-14T13:00:00"/>
    <x v="0"/>
    <n v="35.299999999999997"/>
    <n v="21.5"/>
    <n v="2.5"/>
    <n v="2484.6"/>
    <n v="1"/>
    <n v="4000"/>
    <n v="7049.8"/>
    <n v="1"/>
    <n v="2485.6"/>
    <n v="6485.6"/>
    <n v="13"/>
  </r>
  <r>
    <d v="2026-09-14T14:00:00"/>
    <x v="0"/>
    <n v="31.8"/>
    <n v="25.6"/>
    <n v="4"/>
    <n v="2219.1999999999998"/>
    <n v="4"/>
    <n v="4000"/>
    <n v="7230.5"/>
    <n v="1"/>
    <n v="2223.1999999999998"/>
    <n v="6223.2"/>
    <n v="14"/>
  </r>
  <r>
    <d v="2026-09-14T15:00:00"/>
    <x v="0"/>
    <n v="33"/>
    <n v="24.5"/>
    <n v="5.6"/>
    <n v="1943.3"/>
    <n v="11.5"/>
    <n v="3158.1"/>
    <n v="5112.8999999999996"/>
    <n v="0"/>
    <n v="1954.8"/>
    <n v="5112.8999999999996"/>
    <n v="15"/>
  </r>
  <r>
    <d v="2026-09-14T16:00:00"/>
    <x v="0"/>
    <n v="31.8"/>
    <n v="25.2"/>
    <n v="1.4"/>
    <n v="1540.4"/>
    <n v="0.2"/>
    <n v="3617.9"/>
    <n v="5158.5"/>
    <n v="0"/>
    <n v="1540.6000000000001"/>
    <n v="5158.5"/>
    <n v="16"/>
  </r>
  <r>
    <d v="2026-09-14T17:00:00"/>
    <x v="0"/>
    <n v="29.1"/>
    <n v="12.8"/>
    <n v="3.6"/>
    <n v="1184.9000000000001"/>
    <n v="3.1"/>
    <n v="3602.2"/>
    <n v="4790.2"/>
    <n v="0"/>
    <n v="1188"/>
    <n v="4790.2"/>
    <n v="17"/>
  </r>
  <r>
    <d v="2026-09-14T18:00:00"/>
    <x v="0"/>
    <n v="28.8"/>
    <n v="23.6"/>
    <n v="5"/>
    <n v="557.29999999999995"/>
    <n v="7.9"/>
    <n v="4000"/>
    <n v="7708.5"/>
    <n v="1"/>
    <n v="565.19999999999993"/>
    <n v="4565.2"/>
    <n v="18"/>
  </r>
  <r>
    <d v="2026-09-14T19:00:00"/>
    <x v="0"/>
    <n v="23.5"/>
    <n v="6.2"/>
    <n v="3.7"/>
    <n v="0"/>
    <n v="3.3"/>
    <n v="4000"/>
    <n v="7709.7"/>
    <n v="1"/>
    <n v="3.3"/>
    <n v="4003.3"/>
    <n v="19"/>
  </r>
  <r>
    <d v="2026-09-14T20:00:00"/>
    <x v="0"/>
    <n v="25.9"/>
    <n v="55.6"/>
    <n v="6.4"/>
    <n v="0"/>
    <n v="17.100000000000001"/>
    <n v="4000"/>
    <n v="7518.5"/>
    <n v="1"/>
    <n v="17.100000000000001"/>
    <n v="4017.1"/>
    <n v="20"/>
  </r>
  <r>
    <d v="2026-09-14T21:00:00"/>
    <x v="0"/>
    <n v="26"/>
    <n v="28"/>
    <n v="3.3"/>
    <n v="0"/>
    <n v="2.4"/>
    <n v="4000"/>
    <n v="7668"/>
    <n v="1"/>
    <n v="2.4"/>
    <n v="4002.4"/>
    <n v="21"/>
  </r>
  <r>
    <d v="2026-09-14T22:00:00"/>
    <x v="0"/>
    <n v="22.4"/>
    <n v="17.2"/>
    <n v="4.3"/>
    <n v="0"/>
    <n v="5.2"/>
    <n v="4000"/>
    <n v="4858"/>
    <n v="1"/>
    <n v="5.2"/>
    <n v="4005.2"/>
    <n v="22"/>
  </r>
  <r>
    <d v="2026-09-14T23:00:00"/>
    <x v="0"/>
    <n v="22.2"/>
    <n v="33.700000000000003"/>
    <n v="6.4"/>
    <n v="0"/>
    <n v="16.600000000000001"/>
    <n v="4000"/>
    <n v="4974.1000000000004"/>
    <n v="1"/>
    <n v="16.600000000000001"/>
    <n v="4016.6"/>
    <n v="23"/>
  </r>
  <r>
    <d v="2026-09-01T00:00:00"/>
    <x v="1"/>
    <n v="18.5"/>
    <n v="0"/>
    <n v="16.7"/>
    <n v="0"/>
    <n v="741.4"/>
    <n v="4000"/>
    <n v="5092.3999999999996"/>
    <n v="1"/>
    <n v="741.4"/>
    <n v="4741.3999999999996"/>
    <n v="0"/>
  </r>
  <r>
    <d v="2026-09-01T01:00:00"/>
    <x v="1"/>
    <n v="19.899999999999999"/>
    <n v="15.7"/>
    <n v="3"/>
    <n v="0"/>
    <n v="4.3"/>
    <n v="4000"/>
    <n v="4745"/>
    <n v="1"/>
    <n v="4.3"/>
    <n v="4004.3"/>
    <n v="1"/>
  </r>
  <r>
    <d v="2026-09-01T02:00:00"/>
    <x v="1"/>
    <n v="21.3"/>
    <n v="30.6"/>
    <n v="0"/>
    <n v="0"/>
    <n v="0"/>
    <n v="4000"/>
    <n v="5031.2"/>
    <n v="1"/>
    <n v="0"/>
    <n v="4000"/>
    <n v="2"/>
  </r>
  <r>
    <d v="2026-09-01T03:00:00"/>
    <x v="1"/>
    <n v="21.6"/>
    <n v="8"/>
    <n v="12.9"/>
    <n v="0"/>
    <n v="344.8"/>
    <n v="4000"/>
    <n v="4868.1000000000004"/>
    <n v="1"/>
    <n v="344.8"/>
    <n v="4344.8"/>
    <n v="3"/>
  </r>
  <r>
    <d v="2026-09-01T04:00:00"/>
    <x v="1"/>
    <n v="22.6"/>
    <n v="48"/>
    <n v="7.1"/>
    <n v="0"/>
    <n v="58.1"/>
    <n v="4000"/>
    <n v="4947.7"/>
    <n v="1"/>
    <n v="58.1"/>
    <n v="4058.1"/>
    <n v="4"/>
  </r>
  <r>
    <d v="2026-09-01T05:00:00"/>
    <x v="1"/>
    <n v="22.8"/>
    <n v="44.3"/>
    <n v="7.3"/>
    <n v="0"/>
    <n v="63.1"/>
    <n v="4000"/>
    <n v="5129.5"/>
    <n v="1"/>
    <n v="63.1"/>
    <n v="4063.1"/>
    <n v="5"/>
  </r>
  <r>
    <d v="2026-09-01T06:00:00"/>
    <x v="1"/>
    <n v="23.1"/>
    <n v="40.700000000000003"/>
    <n v="20.6"/>
    <n v="252.3"/>
    <n v="1390.3"/>
    <n v="3240.9"/>
    <n v="4883.5"/>
    <n v="0"/>
    <n v="1642.6"/>
    <n v="4883.5"/>
    <n v="6"/>
  </r>
  <r>
    <d v="2026-09-01T07:00:00"/>
    <x v="1"/>
    <n v="23.4"/>
    <n v="81.8"/>
    <n v="11"/>
    <n v="331.5"/>
    <n v="210.3"/>
    <n v="4000"/>
    <n v="4744.2"/>
    <n v="1"/>
    <n v="541.79999999999995"/>
    <n v="4541.8"/>
    <n v="7"/>
  </r>
  <r>
    <d v="2026-09-01T08:00:00"/>
    <x v="1"/>
    <n v="27"/>
    <n v="29.9"/>
    <n v="21.1"/>
    <n v="767.7"/>
    <n v="1509.5"/>
    <n v="2572.4"/>
    <n v="4849.6000000000004"/>
    <n v="0"/>
    <n v="2277.1999999999998"/>
    <n v="4849.6000000000004"/>
    <n v="8"/>
  </r>
  <r>
    <d v="2026-09-01T09:00:00"/>
    <x v="1"/>
    <n v="26.3"/>
    <n v="98.9"/>
    <n v="9"/>
    <n v="476.6"/>
    <n v="115.5"/>
    <n v="4000"/>
    <n v="5051.7"/>
    <n v="1"/>
    <n v="592.1"/>
    <n v="4592.1000000000004"/>
    <n v="9"/>
  </r>
  <r>
    <d v="2026-09-01T10:00:00"/>
    <x v="1"/>
    <n v="27.8"/>
    <n v="77.5"/>
    <n v="19.8"/>
    <n v="722.7"/>
    <n v="1243.4000000000001"/>
    <n v="4000"/>
    <n v="7261.3"/>
    <n v="1"/>
    <n v="1966.1000000000001"/>
    <n v="5966.1"/>
    <n v="10"/>
  </r>
  <r>
    <d v="2026-09-01T11:00:00"/>
    <x v="1"/>
    <n v="27.1"/>
    <n v="56.5"/>
    <n v="8.6"/>
    <n v="966.6"/>
    <n v="102.2"/>
    <n v="4000"/>
    <n v="7154.8"/>
    <n v="1"/>
    <n v="1068.8"/>
    <n v="5068.8"/>
    <n v="11"/>
  </r>
  <r>
    <d v="2026-09-01T12:00:00"/>
    <x v="1"/>
    <n v="28.1"/>
    <n v="35.9"/>
    <n v="12.9"/>
    <n v="1177.2"/>
    <n v="345.3"/>
    <n v="4000"/>
    <n v="7452"/>
    <n v="1"/>
    <n v="1522.5"/>
    <n v="5522.5"/>
    <n v="12"/>
  </r>
  <r>
    <d v="2026-09-01T13:00:00"/>
    <x v="1"/>
    <n v="26.9"/>
    <n v="75"/>
    <n v="8.6999999999999993"/>
    <n v="804.2"/>
    <n v="105.9"/>
    <n v="4000"/>
    <n v="6947.9"/>
    <n v="1"/>
    <n v="910.1"/>
    <n v="4910.1000000000004"/>
    <n v="13"/>
  </r>
  <r>
    <d v="2026-09-01T14:00:00"/>
    <x v="1"/>
    <n v="28"/>
    <n v="74.599999999999994"/>
    <n v="15.6"/>
    <n v="746.2"/>
    <n v="606.79999999999995"/>
    <n v="4000"/>
    <n v="6993"/>
    <n v="1"/>
    <n v="1353"/>
    <n v="5353"/>
    <n v="14"/>
  </r>
  <r>
    <d v="2026-09-01T15:00:00"/>
    <x v="1"/>
    <n v="26.1"/>
    <n v="9.5"/>
    <n v="19.5"/>
    <n v="1106.2"/>
    <n v="1187.5999999999999"/>
    <n v="2805.6"/>
    <n v="5099.3999999999996"/>
    <n v="0"/>
    <n v="2293.8000000000002"/>
    <n v="5099.3999999999996"/>
    <n v="15"/>
  </r>
  <r>
    <d v="2026-09-01T16:00:00"/>
    <x v="1"/>
    <n v="25.7"/>
    <n v="78.2"/>
    <n v="14.8"/>
    <n v="496.4"/>
    <n v="516.70000000000005"/>
    <n v="3888.5"/>
    <n v="4901.6000000000004"/>
    <n v="0"/>
    <n v="1013.1"/>
    <n v="4901.6000000000004"/>
    <n v="16"/>
  </r>
  <r>
    <d v="2026-09-01T17:00:00"/>
    <x v="1"/>
    <n v="27.2"/>
    <n v="28.9"/>
    <n v="16.600000000000001"/>
    <n v="537.9"/>
    <n v="737.1"/>
    <n v="3743.4"/>
    <n v="5018.3999999999996"/>
    <n v="0"/>
    <n v="1275"/>
    <n v="5018.3999999999996"/>
    <n v="17"/>
  </r>
  <r>
    <d v="2026-09-01T18:00:00"/>
    <x v="1"/>
    <n v="24.3"/>
    <n v="83.2"/>
    <n v="14.5"/>
    <n v="167.1"/>
    <n v="491.7"/>
    <n v="4000"/>
    <n v="7708.6"/>
    <n v="1"/>
    <n v="658.8"/>
    <n v="4658.8"/>
    <n v="18"/>
  </r>
  <r>
    <d v="2026-09-01T19:00:00"/>
    <x v="1"/>
    <n v="24"/>
    <n v="35.9"/>
    <n v="7.8"/>
    <n v="0"/>
    <n v="76"/>
    <n v="4000"/>
    <n v="7780.7"/>
    <n v="1"/>
    <n v="76"/>
    <n v="4076"/>
    <n v="19"/>
  </r>
  <r>
    <d v="2026-09-01T20:00:00"/>
    <x v="1"/>
    <n v="20"/>
    <n v="96.4"/>
    <n v="6.5"/>
    <n v="0"/>
    <n v="43.6"/>
    <n v="4000"/>
    <n v="7543.3"/>
    <n v="1"/>
    <n v="43.6"/>
    <n v="4043.6"/>
    <n v="20"/>
  </r>
  <r>
    <d v="2026-09-01T21:00:00"/>
    <x v="1"/>
    <n v="20.9"/>
    <n v="52.7"/>
    <n v="16.100000000000001"/>
    <n v="0"/>
    <n v="665.1"/>
    <n v="4000"/>
    <n v="7666.8"/>
    <n v="1"/>
    <n v="665.1"/>
    <n v="4665.1000000000004"/>
    <n v="21"/>
  </r>
  <r>
    <d v="2026-09-01T22:00:00"/>
    <x v="1"/>
    <n v="20"/>
    <n v="40.799999999999997"/>
    <n v="13.4"/>
    <n v="0"/>
    <n v="386.1"/>
    <n v="4000"/>
    <n v="5079.1000000000004"/>
    <n v="1"/>
    <n v="386.1"/>
    <n v="4386.1000000000004"/>
    <n v="22"/>
  </r>
  <r>
    <d v="2026-09-01T23:00:00"/>
    <x v="1"/>
    <n v="21.7"/>
    <n v="57.3"/>
    <n v="15.7"/>
    <n v="0"/>
    <n v="616.20000000000005"/>
    <n v="4000"/>
    <n v="4912.7"/>
    <n v="1"/>
    <n v="616.20000000000005"/>
    <n v="4616.2"/>
    <n v="23"/>
  </r>
  <r>
    <d v="2026-09-02T00:00:00"/>
    <x v="1"/>
    <n v="21.2"/>
    <n v="49.5"/>
    <n v="5.5"/>
    <n v="0"/>
    <n v="26.9"/>
    <n v="4000"/>
    <n v="5049.3999999999996"/>
    <n v="1"/>
    <n v="26.9"/>
    <n v="4026.9"/>
    <n v="0"/>
  </r>
  <r>
    <d v="2026-09-02T01:00:00"/>
    <x v="1"/>
    <n v="19.5"/>
    <n v="31.8"/>
    <n v="14.9"/>
    <n v="0"/>
    <n v="532.70000000000005"/>
    <n v="4000"/>
    <n v="5010"/>
    <n v="1"/>
    <n v="532.70000000000005"/>
    <n v="4532.7"/>
    <n v="1"/>
  </r>
  <r>
    <d v="2026-09-02T02:00:00"/>
    <x v="1"/>
    <n v="20.6"/>
    <n v="52.7"/>
    <n v="20.5"/>
    <n v="0"/>
    <n v="1380.7"/>
    <n v="3755"/>
    <n v="5135.7"/>
    <n v="0"/>
    <n v="1380.7"/>
    <n v="5135.7"/>
    <n v="2"/>
  </r>
  <r>
    <d v="2026-09-02T03:00:00"/>
    <x v="1"/>
    <n v="23.8"/>
    <n v="59.1"/>
    <n v="3.2"/>
    <n v="0"/>
    <n v="5.2"/>
    <n v="4000"/>
    <n v="4986.1000000000004"/>
    <n v="1"/>
    <n v="5.2"/>
    <n v="4005.2"/>
    <n v="3"/>
  </r>
  <r>
    <d v="2026-09-02T04:00:00"/>
    <x v="1"/>
    <n v="22.4"/>
    <n v="77.2"/>
    <n v="15.4"/>
    <n v="0"/>
    <n v="580.5"/>
    <n v="4000"/>
    <n v="5063"/>
    <n v="1"/>
    <n v="580.5"/>
    <n v="4580.5"/>
    <n v="4"/>
  </r>
  <r>
    <d v="2026-09-02T05:00:00"/>
    <x v="1"/>
    <n v="21.7"/>
    <n v="39.799999999999997"/>
    <n v="7.7"/>
    <n v="0"/>
    <n v="74.400000000000006"/>
    <n v="4000"/>
    <n v="4929.2"/>
    <n v="1"/>
    <n v="74.400000000000006"/>
    <n v="4074.4"/>
    <n v="5"/>
  </r>
  <r>
    <d v="2026-09-02T06:00:00"/>
    <x v="1"/>
    <n v="24.6"/>
    <n v="86.7"/>
    <n v="14"/>
    <n v="160.1"/>
    <n v="436.5"/>
    <n v="4000"/>
    <n v="4862.8999999999996"/>
    <n v="1"/>
    <n v="596.6"/>
    <n v="4596.6000000000004"/>
    <n v="6"/>
  </r>
  <r>
    <d v="2026-09-02T07:00:00"/>
    <x v="1"/>
    <n v="25.5"/>
    <n v="74.900000000000006"/>
    <n v="9"/>
    <n v="358.3"/>
    <n v="114.7"/>
    <n v="4000"/>
    <n v="4770.6000000000004"/>
    <n v="1"/>
    <n v="473"/>
    <n v="4473"/>
    <n v="7"/>
  </r>
  <r>
    <d v="2026-09-02T08:00:00"/>
    <x v="1"/>
    <n v="26"/>
    <n v="25.4"/>
    <n v="15.2"/>
    <n v="792.8"/>
    <n v="566.5"/>
    <n v="3570.6"/>
    <n v="4929.8999999999996"/>
    <n v="0"/>
    <n v="1359.3"/>
    <n v="4929.8999999999996"/>
    <n v="8"/>
  </r>
  <r>
    <d v="2026-09-02T09:00:00"/>
    <x v="1"/>
    <n v="27.2"/>
    <n v="22.8"/>
    <n v="9.8000000000000007"/>
    <n v="1012.2"/>
    <n v="151.19999999999999"/>
    <n v="3768.5"/>
    <n v="4931.8999999999996"/>
    <n v="0"/>
    <n v="1163.4000000000001"/>
    <n v="4931.8999999999996"/>
    <n v="9"/>
  </r>
  <r>
    <d v="2026-09-02T10:00:00"/>
    <x v="1"/>
    <n v="27.1"/>
    <n v="88.2"/>
    <n v="10"/>
    <n v="636.5"/>
    <n v="160.1"/>
    <n v="4000"/>
    <n v="7258.4"/>
    <n v="1"/>
    <n v="796.6"/>
    <n v="4796.6000000000004"/>
    <n v="10"/>
  </r>
  <r>
    <d v="2026-09-02T11:00:00"/>
    <x v="1"/>
    <n v="28.8"/>
    <n v="9.5"/>
    <n v="3.2"/>
    <n v="1378.7"/>
    <n v="5.2"/>
    <n v="4000"/>
    <n v="7183.7"/>
    <n v="1"/>
    <n v="1383.9"/>
    <n v="5383.9"/>
    <n v="11"/>
  </r>
  <r>
    <d v="2026-09-02T12:00:00"/>
    <x v="1"/>
    <n v="29.3"/>
    <n v="31.2"/>
    <n v="24.8"/>
    <n v="1219.2"/>
    <n v="2437.8000000000002"/>
    <n v="3264.2"/>
    <n v="6921.2"/>
    <n v="0"/>
    <n v="3657"/>
    <n v="6921.2"/>
    <n v="12"/>
  </r>
  <r>
    <d v="2026-09-02T13:00:00"/>
    <x v="1"/>
    <n v="28"/>
    <n v="83.6"/>
    <n v="22"/>
    <n v="729.3"/>
    <n v="1710.8"/>
    <n v="4000"/>
    <n v="7065.4"/>
    <n v="1"/>
    <n v="2440.1"/>
    <n v="6440.1"/>
    <n v="13"/>
  </r>
  <r>
    <d v="2026-09-02T14:00:00"/>
    <x v="1"/>
    <n v="28.7"/>
    <n v="70.599999999999994"/>
    <n v="15"/>
    <n v="779"/>
    <n v="536"/>
    <n v="4000"/>
    <n v="7459.2"/>
    <n v="1"/>
    <n v="1315"/>
    <n v="5315"/>
    <n v="14"/>
  </r>
  <r>
    <d v="2026-09-02T15:00:00"/>
    <x v="1"/>
    <n v="26.3"/>
    <n v="24.5"/>
    <n v="12"/>
    <n v="1000"/>
    <n v="275.3"/>
    <n v="3791.5"/>
    <n v="5066.8"/>
    <n v="0"/>
    <n v="1275.3"/>
    <n v="5066.8"/>
    <n v="15"/>
  </r>
  <r>
    <d v="2026-09-02T16:00:00"/>
    <x v="1"/>
    <n v="25.5"/>
    <n v="62.4"/>
    <n v="16.8"/>
    <n v="585"/>
    <n v="755.5"/>
    <n v="3584"/>
    <n v="4924.5"/>
    <n v="0"/>
    <n v="1340.5"/>
    <n v="4924.5"/>
    <n v="16"/>
  </r>
  <r>
    <d v="2026-09-02T17:00:00"/>
    <x v="1"/>
    <n v="26.5"/>
    <n v="16.5"/>
    <n v="11"/>
    <n v="586.6"/>
    <n v="214.8"/>
    <n v="4000"/>
    <n v="4963.3"/>
    <n v="1"/>
    <n v="801.40000000000009"/>
    <n v="4801.3999999999996"/>
    <n v="17"/>
  </r>
  <r>
    <d v="2026-09-02T18:00:00"/>
    <x v="1"/>
    <n v="22.1"/>
    <n v="42.9"/>
    <n v="11.4"/>
    <n v="247.8"/>
    <n v="236.5"/>
    <n v="4000"/>
    <n v="7592.5"/>
    <n v="1"/>
    <n v="484.3"/>
    <n v="4484.3"/>
    <n v="18"/>
  </r>
  <r>
    <d v="2026-09-02T19:00:00"/>
    <x v="1"/>
    <n v="23.6"/>
    <n v="19.399999999999999"/>
    <n v="21.3"/>
    <n v="0"/>
    <n v="1539.8"/>
    <n v="4000"/>
    <n v="7927"/>
    <n v="1"/>
    <n v="1539.8"/>
    <n v="5539.8"/>
    <n v="19"/>
  </r>
  <r>
    <d v="2026-09-02T20:00:00"/>
    <x v="1"/>
    <n v="22.6"/>
    <n v="39.299999999999997"/>
    <n v="7.2"/>
    <n v="0"/>
    <n v="59.8"/>
    <n v="4000"/>
    <n v="7883.2"/>
    <n v="1"/>
    <n v="59.8"/>
    <n v="4059.8"/>
    <n v="20"/>
  </r>
  <r>
    <d v="2026-09-02T21:00:00"/>
    <x v="1"/>
    <n v="22.3"/>
    <n v="92.1"/>
    <n v="19.7"/>
    <n v="0"/>
    <n v="1226.3"/>
    <n v="4000"/>
    <n v="7644.2"/>
    <n v="1"/>
    <n v="1226.3"/>
    <n v="5226.3"/>
    <n v="21"/>
  </r>
  <r>
    <d v="2026-09-02T22:00:00"/>
    <x v="1"/>
    <n v="19.399999999999999"/>
    <n v="48.5"/>
    <n v="3.2"/>
    <n v="0"/>
    <n v="5"/>
    <n v="4000"/>
    <n v="4876.7"/>
    <n v="1"/>
    <n v="5"/>
    <n v="4005"/>
    <n v="22"/>
  </r>
  <r>
    <d v="2026-09-02T23:00:00"/>
    <x v="1"/>
    <n v="20"/>
    <n v="33.299999999999997"/>
    <n v="4"/>
    <n v="0"/>
    <n v="10.4"/>
    <n v="4000"/>
    <n v="4998.5"/>
    <n v="1"/>
    <n v="10.4"/>
    <n v="4010.4"/>
    <n v="23"/>
  </r>
  <r>
    <d v="2026-09-03T00:00:00"/>
    <x v="1"/>
    <n v="19.5"/>
    <n v="15.8"/>
    <n v="0"/>
    <n v="0"/>
    <n v="0"/>
    <n v="4000"/>
    <n v="5027"/>
    <n v="1"/>
    <n v="0"/>
    <n v="4000"/>
    <n v="0"/>
  </r>
  <r>
    <d v="2026-09-03T01:00:00"/>
    <x v="1"/>
    <n v="21.9"/>
    <n v="86.5"/>
    <n v="9.6999999999999993"/>
    <n v="0"/>
    <n v="146.69999999999999"/>
    <n v="4000"/>
    <n v="4945.8999999999996"/>
    <n v="1"/>
    <n v="146.69999999999999"/>
    <n v="4146.7"/>
    <n v="1"/>
  </r>
  <r>
    <d v="2026-09-03T02:00:00"/>
    <x v="1"/>
    <n v="21"/>
    <n v="20"/>
    <n v="13.5"/>
    <n v="0"/>
    <n v="394.4"/>
    <n v="4000"/>
    <n v="4859.7"/>
    <n v="1"/>
    <n v="394.4"/>
    <n v="4394.3999999999996"/>
    <n v="2"/>
  </r>
  <r>
    <d v="2026-09-03T03:00:00"/>
    <x v="1"/>
    <n v="22.4"/>
    <n v="42.5"/>
    <n v="11"/>
    <n v="0"/>
    <n v="211.9"/>
    <n v="4000"/>
    <n v="5064.8999999999996"/>
    <n v="1"/>
    <n v="211.9"/>
    <n v="4211.8999999999996"/>
    <n v="3"/>
  </r>
  <r>
    <d v="2026-09-03T04:00:00"/>
    <x v="1"/>
    <n v="21.2"/>
    <n v="39.299999999999997"/>
    <n v="13.8"/>
    <n v="0"/>
    <n v="423.9"/>
    <n v="4000"/>
    <n v="4818.3"/>
    <n v="1"/>
    <n v="423.9"/>
    <n v="4423.8999999999996"/>
    <n v="4"/>
  </r>
  <r>
    <d v="2026-09-03T05:00:00"/>
    <x v="1"/>
    <n v="22.2"/>
    <n v="82.3"/>
    <n v="10.6"/>
    <n v="0"/>
    <n v="193"/>
    <n v="4000"/>
    <n v="5087"/>
    <n v="1"/>
    <n v="193"/>
    <n v="4193"/>
    <n v="5"/>
  </r>
  <r>
    <d v="2026-09-03T06:00:00"/>
    <x v="1"/>
    <n v="23.3"/>
    <n v="0"/>
    <n v="16.399999999999999"/>
    <n v="333.8"/>
    <n v="708.4"/>
    <n v="3904.6"/>
    <n v="4946.8"/>
    <n v="0"/>
    <n v="1042.2"/>
    <n v="4946.8"/>
    <n v="6"/>
  </r>
  <r>
    <d v="2026-09-03T07:00:00"/>
    <x v="1"/>
    <n v="24.8"/>
    <n v="46.7"/>
    <n v="14.6"/>
    <n v="468.6"/>
    <n v="495.9"/>
    <n v="4000"/>
    <n v="5060.5"/>
    <n v="1"/>
    <n v="964.5"/>
    <n v="4964.5"/>
    <n v="7"/>
  </r>
  <r>
    <d v="2026-09-03T08:00:00"/>
    <x v="1"/>
    <n v="25.5"/>
    <n v="64.900000000000006"/>
    <n v="5.7"/>
    <n v="571.29999999999995"/>
    <n v="30.1"/>
    <n v="4000"/>
    <n v="4715.6000000000004"/>
    <n v="1"/>
    <n v="601.4"/>
    <n v="4601.3999999999996"/>
    <n v="8"/>
  </r>
  <r>
    <d v="2026-09-03T09:00:00"/>
    <x v="1"/>
    <n v="25.5"/>
    <n v="56.7"/>
    <n v="11.8"/>
    <n v="774.1"/>
    <n v="264.3"/>
    <n v="3955.6"/>
    <n v="4994"/>
    <n v="0"/>
    <n v="1038.4000000000001"/>
    <n v="4994"/>
    <n v="9"/>
  </r>
  <r>
    <d v="2026-09-03T10:00:00"/>
    <x v="1"/>
    <n v="28.6"/>
    <n v="26.6"/>
    <n v="7.9"/>
    <n v="1135.5"/>
    <n v="80.400000000000006"/>
    <n v="4000"/>
    <n v="6907.7"/>
    <n v="1"/>
    <n v="1215.9000000000001"/>
    <n v="5215.8999999999996"/>
    <n v="10"/>
  </r>
  <r>
    <d v="2026-09-03T11:00:00"/>
    <x v="1"/>
    <n v="29"/>
    <n v="19.600000000000001"/>
    <n v="12.3"/>
    <n v="1290.4000000000001"/>
    <n v="298.3"/>
    <n v="4000"/>
    <n v="7180.1"/>
    <n v="1"/>
    <n v="1588.7"/>
    <n v="5588.7"/>
    <n v="11"/>
  </r>
  <r>
    <d v="2026-09-03T12:00:00"/>
    <x v="1"/>
    <n v="28.7"/>
    <n v="49.4"/>
    <n v="10.199999999999999"/>
    <n v="1055.3"/>
    <n v="168"/>
    <n v="4000"/>
    <n v="7214.3"/>
    <n v="1"/>
    <n v="1223.3"/>
    <n v="5223.3"/>
    <n v="12"/>
  </r>
  <r>
    <d v="2026-09-03T13:00:00"/>
    <x v="1"/>
    <n v="27.9"/>
    <n v="18.2"/>
    <n v="0"/>
    <n v="1302.7"/>
    <n v="0"/>
    <n v="4000"/>
    <n v="7025.9"/>
    <n v="1"/>
    <n v="1302.7"/>
    <n v="5302.7"/>
    <n v="13"/>
  </r>
  <r>
    <d v="2026-09-03T14:00:00"/>
    <x v="1"/>
    <n v="28.4"/>
    <n v="0"/>
    <n v="7"/>
    <n v="1351.5"/>
    <n v="53.7"/>
    <n v="4000"/>
    <n v="7215.5"/>
    <n v="1"/>
    <n v="1405.2"/>
    <n v="5405.2"/>
    <n v="14"/>
  </r>
  <r>
    <d v="2026-09-03T15:00:00"/>
    <x v="1"/>
    <n v="28.9"/>
    <n v="45.5"/>
    <n v="8.4"/>
    <n v="852.4"/>
    <n v="93.5"/>
    <n v="4000"/>
    <n v="5042.8999999999996"/>
    <n v="1"/>
    <n v="945.9"/>
    <n v="4945.8999999999996"/>
    <n v="15"/>
  </r>
  <r>
    <d v="2026-09-03T16:00:00"/>
    <x v="1"/>
    <n v="27.4"/>
    <n v="28.9"/>
    <n v="8"/>
    <n v="773.3"/>
    <n v="82"/>
    <n v="4000"/>
    <n v="4922.6000000000004"/>
    <n v="1"/>
    <n v="855.3"/>
    <n v="4855.3"/>
    <n v="16"/>
  </r>
  <r>
    <d v="2026-09-03T17:00:00"/>
    <x v="1"/>
    <n v="24.1"/>
    <n v="48.1"/>
    <n v="20.100000000000001"/>
    <n v="463.1"/>
    <n v="1303.8"/>
    <n v="3110.7"/>
    <n v="4877.6000000000004"/>
    <n v="0"/>
    <n v="1766.9"/>
    <n v="4877.6000000000004"/>
    <n v="17"/>
  </r>
  <r>
    <d v="2026-09-03T18:00:00"/>
    <x v="1"/>
    <n v="23.7"/>
    <n v="37.700000000000003"/>
    <n v="4.2"/>
    <n v="258.3"/>
    <n v="11.7"/>
    <n v="4000"/>
    <n v="7748.5"/>
    <n v="1"/>
    <n v="270"/>
    <n v="4270"/>
    <n v="18"/>
  </r>
  <r>
    <d v="2026-09-03T19:00:00"/>
    <x v="1"/>
    <n v="22.9"/>
    <n v="40.5"/>
    <n v="28"/>
    <n v="0"/>
    <n v="0"/>
    <n v="4000"/>
    <n v="7832.5"/>
    <n v="1"/>
    <n v="0"/>
    <n v="4000"/>
    <n v="19"/>
  </r>
  <r>
    <d v="2026-09-03T20:00:00"/>
    <x v="1"/>
    <n v="21.2"/>
    <n v="34.299999999999997"/>
    <n v="17.7"/>
    <n v="0"/>
    <n v="893.6"/>
    <n v="4000"/>
    <n v="7744.8"/>
    <n v="1"/>
    <n v="893.6"/>
    <n v="4893.6000000000004"/>
    <n v="20"/>
  </r>
  <r>
    <d v="2026-09-03T21:00:00"/>
    <x v="1"/>
    <n v="19.7"/>
    <n v="68"/>
    <n v="8.6999999999999993"/>
    <n v="0"/>
    <n v="103.9"/>
    <n v="4000"/>
    <n v="7717"/>
    <n v="1"/>
    <n v="103.9"/>
    <n v="4103.8999999999996"/>
    <n v="21"/>
  </r>
  <r>
    <d v="2026-09-03T22:00:00"/>
    <x v="1"/>
    <n v="21.6"/>
    <n v="33.799999999999997"/>
    <n v="18.399999999999999"/>
    <n v="0"/>
    <n v="997.5"/>
    <n v="4000"/>
    <n v="5231"/>
    <n v="1"/>
    <n v="997.5"/>
    <n v="4997.5"/>
    <n v="22"/>
  </r>
  <r>
    <d v="2026-09-03T23:00:00"/>
    <x v="1"/>
    <n v="21"/>
    <n v="57.1"/>
    <n v="7.8"/>
    <n v="0"/>
    <n v="75"/>
    <n v="4000"/>
    <n v="4960.2"/>
    <n v="1"/>
    <n v="75"/>
    <n v="4075"/>
    <n v="23"/>
  </r>
  <r>
    <d v="2026-09-04T00:00:00"/>
    <x v="1"/>
    <n v="21"/>
    <n v="36.6"/>
    <n v="10"/>
    <n v="0"/>
    <n v="159.1"/>
    <n v="4000"/>
    <n v="4853.5"/>
    <n v="1"/>
    <n v="159.1"/>
    <n v="4159.1000000000004"/>
    <n v="0"/>
  </r>
  <r>
    <d v="2026-09-04T01:00:00"/>
    <x v="1"/>
    <n v="20.6"/>
    <n v="96.6"/>
    <n v="6.7"/>
    <n v="0"/>
    <n v="47.3"/>
    <n v="4000"/>
    <n v="4806.7"/>
    <n v="1"/>
    <n v="47.3"/>
    <n v="4047.3"/>
    <n v="1"/>
  </r>
  <r>
    <d v="2026-09-04T02:00:00"/>
    <x v="1"/>
    <n v="21.9"/>
    <n v="43"/>
    <n v="14.3"/>
    <n v="0"/>
    <n v="464.1"/>
    <n v="4000"/>
    <n v="4953.6000000000004"/>
    <n v="1"/>
    <n v="464.1"/>
    <n v="4464.1000000000004"/>
    <n v="2"/>
  </r>
  <r>
    <d v="2026-09-04T03:00:00"/>
    <x v="1"/>
    <n v="21.6"/>
    <n v="40.299999999999997"/>
    <n v="16.899999999999999"/>
    <n v="0"/>
    <n v="776.2"/>
    <n v="4000"/>
    <n v="4790.6000000000004"/>
    <n v="1"/>
    <n v="776.2"/>
    <n v="4776.2"/>
    <n v="3"/>
  </r>
  <r>
    <d v="2026-09-04T04:00:00"/>
    <x v="1"/>
    <n v="24.6"/>
    <n v="59.5"/>
    <n v="13.6"/>
    <n v="0"/>
    <n v="405.1"/>
    <n v="4000"/>
    <n v="5128.1000000000004"/>
    <n v="1"/>
    <n v="405.1"/>
    <n v="4405.1000000000004"/>
    <n v="4"/>
  </r>
  <r>
    <d v="2026-09-04T05:00:00"/>
    <x v="1"/>
    <n v="22.6"/>
    <n v="53.5"/>
    <n v="10.5"/>
    <n v="0"/>
    <n v="186.4"/>
    <n v="4000"/>
    <n v="4979.2"/>
    <n v="1"/>
    <n v="186.4"/>
    <n v="4186.3999999999996"/>
    <n v="5"/>
  </r>
  <r>
    <d v="2026-09-04T06:00:00"/>
    <x v="1"/>
    <n v="25.3"/>
    <n v="19.8"/>
    <n v="17.7"/>
    <n v="294.10000000000002"/>
    <n v="887.1"/>
    <n v="3794.1"/>
    <n v="4975.3"/>
    <n v="0"/>
    <n v="1181.2"/>
    <n v="4975.3"/>
    <n v="6"/>
  </r>
  <r>
    <d v="2026-09-04T07:00:00"/>
    <x v="1"/>
    <n v="24.9"/>
    <n v="0"/>
    <n v="9"/>
    <n v="650.79999999999995"/>
    <n v="115.1"/>
    <n v="4000"/>
    <n v="5147.6000000000004"/>
    <n v="1"/>
    <n v="765.9"/>
    <n v="4765.8999999999996"/>
    <n v="7"/>
  </r>
  <r>
    <d v="2026-09-04T08:00:00"/>
    <x v="1"/>
    <n v="26"/>
    <n v="20"/>
    <n v="9.5"/>
    <n v="822.9"/>
    <n v="136.1"/>
    <n v="4000"/>
    <n v="5144.5"/>
    <n v="1"/>
    <n v="959"/>
    <n v="4959"/>
    <n v="8"/>
  </r>
  <r>
    <d v="2026-09-04T09:00:00"/>
    <x v="1"/>
    <n v="27.4"/>
    <n v="39"/>
    <n v="10.199999999999999"/>
    <n v="898.1"/>
    <n v="168.1"/>
    <n v="4000"/>
    <n v="5076.1000000000004"/>
    <n v="1"/>
    <n v="1066.2"/>
    <n v="5066.2"/>
    <n v="9"/>
  </r>
  <r>
    <d v="2026-09-04T10:00:00"/>
    <x v="1"/>
    <n v="26.5"/>
    <n v="85.4"/>
    <n v="10.4"/>
    <n v="659.1"/>
    <n v="179.4"/>
    <n v="4000"/>
    <n v="7091.2"/>
    <n v="1"/>
    <n v="838.5"/>
    <n v="4838.5"/>
    <n v="10"/>
  </r>
  <r>
    <d v="2026-09-04T11:00:00"/>
    <x v="1"/>
    <n v="29.4"/>
    <n v="70"/>
    <n v="9.8000000000000007"/>
    <n v="848.6"/>
    <n v="152.5"/>
    <n v="4000"/>
    <n v="7332.6"/>
    <n v="1"/>
    <n v="1001.1"/>
    <n v="5001.1000000000004"/>
    <n v="11"/>
  </r>
  <r>
    <d v="2026-09-04T12:00:00"/>
    <x v="1"/>
    <n v="28"/>
    <n v="22.4"/>
    <n v="13.6"/>
    <n v="1298.3"/>
    <n v="404.4"/>
    <n v="4000"/>
    <n v="7210.6"/>
    <n v="1"/>
    <n v="1702.6999999999998"/>
    <n v="5702.7"/>
    <n v="12"/>
  </r>
  <r>
    <d v="2026-09-04T13:00:00"/>
    <x v="1"/>
    <n v="29.1"/>
    <n v="33.4"/>
    <n v="13"/>
    <n v="1169.5"/>
    <n v="352"/>
    <n v="4000"/>
    <n v="6973.1"/>
    <n v="1"/>
    <n v="1521.5"/>
    <n v="5521.5"/>
    <n v="13"/>
  </r>
  <r>
    <d v="2026-09-04T14:00:00"/>
    <x v="1"/>
    <n v="27.2"/>
    <n v="59.7"/>
    <n v="9.6"/>
    <n v="867.6"/>
    <n v="142.69999999999999"/>
    <n v="4000"/>
    <n v="7192.5"/>
    <n v="1"/>
    <n v="1010.3"/>
    <n v="5010.3"/>
    <n v="14"/>
  </r>
  <r>
    <d v="2026-09-04T15:00:00"/>
    <x v="1"/>
    <n v="25.5"/>
    <n v="48.2"/>
    <n v="21.7"/>
    <n v="833.9"/>
    <n v="1633.7"/>
    <n v="2613.1"/>
    <n v="5080.7"/>
    <n v="0"/>
    <n v="2467.6"/>
    <n v="5080.7"/>
    <n v="15"/>
  </r>
  <r>
    <d v="2026-09-04T16:00:00"/>
    <x v="1"/>
    <n v="25.3"/>
    <n v="57.8"/>
    <n v="12.9"/>
    <n v="610.6"/>
    <n v="343.3"/>
    <n v="3846.1"/>
    <n v="4800"/>
    <n v="0"/>
    <n v="953.90000000000009"/>
    <n v="4800"/>
    <n v="16"/>
  </r>
  <r>
    <d v="2026-09-04T17:00:00"/>
    <x v="1"/>
    <n v="25.5"/>
    <n v="60.9"/>
    <n v="17.5"/>
    <n v="413.1"/>
    <n v="864.6"/>
    <n v="3724.9"/>
    <n v="5002.6000000000004"/>
    <n v="0"/>
    <n v="1277.7"/>
    <n v="5002.6000000000004"/>
    <n v="17"/>
  </r>
  <r>
    <d v="2026-09-04T18:00:00"/>
    <x v="1"/>
    <n v="23.8"/>
    <n v="61.8"/>
    <n v="21.5"/>
    <n v="210"/>
    <n v="1590"/>
    <n v="4000"/>
    <n v="7761.5"/>
    <n v="1"/>
    <n v="1800"/>
    <n v="5800"/>
    <n v="18"/>
  </r>
  <r>
    <d v="2026-09-04T19:00:00"/>
    <x v="1"/>
    <n v="22"/>
    <n v="72.7"/>
    <n v="11.4"/>
    <n v="0"/>
    <n v="236.9"/>
    <n v="4000"/>
    <n v="7680.1"/>
    <n v="1"/>
    <n v="236.9"/>
    <n v="4236.8999999999996"/>
    <n v="19"/>
  </r>
  <r>
    <d v="2026-09-04T20:00:00"/>
    <x v="1"/>
    <n v="22.8"/>
    <n v="31.6"/>
    <n v="11.5"/>
    <n v="0"/>
    <n v="246.4"/>
    <n v="4000"/>
    <n v="7374.1"/>
    <n v="1"/>
    <n v="246.4"/>
    <n v="4246.3999999999996"/>
    <n v="20"/>
  </r>
  <r>
    <d v="2026-09-04T21:00:00"/>
    <x v="1"/>
    <n v="21.4"/>
    <n v="62.7"/>
    <n v="9.8000000000000007"/>
    <n v="0"/>
    <n v="151.6"/>
    <n v="4000"/>
    <n v="7749.8"/>
    <n v="1"/>
    <n v="151.6"/>
    <n v="4151.6000000000004"/>
    <n v="21"/>
  </r>
  <r>
    <d v="2026-09-04T22:00:00"/>
    <x v="1"/>
    <n v="20.3"/>
    <n v="63.5"/>
    <n v="15.1"/>
    <n v="0"/>
    <n v="548.29999999999995"/>
    <n v="4000"/>
    <n v="5027"/>
    <n v="1"/>
    <n v="548.29999999999995"/>
    <n v="4548.3"/>
    <n v="22"/>
  </r>
  <r>
    <d v="2026-09-04T23:00:00"/>
    <x v="1"/>
    <n v="21.2"/>
    <n v="31.6"/>
    <n v="16"/>
    <n v="0"/>
    <n v="660.3"/>
    <n v="4000"/>
    <n v="4809.7"/>
    <n v="1"/>
    <n v="660.3"/>
    <n v="4660.3"/>
    <n v="23"/>
  </r>
  <r>
    <d v="2026-09-05T00:00:00"/>
    <x v="1"/>
    <n v="21.8"/>
    <n v="39.4"/>
    <n v="10.3"/>
    <n v="0"/>
    <n v="172.5"/>
    <n v="4000"/>
    <n v="4375.1000000000004"/>
    <n v="1"/>
    <n v="172.5"/>
    <n v="4172.5"/>
    <n v="0"/>
  </r>
  <r>
    <d v="2026-09-05T01:00:00"/>
    <x v="1"/>
    <n v="19.8"/>
    <n v="65"/>
    <n v="3.9"/>
    <n v="0"/>
    <n v="9.6"/>
    <n v="4000"/>
    <n v="4317.1000000000004"/>
    <n v="1"/>
    <n v="9.6"/>
    <n v="4009.6"/>
    <n v="1"/>
  </r>
  <r>
    <d v="2026-09-05T02:00:00"/>
    <x v="1"/>
    <n v="19.5"/>
    <n v="68.8"/>
    <n v="20.6"/>
    <n v="0"/>
    <n v="1389.2"/>
    <n v="2772.7"/>
    <n v="4161.8999999999996"/>
    <n v="0"/>
    <n v="1389.2"/>
    <n v="4161.8999999999996"/>
    <n v="2"/>
  </r>
  <r>
    <d v="2026-09-05T03:00:00"/>
    <x v="1"/>
    <n v="21"/>
    <n v="46.8"/>
    <n v="17.8"/>
    <n v="0"/>
    <n v="903.8"/>
    <n v="3400.5"/>
    <n v="4304.3"/>
    <n v="0"/>
    <n v="903.8"/>
    <n v="4304.3"/>
    <n v="3"/>
  </r>
  <r>
    <d v="2026-09-05T04:00:00"/>
    <x v="1"/>
    <n v="22.2"/>
    <n v="69.400000000000006"/>
    <n v="14.5"/>
    <n v="0"/>
    <n v="488.3"/>
    <n v="3692.6"/>
    <n v="4180.8999999999996"/>
    <n v="0"/>
    <n v="488.3"/>
    <n v="4180.8999999999996"/>
    <n v="4"/>
  </r>
  <r>
    <d v="2026-09-05T05:00:00"/>
    <x v="1"/>
    <n v="24"/>
    <n v="0"/>
    <n v="15.4"/>
    <n v="0"/>
    <n v="583.20000000000005"/>
    <n v="3765.2"/>
    <n v="4348.3999999999996"/>
    <n v="0"/>
    <n v="583.20000000000005"/>
    <n v="4348.3999999999996"/>
    <n v="5"/>
  </r>
  <r>
    <d v="2026-09-05T06:00:00"/>
    <x v="1"/>
    <n v="22.2"/>
    <n v="57.8"/>
    <n v="18.899999999999999"/>
    <n v="218.1"/>
    <n v="1074.8"/>
    <n v="2929"/>
    <n v="4221.8999999999996"/>
    <n v="0"/>
    <n v="1292.8999999999999"/>
    <n v="4221.8999999999996"/>
    <n v="6"/>
  </r>
  <r>
    <d v="2026-09-05T07:00:00"/>
    <x v="1"/>
    <n v="26"/>
    <n v="85.3"/>
    <n v="18.600000000000001"/>
    <n v="317.7"/>
    <n v="1025.4000000000001"/>
    <n v="2956.3"/>
    <n v="4299.3999999999996"/>
    <n v="0"/>
    <n v="1343.1000000000001"/>
    <n v="4299.4000000000005"/>
    <n v="7"/>
  </r>
  <r>
    <d v="2026-09-05T08:00:00"/>
    <x v="1"/>
    <n v="26.7"/>
    <n v="46.9"/>
    <n v="4"/>
    <n v="672.1"/>
    <n v="10.199999999999999"/>
    <n v="3883.7"/>
    <n v="4566"/>
    <n v="0"/>
    <n v="682.30000000000007"/>
    <n v="4566"/>
    <n v="8"/>
  </r>
  <r>
    <d v="2026-09-05T09:00:00"/>
    <x v="1"/>
    <n v="26"/>
    <n v="99.3"/>
    <n v="11.1"/>
    <n v="474.2"/>
    <n v="220"/>
    <n v="3588.9"/>
    <n v="4283.1000000000004"/>
    <n v="0"/>
    <n v="694.2"/>
    <n v="4283.1000000000004"/>
    <n v="9"/>
  </r>
  <r>
    <d v="2026-09-05T10:00:00"/>
    <x v="1"/>
    <n v="28"/>
    <n v="46.1"/>
    <n v="20.5"/>
    <n v="977.7"/>
    <n v="1373.4"/>
    <n v="3907.4"/>
    <n v="6258.5"/>
    <n v="0"/>
    <n v="2351.1000000000004"/>
    <n v="6258.5"/>
    <n v="10"/>
  </r>
  <r>
    <d v="2026-09-05T11:00:00"/>
    <x v="1"/>
    <n v="28.1"/>
    <n v="26.4"/>
    <n v="5.4"/>
    <n v="1230.4000000000001"/>
    <n v="25.2"/>
    <n v="4000"/>
    <n v="6146.6"/>
    <n v="1"/>
    <n v="1255.6000000000001"/>
    <n v="5255.6"/>
    <n v="11"/>
  </r>
  <r>
    <d v="2026-09-05T12:00:00"/>
    <x v="1"/>
    <n v="28"/>
    <n v="34.299999999999997"/>
    <n v="8.5"/>
    <n v="1191.5999999999999"/>
    <n v="99.6"/>
    <n v="4000"/>
    <n v="6148.2"/>
    <n v="1"/>
    <n v="1291.1999999999998"/>
    <n v="5291.2"/>
    <n v="12"/>
  </r>
  <r>
    <d v="2026-09-05T13:00:00"/>
    <x v="1"/>
    <n v="27.8"/>
    <n v="7.4"/>
    <n v="15.8"/>
    <n v="1397.6"/>
    <n v="631.1"/>
    <n v="4000"/>
    <n v="6029.1"/>
    <n v="1"/>
    <n v="2028.6999999999998"/>
    <n v="6028.7"/>
    <n v="13"/>
  </r>
  <r>
    <d v="2026-09-05T14:00:00"/>
    <x v="1"/>
    <n v="26"/>
    <n v="37.299999999999997"/>
    <n v="8.1999999999999993"/>
    <n v="1049.2"/>
    <n v="89.5"/>
    <n v="4000"/>
    <n v="6252.4"/>
    <n v="1"/>
    <n v="1138.7"/>
    <n v="5138.7"/>
    <n v="14"/>
  </r>
  <r>
    <d v="2026-09-05T15:00:00"/>
    <x v="1"/>
    <n v="28.2"/>
    <n v="0"/>
    <n v="12.6"/>
    <n v="1172.7"/>
    <n v="318.2"/>
    <n v="2877"/>
    <n v="4367.8999999999996"/>
    <n v="0"/>
    <n v="1490.9"/>
    <n v="4367.8999999999996"/>
    <n v="15"/>
  </r>
  <r>
    <d v="2026-09-05T16:00:00"/>
    <x v="1"/>
    <n v="26.7"/>
    <n v="50.3"/>
    <n v="8.1999999999999993"/>
    <n v="652.79999999999995"/>
    <n v="89.5"/>
    <n v="3553.7"/>
    <n v="4296"/>
    <n v="0"/>
    <n v="742.3"/>
    <n v="4296"/>
    <n v="16"/>
  </r>
  <r>
    <d v="2026-09-05T17:00:00"/>
    <x v="1"/>
    <n v="24.2"/>
    <n v="71.900000000000006"/>
    <n v="12.1"/>
    <n v="370.1"/>
    <n v="283.89999999999998"/>
    <n v="3618.1"/>
    <n v="4272.1000000000004"/>
    <n v="0"/>
    <n v="654"/>
    <n v="4272.1000000000004"/>
    <n v="17"/>
  </r>
  <r>
    <d v="2026-09-05T18:00:00"/>
    <x v="1"/>
    <n v="23.9"/>
    <n v="27.3"/>
    <n v="4.4000000000000004"/>
    <n v="279.10000000000002"/>
    <n v="13.9"/>
    <n v="4000"/>
    <n v="7005.2"/>
    <n v="1"/>
    <n v="293"/>
    <n v="4293"/>
    <n v="18"/>
  </r>
  <r>
    <d v="2026-09-05T19:00:00"/>
    <x v="1"/>
    <n v="21.4"/>
    <n v="51.7"/>
    <n v="14.5"/>
    <n v="0"/>
    <n v="492.2"/>
    <n v="4000"/>
    <n v="6449.5"/>
    <n v="1"/>
    <n v="492.2"/>
    <n v="4492.2"/>
    <n v="19"/>
  </r>
  <r>
    <d v="2026-09-05T20:00:00"/>
    <x v="1"/>
    <n v="22.9"/>
    <n v="32.9"/>
    <n v="12.7"/>
    <n v="0"/>
    <n v="330.4"/>
    <n v="4000"/>
    <n v="6482.8"/>
    <n v="1"/>
    <n v="330.4"/>
    <n v="4330.3999999999996"/>
    <n v="20"/>
  </r>
  <r>
    <d v="2026-09-05T21:00:00"/>
    <x v="1"/>
    <n v="22.1"/>
    <n v="38.299999999999997"/>
    <n v="7.5"/>
    <n v="0"/>
    <n v="68.7"/>
    <n v="4000"/>
    <n v="6961.8"/>
    <n v="1"/>
    <n v="68.7"/>
    <n v="4068.7"/>
    <n v="21"/>
  </r>
  <r>
    <d v="2026-09-05T22:00:00"/>
    <x v="1"/>
    <n v="19.8"/>
    <n v="39.700000000000003"/>
    <n v="7.1"/>
    <n v="0"/>
    <n v="56.4"/>
    <n v="3940.8"/>
    <n v="3997.2"/>
    <n v="0"/>
    <n v="56.4"/>
    <n v="3997.2000000000003"/>
    <n v="22"/>
  </r>
  <r>
    <d v="2026-09-05T23:00:00"/>
    <x v="1"/>
    <n v="20.2"/>
    <n v="39.4"/>
    <n v="8.6999999999999993"/>
    <n v="0"/>
    <n v="107.2"/>
    <n v="4000"/>
    <n v="4300.3"/>
    <n v="1"/>
    <n v="107.2"/>
    <n v="4107.2"/>
    <n v="23"/>
  </r>
  <r>
    <d v="2026-09-06T00:00:00"/>
    <x v="1"/>
    <n v="20.399999999999999"/>
    <n v="17.7"/>
    <n v="19.100000000000001"/>
    <n v="0"/>
    <n v="1106.9000000000001"/>
    <n v="3238.4"/>
    <n v="4345.3"/>
    <n v="0"/>
    <n v="1106.9000000000001"/>
    <n v="4345.3"/>
    <n v="0"/>
  </r>
  <r>
    <d v="2026-09-06T01:00:00"/>
    <x v="1"/>
    <n v="20.2"/>
    <n v="62.7"/>
    <n v="13.2"/>
    <n v="0"/>
    <n v="365.2"/>
    <n v="3940"/>
    <n v="4305.2"/>
    <n v="0"/>
    <n v="365.2"/>
    <n v="4305.2"/>
    <n v="1"/>
  </r>
  <r>
    <d v="2026-09-06T02:00:00"/>
    <x v="1"/>
    <n v="20.8"/>
    <n v="29.7"/>
    <n v="13.8"/>
    <n v="0"/>
    <n v="421.2"/>
    <n v="4000"/>
    <n v="4463"/>
    <n v="1"/>
    <n v="421.2"/>
    <n v="4421.2"/>
    <n v="2"/>
  </r>
  <r>
    <d v="2026-09-06T03:00:00"/>
    <x v="1"/>
    <n v="21.3"/>
    <n v="44.2"/>
    <n v="11"/>
    <n v="0"/>
    <n v="210.6"/>
    <n v="3937.8"/>
    <n v="4148.3999999999996"/>
    <n v="0"/>
    <n v="210.6"/>
    <n v="4148.4000000000005"/>
    <n v="3"/>
  </r>
  <r>
    <d v="2026-09-06T04:00:00"/>
    <x v="1"/>
    <n v="20.100000000000001"/>
    <n v="31.3"/>
    <n v="12.5"/>
    <n v="0"/>
    <n v="309.8"/>
    <n v="3990.9"/>
    <n v="4300.7"/>
    <n v="0"/>
    <n v="309.8"/>
    <n v="4300.7"/>
    <n v="4"/>
  </r>
  <r>
    <d v="2026-09-06T05:00:00"/>
    <x v="1"/>
    <n v="21.9"/>
    <n v="76.599999999999994"/>
    <n v="7.7"/>
    <n v="0"/>
    <n v="72.2"/>
    <n v="4000"/>
    <n v="4344"/>
    <n v="1"/>
    <n v="72.2"/>
    <n v="4072.2"/>
    <n v="5"/>
  </r>
  <r>
    <d v="2026-09-06T06:00:00"/>
    <x v="1"/>
    <n v="24.4"/>
    <n v="28.8"/>
    <n v="20.9"/>
    <n v="276"/>
    <n v="1455.8"/>
    <n v="2733.6"/>
    <n v="4465.3999999999996"/>
    <n v="0"/>
    <n v="1731.8"/>
    <n v="4465.3999999999996"/>
    <n v="6"/>
  </r>
  <r>
    <d v="2026-09-06T07:00:00"/>
    <x v="1"/>
    <n v="26"/>
    <n v="70"/>
    <n v="8.6"/>
    <n v="377.4"/>
    <n v="103.4"/>
    <n v="3660.2"/>
    <n v="4141"/>
    <n v="0"/>
    <n v="480.79999999999995"/>
    <n v="4141"/>
    <n v="7"/>
  </r>
  <r>
    <d v="2026-09-06T08:00:00"/>
    <x v="1"/>
    <n v="25.7"/>
    <n v="52.2"/>
    <n v="13.3"/>
    <n v="642.20000000000005"/>
    <n v="376.6"/>
    <n v="3510.1"/>
    <n v="4528.8999999999996"/>
    <n v="0"/>
    <n v="1018.8000000000001"/>
    <n v="4528.8999999999996"/>
    <n v="8"/>
  </r>
  <r>
    <d v="2026-09-06T09:00:00"/>
    <x v="1"/>
    <n v="27.6"/>
    <n v="64.8"/>
    <n v="3.3"/>
    <n v="716.5"/>
    <n v="5.5"/>
    <n v="3577.9"/>
    <n v="4299.8999999999996"/>
    <n v="0"/>
    <n v="722"/>
    <n v="4299.8999999999996"/>
    <n v="9"/>
  </r>
  <r>
    <d v="2026-09-06T10:00:00"/>
    <x v="1"/>
    <n v="25.8"/>
    <n v="70.8"/>
    <n v="17.600000000000001"/>
    <n v="777.2"/>
    <n v="877.3"/>
    <n v="4000"/>
    <n v="6435.7"/>
    <n v="1"/>
    <n v="1654.5"/>
    <n v="5654.5"/>
    <n v="10"/>
  </r>
  <r>
    <d v="2026-09-06T11:00:00"/>
    <x v="1"/>
    <n v="27.5"/>
    <n v="17.399999999999999"/>
    <n v="10.9"/>
    <n v="1310.0999999999999"/>
    <n v="208.7"/>
    <n v="4000"/>
    <n v="6076.4"/>
    <n v="1"/>
    <n v="1518.8"/>
    <n v="5518.8"/>
    <n v="11"/>
  </r>
  <r>
    <d v="2026-09-06T12:00:00"/>
    <x v="1"/>
    <n v="28.8"/>
    <n v="77.8"/>
    <n v="19"/>
    <n v="800.2"/>
    <n v="1093.7"/>
    <n v="4000"/>
    <n v="6193.8"/>
    <n v="1"/>
    <n v="1893.9"/>
    <n v="5893.9"/>
    <n v="12"/>
  </r>
  <r>
    <d v="2026-09-06T13:00:00"/>
    <x v="1"/>
    <n v="27.7"/>
    <n v="2.9"/>
    <n v="8"/>
    <n v="1436.8"/>
    <n v="81"/>
    <n v="4000"/>
    <n v="6155.7"/>
    <n v="1"/>
    <n v="1517.8"/>
    <n v="5517.8"/>
    <n v="13"/>
  </r>
  <r>
    <d v="2026-09-06T14:00:00"/>
    <x v="1"/>
    <n v="29.1"/>
    <n v="14.1"/>
    <n v="9"/>
    <n v="1236.8"/>
    <n v="118.1"/>
    <n v="4000"/>
    <n v="6384.7"/>
    <n v="1"/>
    <n v="1354.8999999999999"/>
    <n v="5354.9"/>
    <n v="14"/>
  </r>
  <r>
    <d v="2026-09-06T15:00:00"/>
    <x v="1"/>
    <n v="27.1"/>
    <n v="24.8"/>
    <n v="14.1"/>
    <n v="998.5"/>
    <n v="450.5"/>
    <n v="2867"/>
    <n v="4316"/>
    <n v="0"/>
    <n v="1449"/>
    <n v="4316"/>
    <n v="15"/>
  </r>
  <r>
    <d v="2026-09-06T16:00:00"/>
    <x v="1"/>
    <n v="26"/>
    <n v="58.7"/>
    <n v="12"/>
    <n v="606.1"/>
    <n v="278.7"/>
    <n v="3364.1"/>
    <n v="4248.8999999999996"/>
    <n v="0"/>
    <n v="884.8"/>
    <n v="4248.8999999999996"/>
    <n v="16"/>
  </r>
  <r>
    <d v="2026-09-06T17:00:00"/>
    <x v="1"/>
    <n v="24.9"/>
    <n v="42.8"/>
    <n v="10.1"/>
    <n v="483.7"/>
    <n v="167.3"/>
    <n v="3603.5"/>
    <n v="4254.5"/>
    <n v="0"/>
    <n v="651"/>
    <n v="4254.5"/>
    <n v="17"/>
  </r>
  <r>
    <d v="2026-09-06T18:00:00"/>
    <x v="1"/>
    <n v="25.6"/>
    <n v="59"/>
    <n v="10.5"/>
    <n v="215.6"/>
    <n v="186.4"/>
    <n v="4000"/>
    <n v="6681.2"/>
    <n v="1"/>
    <n v="402"/>
    <n v="4402"/>
    <n v="18"/>
  </r>
  <r>
    <d v="2026-09-06T19:00:00"/>
    <x v="1"/>
    <n v="22.6"/>
    <n v="74.3"/>
    <n v="13.8"/>
    <n v="0"/>
    <n v="424.9"/>
    <n v="4000"/>
    <n v="6824.5"/>
    <n v="1"/>
    <n v="424.9"/>
    <n v="4424.8999999999996"/>
    <n v="19"/>
  </r>
  <r>
    <d v="2026-09-06T20:00:00"/>
    <x v="1"/>
    <n v="22.4"/>
    <n v="5.7"/>
    <n v="6.4"/>
    <n v="0"/>
    <n v="41.3"/>
    <n v="4000"/>
    <n v="6703.9"/>
    <n v="1"/>
    <n v="41.3"/>
    <n v="4041.3"/>
    <n v="20"/>
  </r>
  <r>
    <d v="2026-09-06T21:00:00"/>
    <x v="1"/>
    <n v="21.3"/>
    <n v="88.3"/>
    <n v="23.2"/>
    <n v="0"/>
    <n v="1986.7"/>
    <n v="4000"/>
    <n v="6540.9"/>
    <n v="1"/>
    <n v="1986.7"/>
    <n v="5986.7"/>
    <n v="21"/>
  </r>
  <r>
    <d v="2026-09-06T22:00:00"/>
    <x v="1"/>
    <n v="21"/>
    <n v="0"/>
    <n v="9.3000000000000007"/>
    <n v="0"/>
    <n v="128.1"/>
    <n v="4000"/>
    <n v="4415.7"/>
    <n v="1"/>
    <n v="128.1"/>
    <n v="4128.1000000000004"/>
    <n v="22"/>
  </r>
  <r>
    <d v="2026-09-06T23:00:00"/>
    <x v="1"/>
    <n v="19.5"/>
    <n v="40.799999999999997"/>
    <n v="9.6"/>
    <n v="0"/>
    <n v="143.30000000000001"/>
    <n v="4000"/>
    <n v="4201.8"/>
    <n v="1"/>
    <n v="143.30000000000001"/>
    <n v="4143.3"/>
    <n v="23"/>
  </r>
  <r>
    <d v="2026-09-07T00:00:00"/>
    <x v="1"/>
    <n v="20.7"/>
    <n v="18.2"/>
    <n v="13.2"/>
    <n v="0"/>
    <n v="367.7"/>
    <n v="4000"/>
    <n v="4653.1000000000004"/>
    <n v="1"/>
    <n v="367.7"/>
    <n v="4367.7"/>
    <n v="0"/>
  </r>
  <r>
    <d v="2026-09-07T01:00:00"/>
    <x v="1"/>
    <n v="19.2"/>
    <n v="0"/>
    <n v="10.6"/>
    <n v="0"/>
    <n v="188.9"/>
    <n v="4000"/>
    <n v="5261.1"/>
    <n v="1"/>
    <n v="188.9"/>
    <n v="4188.8999999999996"/>
    <n v="1"/>
  </r>
  <r>
    <d v="2026-09-07T02:00:00"/>
    <x v="1"/>
    <n v="22.5"/>
    <n v="14.3"/>
    <n v="14.5"/>
    <n v="0"/>
    <n v="486.1"/>
    <n v="4000"/>
    <n v="5115.1000000000004"/>
    <n v="1"/>
    <n v="486.1"/>
    <n v="4486.1000000000004"/>
    <n v="2"/>
  </r>
  <r>
    <d v="2026-09-07T03:00:00"/>
    <x v="1"/>
    <n v="21.1"/>
    <n v="100"/>
    <n v="4.5"/>
    <n v="0"/>
    <n v="14.4"/>
    <n v="4000"/>
    <n v="4880.2"/>
    <n v="1"/>
    <n v="14.4"/>
    <n v="4014.4"/>
    <n v="3"/>
  </r>
  <r>
    <d v="2026-09-07T04:00:00"/>
    <x v="1"/>
    <n v="22.5"/>
    <n v="72.099999999999994"/>
    <n v="12.5"/>
    <n v="0"/>
    <n v="311.7"/>
    <n v="4000"/>
    <n v="4988.1000000000004"/>
    <n v="1"/>
    <n v="311.7"/>
    <n v="4311.7"/>
    <n v="4"/>
  </r>
  <r>
    <d v="2026-09-07T05:00:00"/>
    <x v="1"/>
    <n v="22.6"/>
    <n v="51.7"/>
    <n v="10.3"/>
    <n v="0"/>
    <n v="174"/>
    <n v="4000"/>
    <n v="4996.2"/>
    <n v="1"/>
    <n v="174"/>
    <n v="4174"/>
    <n v="5"/>
  </r>
  <r>
    <d v="2026-09-07T06:00:00"/>
    <x v="1"/>
    <n v="23.6"/>
    <n v="54.4"/>
    <n v="11.9"/>
    <n v="224.8"/>
    <n v="266.5"/>
    <n v="4000"/>
    <n v="5043.2"/>
    <n v="1"/>
    <n v="491.3"/>
    <n v="4491.3"/>
    <n v="6"/>
  </r>
  <r>
    <d v="2026-09-07T07:00:00"/>
    <x v="1"/>
    <n v="25"/>
    <n v="0.7"/>
    <n v="18.3"/>
    <n v="648.20000000000005"/>
    <n v="982.1"/>
    <n v="3488.6"/>
    <n v="5118.8999999999996"/>
    <n v="0"/>
    <n v="1630.3000000000002"/>
    <n v="5118.8999999999996"/>
    <n v="7"/>
  </r>
  <r>
    <d v="2026-09-07T08:00:00"/>
    <x v="1"/>
    <n v="25.3"/>
    <n v="30.1"/>
    <n v="18.899999999999999"/>
    <n v="766.3"/>
    <n v="1075.4000000000001"/>
    <n v="2972.4"/>
    <n v="4814.1000000000004"/>
    <n v="0"/>
    <n v="1841.7"/>
    <n v="4814.1000000000004"/>
    <n v="8"/>
  </r>
  <r>
    <d v="2026-09-07T09:00:00"/>
    <x v="1"/>
    <n v="30"/>
    <n v="71.400000000000006"/>
    <n v="13.1"/>
    <n v="670.3"/>
    <n v="361"/>
    <n v="3598.3"/>
    <n v="4629.6000000000004"/>
    <n v="0"/>
    <n v="1031.3"/>
    <n v="4629.6000000000004"/>
    <n v="9"/>
  </r>
  <r>
    <d v="2026-09-07T10:00:00"/>
    <x v="1"/>
    <n v="27.7"/>
    <n v="58"/>
    <n v="15.2"/>
    <n v="880.9"/>
    <n v="564.79999999999995"/>
    <n v="4000"/>
    <n v="7141.8"/>
    <n v="1"/>
    <n v="1445.6999999999998"/>
    <n v="5445.7"/>
    <n v="10"/>
  </r>
  <r>
    <d v="2026-09-07T11:00:00"/>
    <x v="1"/>
    <n v="28"/>
    <n v="40.1"/>
    <n v="11.2"/>
    <n v="1110.8"/>
    <n v="227.4"/>
    <n v="4000"/>
    <n v="7233.3"/>
    <n v="1"/>
    <n v="1338.2"/>
    <n v="5338.2"/>
    <n v="11"/>
  </r>
  <r>
    <d v="2026-09-07T12:00:00"/>
    <x v="1"/>
    <n v="29.1"/>
    <n v="59.8"/>
    <n v="0"/>
    <n v="961.4"/>
    <n v="0"/>
    <n v="4000"/>
    <n v="7120.8"/>
    <n v="1"/>
    <n v="961.4"/>
    <n v="4961.3999999999996"/>
    <n v="12"/>
  </r>
  <r>
    <d v="2026-09-07T13:00:00"/>
    <x v="1"/>
    <n v="28.1"/>
    <n v="44.5"/>
    <n v="10.1"/>
    <n v="1071.5999999999999"/>
    <n v="162.80000000000001"/>
    <n v="4000"/>
    <n v="7248.4"/>
    <n v="1"/>
    <n v="1234.3999999999999"/>
    <n v="5234.3999999999996"/>
    <n v="13"/>
  </r>
  <r>
    <d v="2026-09-07T14:00:00"/>
    <x v="1"/>
    <n v="28.4"/>
    <n v="25.7"/>
    <n v="14"/>
    <n v="1143.2"/>
    <n v="442.4"/>
    <n v="4000"/>
    <n v="7318.6"/>
    <n v="1"/>
    <n v="1585.6"/>
    <n v="5585.6"/>
    <n v="14"/>
  </r>
  <r>
    <d v="2026-09-07T15:00:00"/>
    <x v="1"/>
    <n v="25.4"/>
    <n v="29.3"/>
    <n v="16.3"/>
    <n v="966.4"/>
    <n v="694.4"/>
    <n v="3143.5"/>
    <n v="4804.3"/>
    <n v="0"/>
    <n v="1660.8"/>
    <n v="4804.3"/>
    <n v="15"/>
  </r>
  <r>
    <d v="2026-09-07T16:00:00"/>
    <x v="1"/>
    <n v="26.5"/>
    <n v="63.1"/>
    <n v="14.6"/>
    <n v="581"/>
    <n v="496"/>
    <n v="4000"/>
    <n v="5093"/>
    <n v="1"/>
    <n v="1077"/>
    <n v="5077"/>
    <n v="16"/>
  </r>
  <r>
    <d v="2026-09-07T17:00:00"/>
    <x v="1"/>
    <n v="25.5"/>
    <n v="65"/>
    <n v="15.8"/>
    <n v="397"/>
    <n v="627.70000000000005"/>
    <n v="3829.1"/>
    <n v="4853.8"/>
    <n v="0"/>
    <n v="1024.7"/>
    <n v="4853.8"/>
    <n v="17"/>
  </r>
  <r>
    <d v="2026-09-07T18:00:00"/>
    <x v="1"/>
    <n v="24.7"/>
    <n v="53.8"/>
    <n v="17.399999999999999"/>
    <n v="226.1"/>
    <n v="835.7"/>
    <n v="4000"/>
    <n v="7878.3"/>
    <n v="1"/>
    <n v="1061.8"/>
    <n v="5061.8"/>
    <n v="18"/>
  </r>
  <r>
    <d v="2026-09-07T19:00:00"/>
    <x v="1"/>
    <n v="22.1"/>
    <n v="40.9"/>
    <n v="8.3000000000000007"/>
    <n v="0"/>
    <n v="90.7"/>
    <n v="4000"/>
    <n v="7696"/>
    <n v="1"/>
    <n v="90.7"/>
    <n v="4090.7"/>
    <n v="19"/>
  </r>
  <r>
    <d v="2026-09-07T20:00:00"/>
    <x v="1"/>
    <n v="21.9"/>
    <n v="25.2"/>
    <n v="10.5"/>
    <n v="0"/>
    <n v="183.1"/>
    <n v="4000"/>
    <n v="7598.7"/>
    <n v="1"/>
    <n v="183.1"/>
    <n v="4183.1000000000004"/>
    <n v="20"/>
  </r>
  <r>
    <d v="2026-09-07T21:00:00"/>
    <x v="1"/>
    <n v="21.4"/>
    <n v="45"/>
    <n v="7.9"/>
    <n v="0"/>
    <n v="79.3"/>
    <n v="4000"/>
    <n v="7416"/>
    <n v="1"/>
    <n v="79.3"/>
    <n v="4079.3"/>
    <n v="21"/>
  </r>
  <r>
    <d v="2026-09-07T22:00:00"/>
    <x v="1"/>
    <n v="21.5"/>
    <n v="4.8"/>
    <n v="8.1999999999999993"/>
    <n v="0"/>
    <n v="87.8"/>
    <n v="4000"/>
    <n v="5048.8999999999996"/>
    <n v="1"/>
    <n v="87.8"/>
    <n v="4087.8"/>
    <n v="22"/>
  </r>
  <r>
    <d v="2026-09-07T23:00:00"/>
    <x v="1"/>
    <n v="19.2"/>
    <n v="65.7"/>
    <n v="11"/>
    <n v="0"/>
    <n v="214.8"/>
    <n v="4000"/>
    <n v="4834.6000000000004"/>
    <n v="1"/>
    <n v="214.8"/>
    <n v="4214.8"/>
    <n v="23"/>
  </r>
  <r>
    <d v="2026-09-08T00:00:00"/>
    <x v="1"/>
    <n v="18"/>
    <n v="60.9"/>
    <n v="5.8"/>
    <n v="0"/>
    <n v="31.3"/>
    <n v="4000"/>
    <n v="4910.3"/>
    <n v="1"/>
    <n v="31.3"/>
    <n v="4031.3"/>
    <n v="0"/>
  </r>
  <r>
    <d v="2026-09-08T01:00:00"/>
    <x v="1"/>
    <n v="20.399999999999999"/>
    <n v="79"/>
    <n v="5.5"/>
    <n v="0"/>
    <n v="26"/>
    <n v="4000"/>
    <n v="4959"/>
    <n v="1"/>
    <n v="26"/>
    <n v="4026"/>
    <n v="1"/>
  </r>
  <r>
    <d v="2026-09-08T02:00:00"/>
    <x v="1"/>
    <n v="20.7"/>
    <n v="90"/>
    <n v="18.2"/>
    <n v="0"/>
    <n v="963.7"/>
    <n v="3533.4"/>
    <n v="4497.1000000000004"/>
    <n v="0"/>
    <n v="963.7"/>
    <n v="4497.1000000000004"/>
    <n v="2"/>
  </r>
  <r>
    <d v="2026-09-08T03:00:00"/>
    <x v="1"/>
    <n v="20.7"/>
    <n v="65.2"/>
    <n v="7.1"/>
    <n v="0"/>
    <n v="58.1"/>
    <n v="4000"/>
    <n v="4981.3999999999996"/>
    <n v="1"/>
    <n v="58.1"/>
    <n v="4058.1"/>
    <n v="3"/>
  </r>
  <r>
    <d v="2026-09-08T04:00:00"/>
    <x v="1"/>
    <n v="22.5"/>
    <n v="71.5"/>
    <n v="25.8"/>
    <n v="0"/>
    <n v="0"/>
    <n v="4000"/>
    <n v="5021.5"/>
    <n v="1"/>
    <n v="0"/>
    <n v="4000"/>
    <n v="4"/>
  </r>
  <r>
    <d v="2026-09-08T05:00:00"/>
    <x v="1"/>
    <n v="22.5"/>
    <n v="44.4"/>
    <n v="3.2"/>
    <n v="0"/>
    <n v="5"/>
    <n v="4000"/>
    <n v="5008.8999999999996"/>
    <n v="1"/>
    <n v="5"/>
    <n v="4005"/>
    <n v="5"/>
  </r>
  <r>
    <d v="2026-09-08T06:00:00"/>
    <x v="1"/>
    <n v="23.6"/>
    <n v="31.9"/>
    <n v="12.8"/>
    <n v="269.89999999999998"/>
    <n v="332.5"/>
    <n v="4000"/>
    <n v="4845.8"/>
    <n v="1"/>
    <n v="602.4"/>
    <n v="4602.3999999999996"/>
    <n v="6"/>
  </r>
  <r>
    <d v="2026-09-08T07:00:00"/>
    <x v="1"/>
    <n v="26.2"/>
    <n v="45"/>
    <n v="12"/>
    <n v="475.1"/>
    <n v="273.3"/>
    <n v="4000"/>
    <n v="4826.6000000000004"/>
    <n v="1"/>
    <n v="748.40000000000009"/>
    <n v="4748.3999999999996"/>
    <n v="7"/>
  </r>
  <r>
    <d v="2026-09-08T08:00:00"/>
    <x v="1"/>
    <n v="26.2"/>
    <n v="65.599999999999994"/>
    <n v="7.7"/>
    <n v="567"/>
    <n v="72"/>
    <n v="4000"/>
    <n v="4900.8"/>
    <n v="1"/>
    <n v="639"/>
    <n v="4639"/>
    <n v="8"/>
  </r>
  <r>
    <d v="2026-09-08T09:00:00"/>
    <x v="1"/>
    <n v="26.5"/>
    <n v="11.4"/>
    <n v="7.9"/>
    <n v="1092.9000000000001"/>
    <n v="79"/>
    <n v="3679.4"/>
    <n v="4851.3"/>
    <n v="0"/>
    <n v="1171.9000000000001"/>
    <n v="4851.3"/>
    <n v="9"/>
  </r>
  <r>
    <d v="2026-09-08T10:00:00"/>
    <x v="1"/>
    <n v="28.3"/>
    <n v="51.6"/>
    <n v="13"/>
    <n v="933.3"/>
    <n v="348.9"/>
    <n v="4000"/>
    <n v="7078.6"/>
    <n v="1"/>
    <n v="1282.1999999999998"/>
    <n v="5282.2"/>
    <n v="10"/>
  </r>
  <r>
    <d v="2026-09-08T11:00:00"/>
    <x v="1"/>
    <n v="27.7"/>
    <n v="54.8"/>
    <n v="11.5"/>
    <n v="981.9"/>
    <n v="242.3"/>
    <n v="4000"/>
    <n v="7277.6"/>
    <n v="1"/>
    <n v="1224.2"/>
    <n v="5224.2"/>
    <n v="11"/>
  </r>
  <r>
    <d v="2026-09-08T12:00:00"/>
    <x v="1"/>
    <n v="27.4"/>
    <n v="0"/>
    <n v="11.3"/>
    <n v="1500"/>
    <n v="232.6"/>
    <n v="4000"/>
    <n v="7189.8"/>
    <n v="1"/>
    <n v="1732.6"/>
    <n v="5732.6"/>
    <n v="12"/>
  </r>
  <r>
    <d v="2026-09-08T13:00:00"/>
    <x v="1"/>
    <n v="28.8"/>
    <n v="69.099999999999994"/>
    <n v="18.2"/>
    <n v="855.8"/>
    <n v="961.5"/>
    <n v="4000"/>
    <n v="7363.4"/>
    <n v="1"/>
    <n v="1817.3"/>
    <n v="5817.3"/>
    <n v="13"/>
  </r>
  <r>
    <d v="2026-09-08T14:00:00"/>
    <x v="1"/>
    <n v="27.7"/>
    <n v="29.6"/>
    <n v="10.4"/>
    <n v="1111.8"/>
    <n v="181"/>
    <n v="4000"/>
    <n v="7163.3"/>
    <n v="1"/>
    <n v="1292.8"/>
    <n v="5292.8"/>
    <n v="14"/>
  </r>
  <r>
    <d v="2026-09-08T15:00:00"/>
    <x v="1"/>
    <n v="28"/>
    <n v="41.5"/>
    <n v="9.6999999999999993"/>
    <n v="880.6"/>
    <n v="148.30000000000001"/>
    <n v="4000"/>
    <n v="5042.3999999999996"/>
    <n v="1"/>
    <n v="1028.9000000000001"/>
    <n v="5028.8999999999996"/>
    <n v="15"/>
  </r>
  <r>
    <d v="2026-09-08T16:00:00"/>
    <x v="1"/>
    <n v="26.6"/>
    <n v="8.9"/>
    <n v="0.5"/>
    <n v="885.3"/>
    <n v="0"/>
    <n v="4000"/>
    <n v="4950.1000000000004"/>
    <n v="1"/>
    <n v="885.3"/>
    <n v="4885.3"/>
    <n v="16"/>
  </r>
  <r>
    <d v="2026-09-08T17:00:00"/>
    <x v="1"/>
    <n v="23.8"/>
    <n v="32.299999999999997"/>
    <n v="11.3"/>
    <n v="524.70000000000005"/>
    <n v="228.5"/>
    <n v="4000"/>
    <n v="4867.3999999999996"/>
    <n v="1"/>
    <n v="753.2"/>
    <n v="4753.2"/>
    <n v="17"/>
  </r>
  <r>
    <d v="2026-09-08T18:00:00"/>
    <x v="1"/>
    <n v="25.5"/>
    <n v="53.2"/>
    <n v="13.5"/>
    <n v="227.3"/>
    <n v="393.9"/>
    <n v="4000"/>
    <n v="7632"/>
    <n v="1"/>
    <n v="621.20000000000005"/>
    <n v="4621.2"/>
    <n v="18"/>
  </r>
  <r>
    <d v="2026-09-08T19:00:00"/>
    <x v="1"/>
    <n v="21.8"/>
    <n v="71"/>
    <n v="11.6"/>
    <n v="0"/>
    <n v="251.1"/>
    <n v="4000"/>
    <n v="7793.3"/>
    <n v="1"/>
    <n v="251.1"/>
    <n v="4251.1000000000004"/>
    <n v="19"/>
  </r>
  <r>
    <d v="2026-09-08T20:00:00"/>
    <x v="1"/>
    <n v="20.9"/>
    <n v="6.2"/>
    <n v="16.100000000000001"/>
    <n v="0"/>
    <n v="666.4"/>
    <n v="4000"/>
    <n v="7800.6"/>
    <n v="1"/>
    <n v="666.4"/>
    <n v="4666.3999999999996"/>
    <n v="20"/>
  </r>
  <r>
    <d v="2026-09-08T21:00:00"/>
    <x v="1"/>
    <n v="20.3"/>
    <n v="23.3"/>
    <n v="17.600000000000001"/>
    <n v="0"/>
    <n v="876.3"/>
    <n v="4000"/>
    <n v="7756.5"/>
    <n v="1"/>
    <n v="876.3"/>
    <n v="4876.3"/>
    <n v="21"/>
  </r>
  <r>
    <d v="2026-09-08T22:00:00"/>
    <x v="1"/>
    <n v="22.2"/>
    <n v="22.5"/>
    <n v="15.2"/>
    <n v="0"/>
    <n v="561"/>
    <n v="4000"/>
    <n v="4771.6000000000004"/>
    <n v="1"/>
    <n v="561"/>
    <n v="4561"/>
    <n v="22"/>
  </r>
  <r>
    <d v="2026-09-08T23:00:00"/>
    <x v="1"/>
    <n v="20.7"/>
    <n v="31.4"/>
    <n v="11.2"/>
    <n v="0"/>
    <n v="223.9"/>
    <n v="4000"/>
    <n v="4900.7"/>
    <n v="1"/>
    <n v="223.9"/>
    <n v="4223.8999999999996"/>
    <n v="23"/>
  </r>
  <r>
    <d v="2026-09-09T00:00:00"/>
    <x v="1"/>
    <n v="19"/>
    <n v="63.5"/>
    <n v="9.4"/>
    <n v="0"/>
    <n v="134.30000000000001"/>
    <n v="4000"/>
    <n v="4956.1000000000004"/>
    <n v="1"/>
    <n v="134.30000000000001"/>
    <n v="4134.3"/>
    <n v="0"/>
  </r>
  <r>
    <d v="2026-09-09T01:00:00"/>
    <x v="1"/>
    <n v="19.100000000000001"/>
    <n v="0"/>
    <n v="11"/>
    <n v="0"/>
    <n v="215.6"/>
    <n v="4000"/>
    <n v="4915.7"/>
    <n v="1"/>
    <n v="215.6"/>
    <n v="4215.6000000000004"/>
    <n v="1"/>
  </r>
  <r>
    <d v="2026-09-09T02:00:00"/>
    <x v="1"/>
    <n v="21.3"/>
    <n v="44.5"/>
    <n v="10.7"/>
    <n v="0"/>
    <n v="195.2"/>
    <n v="4000"/>
    <n v="5311.9"/>
    <n v="1"/>
    <n v="195.2"/>
    <n v="4195.2"/>
    <n v="2"/>
  </r>
  <r>
    <d v="2026-09-09T03:00:00"/>
    <x v="1"/>
    <n v="21.7"/>
    <n v="15.5"/>
    <n v="17.600000000000001"/>
    <n v="0"/>
    <n v="868.1"/>
    <n v="4000"/>
    <n v="4953.3999999999996"/>
    <n v="1"/>
    <n v="868.1"/>
    <n v="4868.1000000000004"/>
    <n v="3"/>
  </r>
  <r>
    <d v="2026-09-09T04:00:00"/>
    <x v="1"/>
    <n v="22.7"/>
    <n v="56"/>
    <n v="12.1"/>
    <n v="0"/>
    <n v="283.3"/>
    <n v="4000"/>
    <n v="5057.3"/>
    <n v="1"/>
    <n v="283.3"/>
    <n v="4283.3"/>
    <n v="4"/>
  </r>
  <r>
    <d v="2026-09-09T05:00:00"/>
    <x v="1"/>
    <n v="23.6"/>
    <n v="36.1"/>
    <n v="9.1"/>
    <n v="0"/>
    <n v="121.8"/>
    <n v="4000"/>
    <n v="5050.8999999999996"/>
    <n v="1"/>
    <n v="121.8"/>
    <n v="4121.8"/>
    <n v="5"/>
  </r>
  <r>
    <d v="2026-09-09T06:00:00"/>
    <x v="1"/>
    <n v="25.5"/>
    <n v="14"/>
    <n v="4.7"/>
    <n v="305.7"/>
    <n v="16.2"/>
    <n v="4000"/>
    <n v="4965.3"/>
    <n v="1"/>
    <n v="321.89999999999998"/>
    <n v="4321.8999999999996"/>
    <n v="6"/>
  </r>
  <r>
    <d v="2026-09-09T07:00:00"/>
    <x v="1"/>
    <n v="25.1"/>
    <n v="49.3"/>
    <n v="13.2"/>
    <n v="458.2"/>
    <n v="369.7"/>
    <n v="4000"/>
    <n v="4974.7"/>
    <n v="1"/>
    <n v="827.9"/>
    <n v="4827.8999999999996"/>
    <n v="7"/>
  </r>
  <r>
    <d v="2026-09-09T08:00:00"/>
    <x v="1"/>
    <n v="27.5"/>
    <n v="5"/>
    <n v="7.9"/>
    <n v="907.3"/>
    <n v="77.599999999999994"/>
    <n v="3931.6"/>
    <n v="4916.5"/>
    <n v="0"/>
    <n v="984.9"/>
    <n v="4916.5"/>
    <n v="8"/>
  </r>
  <r>
    <d v="2026-09-09T09:00:00"/>
    <x v="1"/>
    <n v="25.2"/>
    <n v="40.6"/>
    <n v="20.3"/>
    <n v="887"/>
    <n v="1339.9"/>
    <n v="2707.6"/>
    <n v="4934.5"/>
    <n v="0"/>
    <n v="2226.9"/>
    <n v="4934.5"/>
    <n v="9"/>
  </r>
  <r>
    <d v="2026-09-09T10:00:00"/>
    <x v="1"/>
    <n v="27.7"/>
    <n v="13.5"/>
    <n v="8.9"/>
    <n v="1242"/>
    <n v="113.5"/>
    <n v="4000"/>
    <n v="7153.1"/>
    <n v="1"/>
    <n v="1355.5"/>
    <n v="5355.5"/>
    <n v="10"/>
  </r>
  <r>
    <d v="2026-09-09T11:00:00"/>
    <x v="1"/>
    <n v="27.5"/>
    <n v="77"/>
    <n v="14.8"/>
    <n v="786.4"/>
    <n v="517.5"/>
    <n v="4000"/>
    <n v="7093.7"/>
    <n v="1"/>
    <n v="1303.9000000000001"/>
    <n v="5303.9"/>
    <n v="11"/>
  </r>
  <r>
    <d v="2026-09-09T12:00:00"/>
    <x v="1"/>
    <n v="28.2"/>
    <n v="57.5"/>
    <n v="17.7"/>
    <n v="982.9"/>
    <n v="887.3"/>
    <n v="4000"/>
    <n v="6983.3"/>
    <n v="1"/>
    <n v="1870.1999999999998"/>
    <n v="5870.2"/>
    <n v="12"/>
  </r>
  <r>
    <d v="2026-09-09T13:00:00"/>
    <x v="1"/>
    <n v="26.8"/>
    <n v="24.7"/>
    <n v="5.7"/>
    <n v="1245.4000000000001"/>
    <n v="29.8"/>
    <n v="4000"/>
    <n v="7387.1"/>
    <n v="1"/>
    <n v="1275.2"/>
    <n v="5275.2"/>
    <n v="13"/>
  </r>
  <r>
    <d v="2026-09-09T14:00:00"/>
    <x v="1"/>
    <n v="27.9"/>
    <n v="69.7"/>
    <n v="11.6"/>
    <n v="786.4"/>
    <n v="251.1"/>
    <n v="4000"/>
    <n v="7114.9"/>
    <n v="1"/>
    <n v="1037.5"/>
    <n v="5037.5"/>
    <n v="14"/>
  </r>
  <r>
    <d v="2026-09-09T15:00:00"/>
    <x v="1"/>
    <n v="27"/>
    <n v="24.1"/>
    <n v="22.4"/>
    <n v="1003"/>
    <n v="1809.8"/>
    <n v="2089.1999999999998"/>
    <n v="4902"/>
    <n v="0"/>
    <n v="2812.8"/>
    <n v="4902"/>
    <n v="15"/>
  </r>
  <r>
    <d v="2026-09-09T16:00:00"/>
    <x v="1"/>
    <n v="26.2"/>
    <n v="95.6"/>
    <n v="12"/>
    <n v="398.8"/>
    <n v="278.8"/>
    <n v="4000"/>
    <n v="4708.8999999999996"/>
    <n v="1"/>
    <n v="677.6"/>
    <n v="4677.6000000000004"/>
    <n v="16"/>
  </r>
  <r>
    <d v="2026-09-09T17:00:00"/>
    <x v="1"/>
    <n v="24.7"/>
    <n v="40.5"/>
    <n v="18.899999999999999"/>
    <n v="492.7"/>
    <n v="1074.0999999999999"/>
    <n v="3354.7"/>
    <n v="4921.5"/>
    <n v="0"/>
    <n v="1566.8"/>
    <n v="4921.5"/>
    <n v="17"/>
  </r>
  <r>
    <d v="2026-09-09T18:00:00"/>
    <x v="1"/>
    <n v="25.5"/>
    <n v="9.4"/>
    <n v="10.7"/>
    <n v="315"/>
    <n v="194.2"/>
    <n v="4000"/>
    <n v="7368.2"/>
    <n v="1"/>
    <n v="509.2"/>
    <n v="4509.2"/>
    <n v="18"/>
  </r>
  <r>
    <d v="2026-09-09T19:00:00"/>
    <x v="1"/>
    <n v="23.6"/>
    <n v="5"/>
    <n v="14.3"/>
    <n v="0"/>
    <n v="468.9"/>
    <n v="4000"/>
    <n v="7635.6"/>
    <n v="1"/>
    <n v="468.9"/>
    <n v="4468.8999999999996"/>
    <n v="19"/>
  </r>
  <r>
    <d v="2026-09-09T20:00:00"/>
    <x v="1"/>
    <n v="20.6"/>
    <n v="49.7"/>
    <n v="8.6999999999999993"/>
    <n v="0"/>
    <n v="105"/>
    <n v="4000"/>
    <n v="8003.6"/>
    <n v="1"/>
    <n v="105"/>
    <n v="4105"/>
    <n v="20"/>
  </r>
  <r>
    <d v="2026-09-09T21:00:00"/>
    <x v="1"/>
    <n v="21.2"/>
    <n v="29"/>
    <n v="14.4"/>
    <n v="0"/>
    <n v="481.7"/>
    <n v="4000"/>
    <n v="7763.9"/>
    <n v="1"/>
    <n v="481.7"/>
    <n v="4481.7"/>
    <n v="21"/>
  </r>
  <r>
    <d v="2026-09-09T22:00:00"/>
    <x v="1"/>
    <n v="20.3"/>
    <n v="63"/>
    <n v="5.5"/>
    <n v="0"/>
    <n v="27.1"/>
    <n v="4000"/>
    <n v="5220.7"/>
    <n v="1"/>
    <n v="27.1"/>
    <n v="4027.1"/>
    <n v="22"/>
  </r>
  <r>
    <d v="2026-09-09T23:00:00"/>
    <x v="1"/>
    <n v="20.6"/>
    <n v="82.1"/>
    <n v="13.8"/>
    <n v="0"/>
    <n v="418.5"/>
    <n v="4000"/>
    <n v="4806.5"/>
    <n v="1"/>
    <n v="418.5"/>
    <n v="4418.5"/>
    <n v="23"/>
  </r>
  <r>
    <d v="2026-09-10T00:00:00"/>
    <x v="1"/>
    <n v="20"/>
    <n v="13.7"/>
    <n v="15"/>
    <n v="0"/>
    <n v="542.4"/>
    <n v="4000"/>
    <n v="4903"/>
    <n v="1"/>
    <n v="542.4"/>
    <n v="4542.3999999999996"/>
    <n v="0"/>
  </r>
  <r>
    <d v="2026-09-10T01:00:00"/>
    <x v="1"/>
    <n v="19.7"/>
    <n v="33.200000000000003"/>
    <n v="13.3"/>
    <n v="0"/>
    <n v="378.9"/>
    <n v="4000"/>
    <n v="5082.3"/>
    <n v="1"/>
    <n v="378.9"/>
    <n v="4378.8999999999996"/>
    <n v="1"/>
  </r>
  <r>
    <d v="2026-09-10T02:00:00"/>
    <x v="1"/>
    <n v="20.5"/>
    <n v="97.5"/>
    <n v="10.8"/>
    <n v="0"/>
    <n v="199.6"/>
    <n v="4000"/>
    <n v="4884.5"/>
    <n v="1"/>
    <n v="199.6"/>
    <n v="4199.6000000000004"/>
    <n v="2"/>
  </r>
  <r>
    <d v="2026-09-10T03:00:00"/>
    <x v="1"/>
    <n v="20.5"/>
    <n v="63.6"/>
    <n v="11.1"/>
    <n v="0"/>
    <n v="218.5"/>
    <n v="4000"/>
    <n v="4896.2"/>
    <n v="1"/>
    <n v="218.5"/>
    <n v="4218.5"/>
    <n v="3"/>
  </r>
  <r>
    <d v="2026-09-10T04:00:00"/>
    <x v="1"/>
    <n v="23.3"/>
    <n v="80.5"/>
    <n v="9"/>
    <n v="0"/>
    <n v="116.6"/>
    <n v="4000"/>
    <n v="4852.6000000000004"/>
    <n v="1"/>
    <n v="116.6"/>
    <n v="4116.6000000000004"/>
    <n v="4"/>
  </r>
  <r>
    <d v="2026-09-10T05:00:00"/>
    <x v="1"/>
    <n v="24"/>
    <n v="27.9"/>
    <n v="16"/>
    <n v="0"/>
    <n v="649.6"/>
    <n v="4000"/>
    <n v="4670"/>
    <n v="1"/>
    <n v="649.6"/>
    <n v="4649.6000000000004"/>
    <n v="5"/>
  </r>
  <r>
    <d v="2026-09-10T06:00:00"/>
    <x v="1"/>
    <n v="24.9"/>
    <n v="14.7"/>
    <n v="15.7"/>
    <n v="304.3"/>
    <n v="613.70000000000005"/>
    <n v="3736.5"/>
    <n v="4654.5"/>
    <n v="0"/>
    <n v="918"/>
    <n v="4654.5"/>
    <n v="6"/>
  </r>
  <r>
    <d v="2026-09-10T07:00:00"/>
    <x v="1"/>
    <n v="24.1"/>
    <n v="34.799999999999997"/>
    <n v="15.4"/>
    <n v="514.79999999999995"/>
    <n v="588"/>
    <n v="3849.3"/>
    <n v="4952.1000000000004"/>
    <n v="0"/>
    <n v="1102.8"/>
    <n v="4952.1000000000004"/>
    <n v="7"/>
  </r>
  <r>
    <d v="2026-09-10T08:00:00"/>
    <x v="1"/>
    <n v="26.6"/>
    <n v="94.4"/>
    <n v="4.2"/>
    <n v="405.5"/>
    <n v="11.7"/>
    <n v="4000"/>
    <n v="4965.8999999999996"/>
    <n v="1"/>
    <n v="417.2"/>
    <n v="4417.2"/>
    <n v="8"/>
  </r>
  <r>
    <d v="2026-09-10T09:00:00"/>
    <x v="1"/>
    <n v="26.9"/>
    <n v="22.5"/>
    <n v="5.3"/>
    <n v="1014.2"/>
    <n v="24.5"/>
    <n v="4000"/>
    <n v="5192.6000000000004"/>
    <n v="1"/>
    <n v="1038.7"/>
    <n v="5038.7"/>
    <n v="9"/>
  </r>
  <r>
    <d v="2026-09-10T10:00:00"/>
    <x v="1"/>
    <n v="28.4"/>
    <n v="41.8"/>
    <n v="19.600000000000001"/>
    <n v="1012.4"/>
    <n v="1196.5999999999999"/>
    <n v="4000"/>
    <n v="7121.6"/>
    <n v="1"/>
    <n v="2209"/>
    <n v="6209"/>
    <n v="10"/>
  </r>
  <r>
    <d v="2026-09-10T11:00:00"/>
    <x v="1"/>
    <n v="27.9"/>
    <n v="13.7"/>
    <n v="13.8"/>
    <n v="1342.3"/>
    <n v="422.2"/>
    <n v="4000"/>
    <n v="6932.3"/>
    <n v="1"/>
    <n v="1764.5"/>
    <n v="5764.5"/>
    <n v="11"/>
  </r>
  <r>
    <d v="2026-09-10T12:00:00"/>
    <x v="1"/>
    <n v="27.6"/>
    <n v="0"/>
    <n v="13"/>
    <n v="1500"/>
    <n v="351.1"/>
    <n v="4000"/>
    <n v="7283"/>
    <n v="1"/>
    <n v="1851.1"/>
    <n v="5851.1"/>
    <n v="12"/>
  </r>
  <r>
    <d v="2026-09-10T13:00:00"/>
    <x v="1"/>
    <n v="28.3"/>
    <n v="75.900000000000006"/>
    <n v="6.6"/>
    <n v="796.5"/>
    <n v="46.9"/>
    <n v="4000"/>
    <n v="7215.5"/>
    <n v="1"/>
    <n v="843.4"/>
    <n v="4843.3999999999996"/>
    <n v="13"/>
  </r>
  <r>
    <d v="2026-09-10T14:00:00"/>
    <x v="1"/>
    <n v="28.7"/>
    <n v="0.5"/>
    <n v="13.6"/>
    <n v="1347.1"/>
    <n v="402.3"/>
    <n v="4000"/>
    <n v="7252"/>
    <n v="1"/>
    <n v="1749.3999999999999"/>
    <n v="5749.4"/>
    <n v="14"/>
  </r>
  <r>
    <d v="2026-09-10T15:00:00"/>
    <x v="1"/>
    <n v="26.7"/>
    <n v="53.7"/>
    <n v="9.6"/>
    <n v="794.9"/>
    <n v="140"/>
    <n v="3939.5"/>
    <n v="4874.3999999999996"/>
    <n v="0"/>
    <n v="934.9"/>
    <n v="4874.3999999999996"/>
    <n v="15"/>
  </r>
  <r>
    <d v="2026-09-10T16:00:00"/>
    <x v="1"/>
    <n v="26"/>
    <n v="17.8"/>
    <n v="6.6"/>
    <n v="835.2"/>
    <n v="45.4"/>
    <n v="3968"/>
    <n v="4848.6000000000004"/>
    <n v="0"/>
    <n v="880.6"/>
    <n v="4848.6000000000004"/>
    <n v="16"/>
  </r>
  <r>
    <d v="2026-09-10T17:00:00"/>
    <x v="1"/>
    <n v="23.9"/>
    <n v="61.7"/>
    <n v="14.3"/>
    <n v="410.1"/>
    <n v="469.1"/>
    <n v="4000"/>
    <n v="5051.8999999999996"/>
    <n v="1"/>
    <n v="879.2"/>
    <n v="4879.2"/>
    <n v="17"/>
  </r>
  <r>
    <d v="2026-09-10T18:00:00"/>
    <x v="1"/>
    <n v="23.3"/>
    <n v="74.900000000000006"/>
    <n v="7.1"/>
    <n v="183.9"/>
    <n v="57.1"/>
    <n v="4000"/>
    <n v="7441.1"/>
    <n v="1"/>
    <n v="241"/>
    <n v="4241"/>
    <n v="18"/>
  </r>
  <r>
    <d v="2026-09-10T19:00:00"/>
    <x v="1"/>
    <n v="23.4"/>
    <n v="64.599999999999994"/>
    <n v="10.7"/>
    <n v="0"/>
    <n v="198.3"/>
    <n v="4000"/>
    <n v="7630.3"/>
    <n v="1"/>
    <n v="198.3"/>
    <n v="4198.3"/>
    <n v="19"/>
  </r>
  <r>
    <d v="2026-09-10T20:00:00"/>
    <x v="1"/>
    <n v="23.4"/>
    <n v="88.5"/>
    <n v="16.899999999999999"/>
    <n v="0"/>
    <n v="771.5"/>
    <n v="4000"/>
    <n v="7610.4"/>
    <n v="1"/>
    <n v="771.5"/>
    <n v="4771.5"/>
    <n v="20"/>
  </r>
  <r>
    <d v="2026-09-10T21:00:00"/>
    <x v="1"/>
    <n v="20.399999999999999"/>
    <n v="24.2"/>
    <n v="14.6"/>
    <n v="0"/>
    <n v="499.2"/>
    <n v="4000"/>
    <n v="7712.8"/>
    <n v="1"/>
    <n v="499.2"/>
    <n v="4499.2"/>
    <n v="21"/>
  </r>
  <r>
    <d v="2026-09-10T22:00:00"/>
    <x v="1"/>
    <n v="21.9"/>
    <n v="61.3"/>
    <n v="4.5"/>
    <n v="0"/>
    <n v="14.4"/>
    <n v="4000"/>
    <n v="5012.8"/>
    <n v="1"/>
    <n v="14.4"/>
    <n v="4014.4"/>
    <n v="22"/>
  </r>
  <r>
    <d v="2026-09-10T23:00:00"/>
    <x v="1"/>
    <n v="19.100000000000001"/>
    <n v="35.4"/>
    <n v="13.3"/>
    <n v="0"/>
    <n v="372.3"/>
    <n v="4000"/>
    <n v="5107.8"/>
    <n v="1"/>
    <n v="372.3"/>
    <n v="4372.3"/>
    <n v="23"/>
  </r>
  <r>
    <d v="2026-09-11T00:00:00"/>
    <x v="1"/>
    <n v="23.1"/>
    <n v="60.2"/>
    <n v="11.1"/>
    <n v="0"/>
    <n v="217.9"/>
    <n v="4000"/>
    <n v="5249.4"/>
    <n v="1"/>
    <n v="217.9"/>
    <n v="4217.8999999999996"/>
    <n v="0"/>
  </r>
  <r>
    <d v="2026-09-11T01:00:00"/>
    <x v="1"/>
    <n v="21"/>
    <n v="37"/>
    <n v="21"/>
    <n v="0"/>
    <n v="1476.7"/>
    <n v="3553.5"/>
    <n v="5030.2"/>
    <n v="0"/>
    <n v="1476.7"/>
    <n v="5030.2"/>
    <n v="1"/>
  </r>
  <r>
    <d v="2026-09-11T02:00:00"/>
    <x v="1"/>
    <n v="21"/>
    <n v="61.6"/>
    <n v="14.1"/>
    <n v="0"/>
    <n v="449.3"/>
    <n v="4000"/>
    <n v="4984.5"/>
    <n v="1"/>
    <n v="449.3"/>
    <n v="4449.3"/>
    <n v="2"/>
  </r>
  <r>
    <d v="2026-09-11T03:00:00"/>
    <x v="1"/>
    <n v="20.6"/>
    <n v="31"/>
    <n v="6.5"/>
    <n v="0"/>
    <n v="43.9"/>
    <n v="4000"/>
    <n v="5075.8"/>
    <n v="1"/>
    <n v="43.9"/>
    <n v="4043.9"/>
    <n v="3"/>
  </r>
  <r>
    <d v="2026-09-11T04:00:00"/>
    <x v="1"/>
    <n v="22.8"/>
    <n v="56.4"/>
    <n v="20.399999999999999"/>
    <n v="0"/>
    <n v="1352.9"/>
    <n v="3663"/>
    <n v="5015.8999999999996"/>
    <n v="0"/>
    <n v="1352.9"/>
    <n v="5015.8999999999996"/>
    <n v="4"/>
  </r>
  <r>
    <d v="2026-09-11T05:00:00"/>
    <x v="1"/>
    <n v="23.6"/>
    <n v="17.7"/>
    <n v="10.1"/>
    <n v="0"/>
    <n v="163.1"/>
    <n v="4000"/>
    <n v="4949.2"/>
    <n v="1"/>
    <n v="163.1"/>
    <n v="4163.1000000000004"/>
    <n v="5"/>
  </r>
  <r>
    <d v="2026-09-11T06:00:00"/>
    <x v="1"/>
    <n v="24.8"/>
    <n v="37.700000000000003"/>
    <n v="11.6"/>
    <n v="258.39999999999998"/>
    <n v="252.5"/>
    <n v="4000"/>
    <n v="5054.3"/>
    <n v="1"/>
    <n v="510.9"/>
    <n v="4510.8999999999996"/>
    <n v="6"/>
  </r>
  <r>
    <d v="2026-09-11T07:00:00"/>
    <x v="1"/>
    <n v="24.7"/>
    <n v="67.3"/>
    <n v="14.9"/>
    <n v="388.2"/>
    <n v="526.70000000000005"/>
    <n v="3807.4"/>
    <n v="4722.3"/>
    <n v="0"/>
    <n v="914.90000000000009"/>
    <n v="4722.3"/>
    <n v="7"/>
  </r>
  <r>
    <d v="2026-09-11T08:00:00"/>
    <x v="1"/>
    <n v="26"/>
    <n v="45.2"/>
    <n v="8.6999999999999993"/>
    <n v="681.7"/>
    <n v="105.3"/>
    <n v="4000"/>
    <n v="5025.1000000000004"/>
    <n v="1"/>
    <n v="787"/>
    <n v="4787"/>
    <n v="8"/>
  </r>
  <r>
    <d v="2026-09-11T09:00:00"/>
    <x v="1"/>
    <n v="27.2"/>
    <n v="57.3"/>
    <n v="9.4"/>
    <n v="769.6"/>
    <n v="131.6"/>
    <n v="4000"/>
    <n v="5054.8"/>
    <n v="1"/>
    <n v="901.2"/>
    <n v="4901.2"/>
    <n v="9"/>
  </r>
  <r>
    <d v="2026-09-11T10:00:00"/>
    <x v="1"/>
    <n v="28.6"/>
    <n v="33"/>
    <n v="7.7"/>
    <n v="1083.5999999999999"/>
    <n v="72.7"/>
    <n v="4000"/>
    <n v="6827"/>
    <n v="1"/>
    <n v="1156.3"/>
    <n v="5156.3"/>
    <n v="10"/>
  </r>
  <r>
    <d v="2026-09-11T11:00:00"/>
    <x v="1"/>
    <n v="27.5"/>
    <n v="71.5"/>
    <n v="15.1"/>
    <n v="835"/>
    <n v="549.20000000000005"/>
    <n v="4000"/>
    <n v="7254"/>
    <n v="1"/>
    <n v="1384.2"/>
    <n v="5384.2"/>
    <n v="11"/>
  </r>
  <r>
    <d v="2026-09-11T12:00:00"/>
    <x v="1"/>
    <n v="26.6"/>
    <n v="75.3"/>
    <n v="13.3"/>
    <n v="822.3"/>
    <n v="377"/>
    <n v="4000"/>
    <n v="7252.5"/>
    <n v="1"/>
    <n v="1199.3"/>
    <n v="5199.3"/>
    <n v="12"/>
  </r>
  <r>
    <d v="2026-09-11T13:00:00"/>
    <x v="1"/>
    <n v="28"/>
    <n v="0.6"/>
    <n v="14"/>
    <n v="1457.2"/>
    <n v="443.1"/>
    <n v="4000"/>
    <n v="7094.6"/>
    <n v="1"/>
    <n v="1900.3000000000002"/>
    <n v="5900.3"/>
    <n v="13"/>
  </r>
  <r>
    <d v="2026-09-11T14:00:00"/>
    <x v="1"/>
    <n v="26.1"/>
    <n v="6.9"/>
    <n v="17.600000000000001"/>
    <n v="1295.2"/>
    <n v="866.9"/>
    <n v="4000"/>
    <n v="6995.6"/>
    <n v="1"/>
    <n v="2162.1"/>
    <n v="6162.1"/>
    <n v="14"/>
  </r>
  <r>
    <d v="2026-09-11T15:00:00"/>
    <x v="1"/>
    <n v="28.4"/>
    <n v="31.6"/>
    <n v="3.5"/>
    <n v="950.4"/>
    <n v="6.6"/>
    <n v="3898.6"/>
    <n v="4855.6000000000004"/>
    <n v="0"/>
    <n v="957"/>
    <n v="4855.6000000000004"/>
    <n v="15"/>
  </r>
  <r>
    <d v="2026-09-11T16:00:00"/>
    <x v="1"/>
    <n v="27.2"/>
    <n v="41.1"/>
    <n v="9.3000000000000007"/>
    <n v="704.6"/>
    <n v="127"/>
    <n v="3950.9"/>
    <n v="4782.5"/>
    <n v="0"/>
    <n v="831.6"/>
    <n v="4782.5"/>
    <n v="16"/>
  </r>
  <r>
    <d v="2026-09-11T17:00:00"/>
    <x v="1"/>
    <n v="25.5"/>
    <n v="72.900000000000006"/>
    <n v="19.2"/>
    <n v="366"/>
    <n v="1140"/>
    <n v="3468"/>
    <n v="4974"/>
    <n v="0"/>
    <n v="1506"/>
    <n v="4974"/>
    <n v="17"/>
  </r>
  <r>
    <d v="2026-09-11T18:00:00"/>
    <x v="1"/>
    <n v="22.7"/>
    <n v="34.700000000000003"/>
    <n v="13.3"/>
    <n v="264.39999999999998"/>
    <n v="376.5"/>
    <n v="4000"/>
    <n v="7646"/>
    <n v="1"/>
    <n v="640.9"/>
    <n v="4640.8999999999996"/>
    <n v="18"/>
  </r>
  <r>
    <d v="2026-09-11T19:00:00"/>
    <x v="1"/>
    <n v="22"/>
    <n v="53.6"/>
    <n v="11.8"/>
    <n v="0"/>
    <n v="260"/>
    <n v="4000"/>
    <n v="7555.4"/>
    <n v="1"/>
    <n v="260"/>
    <n v="4260"/>
    <n v="19"/>
  </r>
  <r>
    <d v="2026-09-11T20:00:00"/>
    <x v="1"/>
    <n v="21.2"/>
    <n v="39.200000000000003"/>
    <n v="7.4"/>
    <n v="0"/>
    <n v="64.3"/>
    <n v="4000"/>
    <n v="7704.9"/>
    <n v="1"/>
    <n v="64.3"/>
    <n v="4064.3"/>
    <n v="20"/>
  </r>
  <r>
    <d v="2026-09-11T21:00:00"/>
    <x v="1"/>
    <n v="22.2"/>
    <n v="0"/>
    <n v="7.4"/>
    <n v="0"/>
    <n v="63.6"/>
    <n v="4000"/>
    <n v="7833.5"/>
    <n v="1"/>
    <n v="63.6"/>
    <n v="4063.6"/>
    <n v="21"/>
  </r>
  <r>
    <d v="2026-09-11T22:00:00"/>
    <x v="1"/>
    <n v="19.899999999999999"/>
    <n v="42.9"/>
    <n v="4.8"/>
    <n v="0"/>
    <n v="17.2"/>
    <n v="4000"/>
    <n v="4725.5"/>
    <n v="1"/>
    <n v="17.2"/>
    <n v="4017.2"/>
    <n v="22"/>
  </r>
  <r>
    <d v="2026-09-11T23:00:00"/>
    <x v="1"/>
    <n v="19.100000000000001"/>
    <n v="50.2"/>
    <n v="12.3"/>
    <n v="0"/>
    <n v="301.10000000000002"/>
    <n v="4000"/>
    <n v="4811.7"/>
    <n v="1"/>
    <n v="301.10000000000002"/>
    <n v="4301.1000000000004"/>
    <n v="23"/>
  </r>
  <r>
    <d v="2026-09-12T00:00:00"/>
    <x v="1"/>
    <n v="20.2"/>
    <n v="31.3"/>
    <n v="10.6"/>
    <n v="0"/>
    <n v="192.8"/>
    <n v="4000"/>
    <n v="4211.7"/>
    <n v="1"/>
    <n v="192.8"/>
    <n v="4192.8"/>
    <n v="0"/>
  </r>
  <r>
    <d v="2026-09-12T01:00:00"/>
    <x v="1"/>
    <n v="21.5"/>
    <n v="12.5"/>
    <n v="16.100000000000001"/>
    <n v="0"/>
    <n v="673.8"/>
    <n v="3897.2"/>
    <n v="4571"/>
    <n v="0"/>
    <n v="673.8"/>
    <n v="4571"/>
    <n v="1"/>
  </r>
  <r>
    <d v="2026-09-12T02:00:00"/>
    <x v="1"/>
    <n v="19.399999999999999"/>
    <n v="65.5"/>
    <n v="19.7"/>
    <n v="0"/>
    <n v="1221.3"/>
    <n v="3220.4"/>
    <n v="4441.7"/>
    <n v="0"/>
    <n v="1221.3"/>
    <n v="4441.7"/>
    <n v="2"/>
  </r>
  <r>
    <d v="2026-09-12T03:00:00"/>
    <x v="1"/>
    <n v="20.3"/>
    <n v="70.400000000000006"/>
    <n v="13.4"/>
    <n v="0"/>
    <n v="381.3"/>
    <n v="3770.3"/>
    <n v="4151.6000000000004"/>
    <n v="0"/>
    <n v="381.3"/>
    <n v="4151.6000000000004"/>
    <n v="3"/>
  </r>
  <r>
    <d v="2026-09-12T04:00:00"/>
    <x v="1"/>
    <n v="22.3"/>
    <n v="54.8"/>
    <n v="5.4"/>
    <n v="0"/>
    <n v="24.7"/>
    <n v="4000"/>
    <n v="4402.7"/>
    <n v="1"/>
    <n v="24.7"/>
    <n v="4024.7"/>
    <n v="4"/>
  </r>
  <r>
    <d v="2026-09-12T05:00:00"/>
    <x v="1"/>
    <n v="24.1"/>
    <n v="39.299999999999997"/>
    <n v="11.8"/>
    <n v="0"/>
    <n v="261.7"/>
    <n v="4000"/>
    <n v="4477.1000000000004"/>
    <n v="1"/>
    <n v="261.7"/>
    <n v="4261.7"/>
    <n v="5"/>
  </r>
  <r>
    <d v="2026-09-12T06:00:00"/>
    <x v="1"/>
    <n v="24.5"/>
    <n v="59.3"/>
    <n v="11.7"/>
    <n v="215"/>
    <n v="255.5"/>
    <n v="3619.8"/>
    <n v="4090.3"/>
    <n v="0"/>
    <n v="470.5"/>
    <n v="4090.3"/>
    <n v="6"/>
  </r>
  <r>
    <d v="2026-09-12T07:00:00"/>
    <x v="1"/>
    <n v="24.7"/>
    <n v="59.1"/>
    <n v="6.9"/>
    <n v="420"/>
    <n v="52.6"/>
    <n v="4000"/>
    <n v="4488.7"/>
    <n v="1"/>
    <n v="472.6"/>
    <n v="4472.6000000000004"/>
    <n v="7"/>
  </r>
  <r>
    <d v="2026-09-12T08:00:00"/>
    <x v="1"/>
    <n v="25.8"/>
    <n v="50.6"/>
    <n v="10.199999999999999"/>
    <n v="651.1"/>
    <n v="167.4"/>
    <n v="3498"/>
    <n v="4316.5"/>
    <n v="0"/>
    <n v="818.5"/>
    <n v="4316.5"/>
    <n v="8"/>
  </r>
  <r>
    <d v="2026-09-12T09:00:00"/>
    <x v="1"/>
    <n v="27.7"/>
    <n v="34.1"/>
    <n v="4"/>
    <n v="932.9"/>
    <n v="10"/>
    <n v="3357.4"/>
    <n v="4300.3"/>
    <n v="0"/>
    <n v="942.9"/>
    <n v="4300.3"/>
    <n v="9"/>
  </r>
  <r>
    <d v="2026-09-12T10:00:00"/>
    <x v="1"/>
    <n v="28.8"/>
    <n v="12.7"/>
    <n v="15.4"/>
    <n v="1248.5"/>
    <n v="589.9"/>
    <n v="4000"/>
    <n v="6502.4"/>
    <n v="1"/>
    <n v="1838.4"/>
    <n v="5838.4"/>
    <n v="10"/>
  </r>
  <r>
    <d v="2026-09-12T11:00:00"/>
    <x v="1"/>
    <n v="28.1"/>
    <n v="52.4"/>
    <n v="10.8"/>
    <n v="1003"/>
    <n v="203.1"/>
    <n v="4000"/>
    <n v="6164.6"/>
    <n v="1"/>
    <n v="1206.0999999999999"/>
    <n v="5206.1000000000004"/>
    <n v="11"/>
  </r>
  <r>
    <d v="2026-09-12T12:00:00"/>
    <x v="1"/>
    <n v="27.3"/>
    <n v="22.1"/>
    <n v="7.8"/>
    <n v="1301.0999999999999"/>
    <n v="77.099999999999994"/>
    <n v="4000"/>
    <n v="6122.4"/>
    <n v="1"/>
    <n v="1378.1999999999998"/>
    <n v="5378.2"/>
    <n v="12"/>
  </r>
  <r>
    <d v="2026-09-12T13:00:00"/>
    <x v="1"/>
    <n v="27.1"/>
    <n v="62.1"/>
    <n v="19.399999999999999"/>
    <n v="917.9"/>
    <n v="1174.8"/>
    <n v="4000"/>
    <n v="6229.9"/>
    <n v="1"/>
    <n v="2092.6999999999998"/>
    <n v="6092.7"/>
    <n v="13"/>
  </r>
  <r>
    <d v="2026-09-12T14:00:00"/>
    <x v="1"/>
    <n v="27.7"/>
    <n v="57.5"/>
    <n v="14.4"/>
    <n v="885.3"/>
    <n v="473.8"/>
    <n v="4000"/>
    <n v="6153"/>
    <n v="1"/>
    <n v="1359.1"/>
    <n v="5359.1"/>
    <n v="14"/>
  </r>
  <r>
    <d v="2026-09-12T15:00:00"/>
    <x v="1"/>
    <n v="27.6"/>
    <n v="57.1"/>
    <n v="5.8"/>
    <n v="771.3"/>
    <n v="31.4"/>
    <n v="3528.7"/>
    <n v="4331.3999999999996"/>
    <n v="0"/>
    <n v="802.69999999999993"/>
    <n v="4331.3999999999996"/>
    <n v="15"/>
  </r>
  <r>
    <d v="2026-09-12T16:00:00"/>
    <x v="1"/>
    <n v="26.9"/>
    <n v="25.9"/>
    <n v="12.2"/>
    <n v="789.8"/>
    <n v="289.8"/>
    <n v="3370.8"/>
    <n v="4450.3999999999996"/>
    <n v="0"/>
    <n v="1079.5999999999999"/>
    <n v="4450.3999999999996"/>
    <n v="16"/>
  </r>
  <r>
    <d v="2026-09-12T17:00:00"/>
    <x v="1"/>
    <n v="24.8"/>
    <n v="71.8"/>
    <n v="23.8"/>
    <n v="370.4"/>
    <n v="2162.3000000000002"/>
    <n v="1889.8"/>
    <n v="4422.5"/>
    <n v="0"/>
    <n v="2532.7000000000003"/>
    <n v="4422.5"/>
    <n v="17"/>
  </r>
  <r>
    <d v="2026-09-12T18:00:00"/>
    <x v="1"/>
    <n v="22.6"/>
    <n v="52.6"/>
    <n v="15.6"/>
    <n v="228.4"/>
    <n v="608.29999999999995"/>
    <n v="4000"/>
    <n v="6602.1"/>
    <n v="1"/>
    <n v="836.69999999999993"/>
    <n v="4836.7"/>
    <n v="18"/>
  </r>
  <r>
    <d v="2026-09-12T19:00:00"/>
    <x v="1"/>
    <n v="24.4"/>
    <n v="11.5"/>
    <n v="15.5"/>
    <n v="0"/>
    <n v="591.70000000000005"/>
    <n v="4000"/>
    <n v="6685.4"/>
    <n v="1"/>
    <n v="591.70000000000005"/>
    <n v="4591.7"/>
    <n v="19"/>
  </r>
  <r>
    <d v="2026-09-12T20:00:00"/>
    <x v="1"/>
    <n v="23.7"/>
    <n v="94.8"/>
    <n v="8.1999999999999993"/>
    <n v="0"/>
    <n v="87.1"/>
    <n v="4000"/>
    <n v="6629.1"/>
    <n v="1"/>
    <n v="87.1"/>
    <n v="4087.1"/>
    <n v="20"/>
  </r>
  <r>
    <d v="2026-09-12T21:00:00"/>
    <x v="1"/>
    <n v="22"/>
    <n v="35.299999999999997"/>
    <n v="11.8"/>
    <n v="0"/>
    <n v="261.10000000000002"/>
    <n v="4000"/>
    <n v="6637.6"/>
    <n v="1"/>
    <n v="261.10000000000002"/>
    <n v="4261.1000000000004"/>
    <n v="21"/>
  </r>
  <r>
    <d v="2026-09-12T22:00:00"/>
    <x v="1"/>
    <n v="18.600000000000001"/>
    <n v="44.7"/>
    <n v="8.6"/>
    <n v="0"/>
    <n v="100.1"/>
    <n v="4000"/>
    <n v="4323.8"/>
    <n v="1"/>
    <n v="100.1"/>
    <n v="4100.1000000000004"/>
    <n v="22"/>
  </r>
  <r>
    <d v="2026-09-12T23:00:00"/>
    <x v="1"/>
    <n v="21.6"/>
    <n v="13.6"/>
    <n v="16.100000000000001"/>
    <n v="0"/>
    <n v="663.5"/>
    <n v="3582.5"/>
    <n v="4246"/>
    <n v="0"/>
    <n v="663.5"/>
    <n v="4246"/>
    <n v="23"/>
  </r>
  <r>
    <d v="2026-09-13T00:00:00"/>
    <x v="1"/>
    <n v="19.7"/>
    <n v="64.8"/>
    <n v="13.7"/>
    <n v="0"/>
    <n v="411.4"/>
    <n v="3866.8"/>
    <n v="4278.2"/>
    <n v="0"/>
    <n v="411.4"/>
    <n v="4278.2"/>
    <n v="0"/>
  </r>
  <r>
    <d v="2026-09-13T01:00:00"/>
    <x v="1"/>
    <n v="21.1"/>
    <n v="36.700000000000003"/>
    <n v="8.9"/>
    <n v="0"/>
    <n v="114.3"/>
    <n v="4000"/>
    <n v="4405.6000000000004"/>
    <n v="1"/>
    <n v="114.3"/>
    <n v="4114.3"/>
    <n v="1"/>
  </r>
  <r>
    <d v="2026-09-13T02:00:00"/>
    <x v="1"/>
    <n v="19.7"/>
    <n v="100"/>
    <n v="18.2"/>
    <n v="0"/>
    <n v="968.3"/>
    <n v="3188.9"/>
    <n v="4157.2"/>
    <n v="0"/>
    <n v="968.3"/>
    <n v="4157.2"/>
    <n v="2"/>
  </r>
  <r>
    <d v="2026-09-13T03:00:00"/>
    <x v="1"/>
    <n v="19.8"/>
    <n v="57"/>
    <n v="14.7"/>
    <n v="0"/>
    <n v="512"/>
    <n v="3605.3"/>
    <n v="4117.3"/>
    <n v="0"/>
    <n v="512"/>
    <n v="4117.3"/>
    <n v="3"/>
  </r>
  <r>
    <d v="2026-09-13T04:00:00"/>
    <x v="1"/>
    <n v="21.7"/>
    <n v="41.9"/>
    <n v="13.6"/>
    <n v="0"/>
    <n v="406"/>
    <n v="3996.3"/>
    <n v="4402.3"/>
    <n v="0"/>
    <n v="406"/>
    <n v="4402.3"/>
    <n v="4"/>
  </r>
  <r>
    <d v="2026-09-13T05:00:00"/>
    <x v="1"/>
    <n v="20.7"/>
    <n v="39.299999999999997"/>
    <n v="7.7"/>
    <n v="0"/>
    <n v="74.3"/>
    <n v="4000"/>
    <n v="4332.8999999999996"/>
    <n v="1"/>
    <n v="74.3"/>
    <n v="4074.3"/>
    <n v="5"/>
  </r>
  <r>
    <d v="2026-09-13T06:00:00"/>
    <x v="1"/>
    <n v="27"/>
    <n v="54.2"/>
    <n v="10.4"/>
    <n v="225.3"/>
    <n v="181.7"/>
    <n v="3939.3"/>
    <n v="4346.3"/>
    <n v="0"/>
    <n v="407"/>
    <n v="4346.3"/>
    <n v="6"/>
  </r>
  <r>
    <d v="2026-09-13T07:00:00"/>
    <x v="1"/>
    <n v="25.5"/>
    <n v="55.5"/>
    <n v="15"/>
    <n v="434.1"/>
    <n v="543.70000000000005"/>
    <n v="3480.5"/>
    <n v="4458.3"/>
    <n v="0"/>
    <n v="977.80000000000007"/>
    <n v="4458.3"/>
    <n v="7"/>
  </r>
  <r>
    <d v="2026-09-13T08:00:00"/>
    <x v="1"/>
    <n v="24.9"/>
    <n v="56.8"/>
    <n v="7.4"/>
    <n v="616.29999999999995"/>
    <n v="64"/>
    <n v="3948.2"/>
    <n v="4628.5"/>
    <n v="0"/>
    <n v="680.3"/>
    <n v="4628.5"/>
    <n v="8"/>
  </r>
  <r>
    <d v="2026-09-13T09:00:00"/>
    <x v="1"/>
    <n v="25.9"/>
    <n v="34.6"/>
    <n v="10.5"/>
    <n v="929.5"/>
    <n v="186.5"/>
    <n v="3287.3"/>
    <n v="4403.3"/>
    <n v="0"/>
    <n v="1116"/>
    <n v="4403.3"/>
    <n v="9"/>
  </r>
  <r>
    <d v="2026-09-13T10:00:00"/>
    <x v="1"/>
    <n v="28.4"/>
    <n v="13.9"/>
    <n v="12.3"/>
    <n v="1239.0999999999999"/>
    <n v="295.89999999999998"/>
    <n v="4000"/>
    <n v="6386.4"/>
    <n v="1"/>
    <n v="1535"/>
    <n v="5535"/>
    <n v="10"/>
  </r>
  <r>
    <d v="2026-09-13T11:00:00"/>
    <x v="1"/>
    <n v="26.6"/>
    <n v="39.6"/>
    <n v="10.5"/>
    <n v="1115.2"/>
    <n v="183"/>
    <n v="4000"/>
    <n v="6133.6"/>
    <n v="1"/>
    <n v="1298.2"/>
    <n v="5298.2"/>
    <n v="11"/>
  </r>
  <r>
    <d v="2026-09-13T12:00:00"/>
    <x v="1"/>
    <n v="28.4"/>
    <n v="10.6"/>
    <n v="9.1999999999999993"/>
    <n v="1405"/>
    <n v="123.6"/>
    <n v="4000"/>
    <n v="6604"/>
    <n v="1"/>
    <n v="1528.6"/>
    <n v="5528.6"/>
    <n v="12"/>
  </r>
  <r>
    <d v="2026-09-13T13:00:00"/>
    <x v="1"/>
    <n v="30"/>
    <n v="5.4"/>
    <n v="2.6"/>
    <n v="1415.4"/>
    <n v="2.8"/>
    <n v="4000"/>
    <n v="6393.2"/>
    <n v="1"/>
    <n v="1418.2"/>
    <n v="5418.2"/>
    <n v="13"/>
  </r>
  <r>
    <d v="2026-09-13T14:00:00"/>
    <x v="1"/>
    <n v="27.9"/>
    <n v="23.3"/>
    <n v="14.7"/>
    <n v="1162.5999999999999"/>
    <n v="505.5"/>
    <n v="4000"/>
    <n v="6520.6"/>
    <n v="1"/>
    <n v="1668.1"/>
    <n v="5668.1"/>
    <n v="14"/>
  </r>
  <r>
    <d v="2026-09-13T15:00:00"/>
    <x v="1"/>
    <n v="26.8"/>
    <n v="53.2"/>
    <n v="16.600000000000001"/>
    <n v="798.4"/>
    <n v="734.7"/>
    <n v="2391.5"/>
    <n v="3924.6"/>
    <n v="0"/>
    <n v="1533.1"/>
    <n v="3924.6"/>
    <n v="15"/>
  </r>
  <r>
    <d v="2026-09-13T16:00:00"/>
    <x v="1"/>
    <n v="26.1"/>
    <n v="21.9"/>
    <n v="13.3"/>
    <n v="812.5"/>
    <n v="374.5"/>
    <n v="2980.9"/>
    <n v="4167.8999999999996"/>
    <n v="0"/>
    <n v="1187"/>
    <n v="4167.8999999999996"/>
    <n v="16"/>
  </r>
  <r>
    <d v="2026-09-13T17:00:00"/>
    <x v="1"/>
    <n v="24.6"/>
    <n v="20.100000000000001"/>
    <n v="15.3"/>
    <n v="572.29999999999995"/>
    <n v="568.1"/>
    <n v="3045.3"/>
    <n v="4185.7"/>
    <n v="0"/>
    <n v="1140.4000000000001"/>
    <n v="4185.7000000000007"/>
    <n v="17"/>
  </r>
  <r>
    <d v="2026-09-13T18:00:00"/>
    <x v="1"/>
    <n v="23.8"/>
    <n v="46"/>
    <n v="4.8"/>
    <n v="241.7"/>
    <n v="17.2"/>
    <n v="4000"/>
    <n v="6848.8"/>
    <n v="1"/>
    <n v="258.89999999999998"/>
    <n v="4258.8999999999996"/>
    <n v="18"/>
  </r>
  <r>
    <d v="2026-09-13T19:00:00"/>
    <x v="1"/>
    <n v="22.9"/>
    <n v="100"/>
    <n v="6.4"/>
    <n v="0"/>
    <n v="42.7"/>
    <n v="4000"/>
    <n v="6675"/>
    <n v="1"/>
    <n v="42.7"/>
    <n v="4042.7"/>
    <n v="19"/>
  </r>
  <r>
    <d v="2026-09-13T20:00:00"/>
    <x v="1"/>
    <n v="23"/>
    <n v="52"/>
    <n v="20.8"/>
    <n v="0"/>
    <n v="1438.4"/>
    <n v="4000"/>
    <n v="6939.6"/>
    <n v="1"/>
    <n v="1438.4"/>
    <n v="5438.4"/>
    <n v="20"/>
  </r>
  <r>
    <d v="2026-09-13T21:00:00"/>
    <x v="1"/>
    <n v="21.6"/>
    <n v="43.7"/>
    <n v="18.100000000000001"/>
    <n v="0"/>
    <n v="951.6"/>
    <n v="4000"/>
    <n v="6775.8"/>
    <n v="1"/>
    <n v="951.6"/>
    <n v="4951.6000000000004"/>
    <n v="21"/>
  </r>
  <r>
    <d v="2026-09-13T22:00:00"/>
    <x v="1"/>
    <n v="19.899999999999999"/>
    <n v="12"/>
    <n v="11"/>
    <n v="0"/>
    <n v="212.1"/>
    <n v="4000"/>
    <n v="4484.5"/>
    <n v="1"/>
    <n v="212.1"/>
    <n v="4212.1000000000004"/>
    <n v="22"/>
  </r>
  <r>
    <d v="2026-09-13T23:00:00"/>
    <x v="1"/>
    <n v="20.100000000000001"/>
    <n v="75.900000000000006"/>
    <n v="9.6999999999999993"/>
    <n v="0"/>
    <n v="146.6"/>
    <n v="4000"/>
    <n v="4200"/>
    <n v="1"/>
    <n v="146.6"/>
    <n v="4146.6000000000004"/>
    <n v="23"/>
  </r>
  <r>
    <d v="2026-09-14T00:00:00"/>
    <x v="1"/>
    <n v="20.100000000000001"/>
    <n v="66.2"/>
    <n v="0.8"/>
    <n v="0"/>
    <n v="0.1"/>
    <n v="4000"/>
    <n v="4943.6000000000004"/>
    <n v="1"/>
    <n v="0.1"/>
    <n v="4000.1"/>
    <n v="0"/>
  </r>
  <r>
    <d v="2026-09-14T01:00:00"/>
    <x v="1"/>
    <n v="20.3"/>
    <n v="75"/>
    <n v="9.5"/>
    <n v="0"/>
    <n v="138.9"/>
    <n v="4000"/>
    <n v="4859"/>
    <n v="1"/>
    <n v="138.9"/>
    <n v="4138.8999999999996"/>
    <n v="1"/>
  </r>
  <r>
    <d v="2026-09-14T02:00:00"/>
    <x v="1"/>
    <n v="21.2"/>
    <n v="29.1"/>
    <n v="6.1"/>
    <n v="0"/>
    <n v="35.5"/>
    <n v="4000"/>
    <n v="4668.5"/>
    <n v="1"/>
    <n v="35.5"/>
    <n v="4035.5"/>
    <n v="2"/>
  </r>
  <r>
    <d v="2026-09-14T03:00:00"/>
    <x v="1"/>
    <n v="21"/>
    <n v="29.9"/>
    <n v="1"/>
    <n v="0"/>
    <n v="0.1"/>
    <n v="4000"/>
    <n v="4856.3"/>
    <n v="1"/>
    <n v="0.1"/>
    <n v="4000.1"/>
    <n v="3"/>
  </r>
  <r>
    <d v="2026-09-14T04:00:00"/>
    <x v="1"/>
    <n v="23.3"/>
    <n v="61.3"/>
    <n v="6.3"/>
    <n v="0"/>
    <n v="40.200000000000003"/>
    <n v="4000"/>
    <n v="5084.6000000000004"/>
    <n v="1"/>
    <n v="40.200000000000003"/>
    <n v="4040.2"/>
    <n v="4"/>
  </r>
  <r>
    <d v="2026-09-14T05:00:00"/>
    <x v="1"/>
    <n v="23"/>
    <n v="60"/>
    <n v="15.3"/>
    <n v="0"/>
    <n v="577.79999999999995"/>
    <n v="4000"/>
    <n v="4919.8"/>
    <n v="1"/>
    <n v="577.79999999999995"/>
    <n v="4577.8"/>
    <n v="5"/>
  </r>
  <r>
    <d v="2026-09-14T06:00:00"/>
    <x v="1"/>
    <n v="24.1"/>
    <n v="56.4"/>
    <n v="19.3"/>
    <n v="220.8"/>
    <n v="1146.5"/>
    <n v="3472.6"/>
    <n v="4839.8999999999996"/>
    <n v="0"/>
    <n v="1367.3"/>
    <n v="4839.8999999999996"/>
    <n v="6"/>
  </r>
  <r>
    <d v="2026-09-14T07:00:00"/>
    <x v="1"/>
    <n v="25.8"/>
    <n v="47.1"/>
    <n v="19.100000000000001"/>
    <n v="466.9"/>
    <n v="1106.5"/>
    <n v="3482.3"/>
    <n v="5055.7"/>
    <n v="0"/>
    <n v="1573.4"/>
    <n v="5055.7000000000007"/>
    <n v="7"/>
  </r>
  <r>
    <d v="2026-09-14T08:00:00"/>
    <x v="1"/>
    <n v="25.1"/>
    <n v="80.099999999999994"/>
    <n v="15.5"/>
    <n v="485.8"/>
    <n v="594.6"/>
    <n v="3931.1"/>
    <n v="5011.5"/>
    <n v="0"/>
    <n v="1080.4000000000001"/>
    <n v="5011.5"/>
    <n v="8"/>
  </r>
  <r>
    <d v="2026-09-14T09:00:00"/>
    <x v="1"/>
    <n v="26.3"/>
    <n v="52.4"/>
    <n v="14.3"/>
    <n v="803.9"/>
    <n v="469.4"/>
    <n v="3610.2"/>
    <n v="4883.5"/>
    <n v="0"/>
    <n v="1273.3"/>
    <n v="4883.5"/>
    <n v="9"/>
  </r>
  <r>
    <d v="2026-09-14T10:00:00"/>
    <x v="1"/>
    <n v="27.8"/>
    <n v="87.5"/>
    <n v="17.399999999999999"/>
    <n v="641.9"/>
    <n v="836.8"/>
    <n v="4000"/>
    <n v="7179.6"/>
    <n v="1"/>
    <n v="1478.6999999999998"/>
    <n v="5478.7"/>
    <n v="10"/>
  </r>
  <r>
    <d v="2026-09-14T11:00:00"/>
    <x v="1"/>
    <n v="28.8"/>
    <n v="19.2"/>
    <n v="14"/>
    <n v="1294"/>
    <n v="438.1"/>
    <n v="4000"/>
    <n v="7178.6"/>
    <n v="1"/>
    <n v="1732.1"/>
    <n v="5732.1"/>
    <n v="11"/>
  </r>
  <r>
    <d v="2026-09-14T12:00:00"/>
    <x v="1"/>
    <n v="27.8"/>
    <n v="23.8"/>
    <n v="8.6999999999999993"/>
    <n v="1285.7"/>
    <n v="106.8"/>
    <n v="4000"/>
    <n v="7421.4"/>
    <n v="1"/>
    <n v="1392.5"/>
    <n v="5392.5"/>
    <n v="12"/>
  </r>
  <r>
    <d v="2026-09-14T13:00:00"/>
    <x v="1"/>
    <n v="27.1"/>
    <n v="35.700000000000003"/>
    <n v="5"/>
    <n v="1148.8"/>
    <n v="19.7"/>
    <n v="4000"/>
    <n v="6986.6"/>
    <n v="1"/>
    <n v="1168.5"/>
    <n v="5168.5"/>
    <n v="13"/>
  </r>
  <r>
    <d v="2026-09-14T14:00:00"/>
    <x v="1"/>
    <n v="28.4"/>
    <n v="22.3"/>
    <n v="19.600000000000001"/>
    <n v="1170.5999999999999"/>
    <n v="1204.0999999999999"/>
    <n v="4000"/>
    <n v="7152.3"/>
    <n v="1"/>
    <n v="2374.6999999999998"/>
    <n v="6374.7"/>
    <n v="14"/>
  </r>
  <r>
    <d v="2026-09-14T15:00:00"/>
    <x v="1"/>
    <n v="27.9"/>
    <n v="28.6"/>
    <n v="16.3"/>
    <n v="971.8"/>
    <n v="689.4"/>
    <n v="3365.4"/>
    <n v="5026.6000000000004"/>
    <n v="0"/>
    <n v="1661.1999999999998"/>
    <n v="5026.6000000000004"/>
    <n v="15"/>
  </r>
  <r>
    <d v="2026-09-14T16:00:00"/>
    <x v="1"/>
    <n v="26.9"/>
    <n v="49.3"/>
    <n v="14.8"/>
    <n v="658.6"/>
    <n v="515.1"/>
    <n v="3612.5"/>
    <n v="4786.2"/>
    <n v="0"/>
    <n v="1173.7"/>
    <n v="4786.2"/>
    <n v="16"/>
  </r>
  <r>
    <d v="2026-09-14T17:00:00"/>
    <x v="1"/>
    <n v="24.1"/>
    <n v="59.9"/>
    <n v="7.3"/>
    <n v="416.8"/>
    <n v="61.2"/>
    <n v="4000"/>
    <n v="4773.7"/>
    <n v="1"/>
    <n v="478"/>
    <n v="4478"/>
    <n v="17"/>
  </r>
  <r>
    <d v="2026-09-14T18:00:00"/>
    <x v="1"/>
    <n v="22.6"/>
    <n v="66.2"/>
    <n v="5.8"/>
    <n v="201.2"/>
    <n v="31.8"/>
    <n v="4000"/>
    <n v="7769.5"/>
    <n v="1"/>
    <n v="233"/>
    <n v="4233"/>
    <n v="18"/>
  </r>
  <r>
    <d v="2026-09-14T19:00:00"/>
    <x v="1"/>
    <n v="23.6"/>
    <n v="27.6"/>
    <n v="14.9"/>
    <n v="0"/>
    <n v="530.4"/>
    <n v="4000"/>
    <n v="7782.8"/>
    <n v="1"/>
    <n v="530.4"/>
    <n v="4530.3999999999996"/>
    <n v="19"/>
  </r>
  <r>
    <d v="2026-09-14T20:00:00"/>
    <x v="1"/>
    <n v="21.5"/>
    <n v="19.8"/>
    <n v="2.2000000000000002"/>
    <n v="0"/>
    <n v="1.7"/>
    <n v="4000"/>
    <n v="7739.1"/>
    <n v="1"/>
    <n v="1.7"/>
    <n v="4001.7"/>
    <n v="20"/>
  </r>
  <r>
    <d v="2026-09-14T21:00:00"/>
    <x v="1"/>
    <n v="19.600000000000001"/>
    <n v="47.4"/>
    <n v="10.7"/>
    <n v="0"/>
    <n v="195.1"/>
    <n v="4000"/>
    <n v="7752.4"/>
    <n v="1"/>
    <n v="195.1"/>
    <n v="4195.1000000000004"/>
    <n v="21"/>
  </r>
  <r>
    <d v="2026-09-14T22:00:00"/>
    <x v="1"/>
    <n v="20.2"/>
    <n v="36.799999999999997"/>
    <n v="15.7"/>
    <n v="0"/>
    <n v="614.4"/>
    <n v="4000"/>
    <n v="5051.8999999999996"/>
    <n v="1"/>
    <n v="614.4"/>
    <n v="4614.3999999999996"/>
    <n v="22"/>
  </r>
  <r>
    <d v="2026-09-14T23:00:00"/>
    <x v="1"/>
    <n v="20.5"/>
    <n v="56.7"/>
    <n v="4.3"/>
    <n v="0"/>
    <n v="12.9"/>
    <n v="4000"/>
    <n v="5000.3"/>
    <n v="1"/>
    <n v="12.9"/>
    <n v="4012.9"/>
    <n v="23"/>
  </r>
  <r>
    <d v="2026-09-01T00:00:00"/>
    <x v="2"/>
    <n v="18.2"/>
    <n v="29.5"/>
    <n v="5.3"/>
    <n v="0"/>
    <n v="14"/>
    <n v="4000"/>
    <n v="5063.5"/>
    <n v="1"/>
    <n v="14"/>
    <n v="4014"/>
    <n v="0"/>
  </r>
  <r>
    <d v="2026-09-01T01:00:00"/>
    <x v="2"/>
    <n v="16.899999999999999"/>
    <n v="70"/>
    <n v="10.3"/>
    <n v="0"/>
    <n v="104.7"/>
    <n v="4000"/>
    <n v="4944.1000000000004"/>
    <n v="1"/>
    <n v="104.7"/>
    <n v="4104.7"/>
    <n v="1"/>
  </r>
  <r>
    <d v="2026-09-01T02:00:00"/>
    <x v="2"/>
    <n v="15"/>
    <n v="78.7"/>
    <n v="10"/>
    <n v="0"/>
    <n v="95.6"/>
    <n v="4000"/>
    <n v="5112.3"/>
    <n v="1"/>
    <n v="95.6"/>
    <n v="4095.6"/>
    <n v="2"/>
  </r>
  <r>
    <d v="2026-09-01T03:00:00"/>
    <x v="2"/>
    <n v="20.6"/>
    <n v="100"/>
    <n v="9.1"/>
    <n v="0"/>
    <n v="71.7"/>
    <n v="4000"/>
    <n v="5008"/>
    <n v="1"/>
    <n v="71.7"/>
    <n v="4071.7"/>
    <n v="3"/>
  </r>
  <r>
    <d v="2026-09-01T04:00:00"/>
    <x v="2"/>
    <n v="21.6"/>
    <n v="64.3"/>
    <n v="6.1"/>
    <n v="0"/>
    <n v="21.5"/>
    <n v="4000"/>
    <n v="4987.3999999999996"/>
    <n v="1"/>
    <n v="21.5"/>
    <n v="4021.5"/>
    <n v="4"/>
  </r>
  <r>
    <d v="2026-09-01T05:00:00"/>
    <x v="2"/>
    <n v="23.8"/>
    <n v="35.4"/>
    <n v="10.6"/>
    <n v="0"/>
    <n v="114.2"/>
    <n v="4000"/>
    <n v="4897.3"/>
    <n v="1"/>
    <n v="114.2"/>
    <n v="4114.2"/>
    <n v="5"/>
  </r>
  <r>
    <d v="2026-09-01T06:00:00"/>
    <x v="2"/>
    <n v="19.2"/>
    <n v="71"/>
    <n v="0"/>
    <n v="192.2"/>
    <n v="0"/>
    <n v="4000"/>
    <n v="5025"/>
    <n v="1"/>
    <n v="192.2"/>
    <n v="4192.2"/>
    <n v="6"/>
  </r>
  <r>
    <d v="2026-09-01T07:00:00"/>
    <x v="2"/>
    <n v="25.1"/>
    <n v="42.2"/>
    <n v="6.4"/>
    <n v="574.6"/>
    <n v="24.8"/>
    <n v="4000"/>
    <n v="5043.8"/>
    <n v="1"/>
    <n v="599.4"/>
    <n v="4599.3999999999996"/>
    <n v="7"/>
  </r>
  <r>
    <d v="2026-09-01T08:00:00"/>
    <x v="2"/>
    <n v="23.5"/>
    <n v="28.2"/>
    <n v="10.4"/>
    <n v="965.3"/>
    <n v="109.4"/>
    <n v="4000"/>
    <n v="5243.1"/>
    <n v="1"/>
    <n v="1074.7"/>
    <n v="5074.7"/>
    <n v="8"/>
  </r>
  <r>
    <d v="2026-09-01T09:00:00"/>
    <x v="2"/>
    <n v="25.5"/>
    <n v="90.3"/>
    <n v="10"/>
    <n v="433.5"/>
    <n v="96.7"/>
    <n v="4000"/>
    <n v="5244.4"/>
    <n v="1"/>
    <n v="530.20000000000005"/>
    <n v="4530.2"/>
    <n v="9"/>
  </r>
  <r>
    <d v="2026-09-01T10:00:00"/>
    <x v="2"/>
    <n v="25.4"/>
    <n v="96.9"/>
    <n v="11.1"/>
    <n v="404.7"/>
    <n v="129.69999999999999"/>
    <n v="4000"/>
    <n v="7038.6"/>
    <n v="1"/>
    <n v="534.4"/>
    <n v="4534.3999999999996"/>
    <n v="10"/>
  </r>
  <r>
    <d v="2026-09-01T11:00:00"/>
    <x v="2"/>
    <n v="25.1"/>
    <n v="100"/>
    <n v="4.4000000000000004"/>
    <n v="390"/>
    <n v="8.1999999999999993"/>
    <n v="4000"/>
    <n v="7234.4"/>
    <n v="1"/>
    <n v="398.2"/>
    <n v="4398.2"/>
    <n v="11"/>
  </r>
  <r>
    <d v="2026-09-01T12:00:00"/>
    <x v="2"/>
    <n v="27.7"/>
    <n v="100"/>
    <n v="8.6"/>
    <n v="400"/>
    <n v="60.3"/>
    <n v="4000"/>
    <n v="7099.7"/>
    <n v="1"/>
    <n v="460.3"/>
    <n v="4460.3"/>
    <n v="12"/>
  </r>
  <r>
    <d v="2026-09-01T13:00:00"/>
    <x v="2"/>
    <n v="27.8"/>
    <n v="61.3"/>
    <n v="7.7"/>
    <n v="993.6"/>
    <n v="43.4"/>
    <n v="4000"/>
    <n v="7212.2"/>
    <n v="1"/>
    <n v="1037"/>
    <n v="5037"/>
    <n v="13"/>
  </r>
  <r>
    <d v="2026-09-01T14:00:00"/>
    <x v="2"/>
    <n v="25.7"/>
    <n v="67.2"/>
    <n v="2.5"/>
    <n v="832.6"/>
    <n v="1.6"/>
    <n v="4000"/>
    <n v="6770.6"/>
    <n v="1"/>
    <n v="834.2"/>
    <n v="4834.2"/>
    <n v="14"/>
  </r>
  <r>
    <d v="2026-09-01T15:00:00"/>
    <x v="2"/>
    <n v="25.1"/>
    <n v="100"/>
    <n v="10.7"/>
    <n v="312.7"/>
    <n v="118.2"/>
    <n v="4000"/>
    <n v="5007.8999999999996"/>
    <n v="1"/>
    <n v="430.9"/>
    <n v="4430.8999999999996"/>
    <n v="15"/>
  </r>
  <r>
    <d v="2026-09-01T16:00:00"/>
    <x v="2"/>
    <n v="24.2"/>
    <n v="57.8"/>
    <n v="4.5999999999999996"/>
    <n v="670.6"/>
    <n v="9.6"/>
    <n v="4000"/>
    <n v="4880.1000000000004"/>
    <n v="1"/>
    <n v="680.2"/>
    <n v="4680.2"/>
    <n v="16"/>
  </r>
  <r>
    <d v="2026-09-01T17:00:00"/>
    <x v="2"/>
    <n v="21.8"/>
    <n v="26.1"/>
    <n v="7.9"/>
    <n v="686.7"/>
    <n v="46.8"/>
    <n v="4000"/>
    <n v="4979.3"/>
    <n v="1"/>
    <n v="733.5"/>
    <n v="4733.5"/>
    <n v="17"/>
  </r>
  <r>
    <d v="2026-09-01T18:00:00"/>
    <x v="2"/>
    <n v="20.399999999999999"/>
    <n v="86.9"/>
    <n v="4.0999999999999996"/>
    <n v="135.80000000000001"/>
    <n v="6.6"/>
    <n v="4000"/>
    <n v="7794.4"/>
    <n v="1"/>
    <n v="142.4"/>
    <n v="4142.3999999999996"/>
    <n v="18"/>
  </r>
  <r>
    <d v="2026-09-01T19:00:00"/>
    <x v="2"/>
    <n v="22.3"/>
    <n v="59"/>
    <n v="7.4"/>
    <n v="0"/>
    <n v="38.299999999999997"/>
    <n v="4000"/>
    <n v="7738"/>
    <n v="1"/>
    <n v="38.299999999999997"/>
    <n v="4038.3"/>
    <n v="19"/>
  </r>
  <r>
    <d v="2026-09-01T20:00:00"/>
    <x v="2"/>
    <n v="19.100000000000001"/>
    <n v="53.8"/>
    <n v="3.8"/>
    <n v="0"/>
    <n v="5.0999999999999996"/>
    <n v="4000"/>
    <n v="7622.5"/>
    <n v="1"/>
    <n v="5.0999999999999996"/>
    <n v="4005.1"/>
    <n v="20"/>
  </r>
  <r>
    <d v="2026-09-01T21:00:00"/>
    <x v="2"/>
    <n v="15.4"/>
    <n v="45.3"/>
    <n v="5.0999999999999996"/>
    <n v="0"/>
    <n v="13.1"/>
    <n v="4000"/>
    <n v="7673.5"/>
    <n v="1"/>
    <n v="13.1"/>
    <n v="4013.1"/>
    <n v="21"/>
  </r>
  <r>
    <d v="2026-09-01T22:00:00"/>
    <x v="2"/>
    <n v="17.2"/>
    <n v="58.1"/>
    <n v="7.4"/>
    <n v="0"/>
    <n v="39.5"/>
    <n v="4000"/>
    <n v="4911.6000000000004"/>
    <n v="1"/>
    <n v="39.5"/>
    <n v="4039.5"/>
    <n v="22"/>
  </r>
  <r>
    <d v="2026-09-01T23:00:00"/>
    <x v="2"/>
    <n v="15.9"/>
    <n v="23.9"/>
    <n v="2.9"/>
    <n v="0"/>
    <n v="2.2999999999999998"/>
    <n v="4000"/>
    <n v="5081.2"/>
    <n v="1"/>
    <n v="2.2999999999999998"/>
    <n v="4002.3"/>
    <n v="23"/>
  </r>
  <r>
    <d v="2026-09-02T00:00:00"/>
    <x v="2"/>
    <n v="16.3"/>
    <n v="36.9"/>
    <n v="2.1"/>
    <n v="0"/>
    <n v="0.9"/>
    <n v="4000"/>
    <n v="4876.8999999999996"/>
    <n v="1"/>
    <n v="0.9"/>
    <n v="4000.9"/>
    <n v="0"/>
  </r>
  <r>
    <d v="2026-09-02T01:00:00"/>
    <x v="2"/>
    <n v="17.5"/>
    <n v="77.900000000000006"/>
    <n v="4.3"/>
    <n v="0"/>
    <n v="7.8"/>
    <n v="4000"/>
    <n v="4881.6000000000004"/>
    <n v="1"/>
    <n v="7.8"/>
    <n v="4007.8"/>
    <n v="1"/>
  </r>
  <r>
    <d v="2026-09-02T02:00:00"/>
    <x v="2"/>
    <n v="15.8"/>
    <n v="59.1"/>
    <n v="3.5"/>
    <n v="0"/>
    <n v="4"/>
    <n v="4000"/>
    <n v="4888.1000000000004"/>
    <n v="1"/>
    <n v="4"/>
    <n v="4004"/>
    <n v="2"/>
  </r>
  <r>
    <d v="2026-09-02T03:00:00"/>
    <x v="2"/>
    <n v="14.9"/>
    <n v="49.2"/>
    <n v="6.9"/>
    <n v="0"/>
    <n v="31.6"/>
    <n v="4000"/>
    <n v="5036"/>
    <n v="1"/>
    <n v="31.6"/>
    <n v="4031.6"/>
    <n v="3"/>
  </r>
  <r>
    <d v="2026-09-02T04:00:00"/>
    <x v="2"/>
    <n v="24.9"/>
    <n v="70.5"/>
    <n v="3"/>
    <n v="0"/>
    <n v="2.6"/>
    <n v="4000"/>
    <n v="4977.6000000000004"/>
    <n v="1"/>
    <n v="2.6"/>
    <n v="4002.6"/>
    <n v="4"/>
  </r>
  <r>
    <d v="2026-09-02T05:00:00"/>
    <x v="2"/>
    <n v="17.2"/>
    <n v="57.6"/>
    <n v="3.5"/>
    <n v="0"/>
    <n v="4.0999999999999996"/>
    <n v="4000"/>
    <n v="4935.7"/>
    <n v="1"/>
    <n v="4.0999999999999996"/>
    <n v="4004.1"/>
    <n v="5"/>
  </r>
  <r>
    <d v="2026-09-02T06:00:00"/>
    <x v="2"/>
    <n v="20.9"/>
    <n v="56.5"/>
    <n v="4.0999999999999996"/>
    <n v="243.9"/>
    <n v="6.6"/>
    <n v="4000"/>
    <n v="5087.3"/>
    <n v="1"/>
    <n v="250.5"/>
    <n v="4250.5"/>
    <n v="6"/>
  </r>
  <r>
    <d v="2026-09-02T07:00:00"/>
    <x v="2"/>
    <n v="22.7"/>
    <n v="100"/>
    <n v="8.4"/>
    <n v="173.6"/>
    <n v="57.8"/>
    <n v="4000"/>
    <n v="5210.8"/>
    <n v="1"/>
    <n v="231.39999999999998"/>
    <n v="4231.3999999999996"/>
    <n v="7"/>
  </r>
  <r>
    <d v="2026-09-02T08:00:00"/>
    <x v="2"/>
    <n v="25.2"/>
    <n v="71.8"/>
    <n v="0.2"/>
    <n v="530.6"/>
    <n v="0"/>
    <n v="4000"/>
    <n v="5022.3"/>
    <n v="1"/>
    <n v="530.6"/>
    <n v="4530.6000000000004"/>
    <n v="8"/>
  </r>
  <r>
    <d v="2026-09-02T09:00:00"/>
    <x v="2"/>
    <n v="27.2"/>
    <n v="58.5"/>
    <n v="1.8"/>
    <n v="831.5"/>
    <n v="0.5"/>
    <n v="4000"/>
    <n v="4908.2"/>
    <n v="1"/>
    <n v="832"/>
    <n v="4832"/>
    <n v="9"/>
  </r>
  <r>
    <d v="2026-09-02T10:00:00"/>
    <x v="2"/>
    <n v="29.7"/>
    <n v="97.4"/>
    <n v="5.8"/>
    <n v="397.8"/>
    <n v="18.899999999999999"/>
    <n v="4000"/>
    <n v="7142.1"/>
    <n v="1"/>
    <n v="416.7"/>
    <n v="4416.7"/>
    <n v="10"/>
  </r>
  <r>
    <d v="2026-09-02T11:00:00"/>
    <x v="2"/>
    <n v="26.1"/>
    <n v="8.9"/>
    <n v="3.2"/>
    <n v="1811.3"/>
    <n v="3.2"/>
    <n v="4000"/>
    <n v="7292.7"/>
    <n v="1"/>
    <n v="1814.5"/>
    <n v="5814.5"/>
    <n v="11"/>
  </r>
  <r>
    <d v="2026-09-02T12:00:00"/>
    <x v="2"/>
    <n v="26.5"/>
    <n v="52.7"/>
    <n v="5.0999999999999996"/>
    <n v="1156.8"/>
    <n v="12.7"/>
    <n v="4000"/>
    <n v="7384.4"/>
    <n v="1"/>
    <n v="1169.5"/>
    <n v="5169.5"/>
    <n v="12"/>
  </r>
  <r>
    <d v="2026-09-02T13:00:00"/>
    <x v="2"/>
    <n v="30.1"/>
    <n v="100"/>
    <n v="5.5"/>
    <n v="390"/>
    <n v="16.2"/>
    <n v="4000"/>
    <n v="7435.6"/>
    <n v="1"/>
    <n v="406.2"/>
    <n v="4406.2"/>
    <n v="13"/>
  </r>
  <r>
    <d v="2026-09-02T14:00:00"/>
    <x v="2"/>
    <n v="23.3"/>
    <n v="100"/>
    <n v="2.5"/>
    <n v="360.4"/>
    <n v="1.5"/>
    <n v="4000"/>
    <n v="7194.3"/>
    <n v="1"/>
    <n v="361.9"/>
    <n v="4361.8999999999996"/>
    <n v="14"/>
  </r>
  <r>
    <d v="2026-09-02T15:00:00"/>
    <x v="2"/>
    <n v="23.3"/>
    <n v="42.3"/>
    <n v="3.5"/>
    <n v="1034.0999999999999"/>
    <n v="4.0999999999999996"/>
    <n v="3944.3"/>
    <n v="4982.5"/>
    <n v="0"/>
    <n v="1038.1999999999998"/>
    <n v="4982.5"/>
    <n v="15"/>
  </r>
  <r>
    <d v="2026-09-02T16:00:00"/>
    <x v="2"/>
    <n v="23.4"/>
    <n v="43.6"/>
    <n v="8.5"/>
    <n v="812.5"/>
    <n v="59"/>
    <n v="3987.3"/>
    <n v="4858.8"/>
    <n v="0"/>
    <n v="871.5"/>
    <n v="4858.8"/>
    <n v="16"/>
  </r>
  <r>
    <d v="2026-09-02T17:00:00"/>
    <x v="2"/>
    <n v="23.7"/>
    <n v="96.5"/>
    <n v="4.5"/>
    <n v="197.6"/>
    <n v="8.5"/>
    <n v="4000"/>
    <n v="4784.3"/>
    <n v="1"/>
    <n v="206.1"/>
    <n v="4206.1000000000004"/>
    <n v="17"/>
  </r>
  <r>
    <d v="2026-09-02T18:00:00"/>
    <x v="2"/>
    <n v="21.5"/>
    <n v="95.4"/>
    <n v="6.6"/>
    <n v="105.4"/>
    <n v="27.4"/>
    <n v="4000"/>
    <n v="7592.3"/>
    <n v="1"/>
    <n v="132.80000000000001"/>
    <n v="4132.8"/>
    <n v="18"/>
  </r>
  <r>
    <d v="2026-09-02T19:00:00"/>
    <x v="2"/>
    <n v="21.7"/>
    <n v="26.9"/>
    <n v="8"/>
    <n v="0"/>
    <n v="50"/>
    <n v="4000"/>
    <n v="7620.3"/>
    <n v="1"/>
    <n v="50"/>
    <n v="4050"/>
    <n v="19"/>
  </r>
  <r>
    <d v="2026-09-02T20:00:00"/>
    <x v="2"/>
    <n v="18.899999999999999"/>
    <n v="34.799999999999997"/>
    <n v="3.3"/>
    <n v="0"/>
    <n v="3.6"/>
    <n v="4000"/>
    <n v="7761.3"/>
    <n v="1"/>
    <n v="3.6"/>
    <n v="4003.6"/>
    <n v="20"/>
  </r>
  <r>
    <d v="2026-09-02T21:00:00"/>
    <x v="2"/>
    <n v="20.9"/>
    <n v="40.9"/>
    <n v="7.4"/>
    <n v="0"/>
    <n v="38.5"/>
    <n v="4000"/>
    <n v="7780.2"/>
    <n v="1"/>
    <n v="38.5"/>
    <n v="4038.5"/>
    <n v="21"/>
  </r>
  <r>
    <d v="2026-09-02T22:00:00"/>
    <x v="2"/>
    <n v="16.5"/>
    <n v="59.1"/>
    <n v="3.3"/>
    <n v="0"/>
    <n v="3.4"/>
    <n v="4000"/>
    <n v="4636.8999999999996"/>
    <n v="1"/>
    <n v="3.4"/>
    <n v="4003.4"/>
    <n v="22"/>
  </r>
  <r>
    <d v="2026-09-02T23:00:00"/>
    <x v="2"/>
    <n v="15.8"/>
    <n v="68.8"/>
    <n v="5.4"/>
    <n v="0"/>
    <n v="15.4"/>
    <n v="4000"/>
    <n v="4809.5"/>
    <n v="1"/>
    <n v="15.4"/>
    <n v="4015.4"/>
    <n v="23"/>
  </r>
  <r>
    <d v="2026-09-03T00:00:00"/>
    <x v="2"/>
    <n v="12.8"/>
    <n v="41.8"/>
    <n v="7.4"/>
    <n v="0"/>
    <n v="38.5"/>
    <n v="4000"/>
    <n v="4614.3"/>
    <n v="1"/>
    <n v="38.5"/>
    <n v="4038.5"/>
    <n v="0"/>
  </r>
  <r>
    <d v="2026-09-03T01:00:00"/>
    <x v="2"/>
    <n v="16.2"/>
    <n v="44.2"/>
    <n v="10.199999999999999"/>
    <n v="0"/>
    <n v="100.8"/>
    <n v="4000"/>
    <n v="4537.8999999999996"/>
    <n v="1"/>
    <n v="100.8"/>
    <n v="4100.8"/>
    <n v="1"/>
  </r>
  <r>
    <d v="2026-09-03T02:00:00"/>
    <x v="2"/>
    <n v="18.399999999999999"/>
    <n v="64.2"/>
    <n v="0"/>
    <n v="0"/>
    <n v="0"/>
    <n v="4000"/>
    <n v="4892.2"/>
    <n v="1"/>
    <n v="0"/>
    <n v="4000"/>
    <n v="2"/>
  </r>
  <r>
    <d v="2026-09-03T03:00:00"/>
    <x v="2"/>
    <n v="18.899999999999999"/>
    <n v="75.2"/>
    <n v="17.8"/>
    <n v="0"/>
    <n v="539.5"/>
    <n v="4000"/>
    <n v="5065.2"/>
    <n v="1"/>
    <n v="539.5"/>
    <n v="4539.5"/>
    <n v="3"/>
  </r>
  <r>
    <d v="2026-09-03T04:00:00"/>
    <x v="2"/>
    <n v="22.9"/>
    <n v="51.4"/>
    <n v="6.9"/>
    <n v="0"/>
    <n v="31"/>
    <n v="4000"/>
    <n v="4637.3999999999996"/>
    <n v="1"/>
    <n v="31"/>
    <n v="4031"/>
    <n v="4"/>
  </r>
  <r>
    <d v="2026-09-03T05:00:00"/>
    <x v="2"/>
    <n v="19.899999999999999"/>
    <n v="42.9"/>
    <n v="7"/>
    <n v="0"/>
    <n v="32.799999999999997"/>
    <n v="4000"/>
    <n v="4943.2"/>
    <n v="1"/>
    <n v="32.799999999999997"/>
    <n v="4032.8"/>
    <n v="5"/>
  </r>
  <r>
    <d v="2026-09-03T06:00:00"/>
    <x v="2"/>
    <n v="23.5"/>
    <n v="47.5"/>
    <n v="2.6"/>
    <n v="275.89999999999998"/>
    <n v="1.7"/>
    <n v="4000"/>
    <n v="4722.3999999999996"/>
    <n v="1"/>
    <n v="277.59999999999997"/>
    <n v="4277.6000000000004"/>
    <n v="6"/>
  </r>
  <r>
    <d v="2026-09-03T07:00:00"/>
    <x v="2"/>
    <n v="25.8"/>
    <n v="43.9"/>
    <n v="7.1"/>
    <n v="562.70000000000005"/>
    <n v="34"/>
    <n v="4000"/>
    <n v="4882.5"/>
    <n v="1"/>
    <n v="596.70000000000005"/>
    <n v="4596.7"/>
    <n v="7"/>
  </r>
  <r>
    <d v="2026-09-03T08:00:00"/>
    <x v="2"/>
    <n v="26"/>
    <n v="80.599999999999994"/>
    <n v="11.5"/>
    <n v="443.3"/>
    <n v="147.80000000000001"/>
    <n v="4000"/>
    <n v="4840.3999999999996"/>
    <n v="1"/>
    <n v="591.1"/>
    <n v="4591.1000000000004"/>
    <n v="8"/>
  </r>
  <r>
    <d v="2026-09-03T09:00:00"/>
    <x v="2"/>
    <n v="26.9"/>
    <n v="62.9"/>
    <n v="9.9"/>
    <n v="776.3"/>
    <n v="92.8"/>
    <n v="4000"/>
    <n v="4923.7"/>
    <n v="1"/>
    <n v="869.09999999999991"/>
    <n v="4869.1000000000004"/>
    <n v="9"/>
  </r>
  <r>
    <d v="2026-09-03T10:00:00"/>
    <x v="2"/>
    <n v="27.8"/>
    <n v="54.2"/>
    <n v="5.8"/>
    <n v="1021.2"/>
    <n v="18.8"/>
    <n v="4000"/>
    <n v="7042.2"/>
    <n v="1"/>
    <n v="1040"/>
    <n v="5040"/>
    <n v="10"/>
  </r>
  <r>
    <d v="2026-09-03T11:00:00"/>
    <x v="2"/>
    <n v="27.3"/>
    <n v="56.5"/>
    <n v="6.6"/>
    <n v="1068.3"/>
    <n v="28.2"/>
    <n v="4000"/>
    <n v="7163.8"/>
    <n v="1"/>
    <n v="1096.5"/>
    <n v="5096.5"/>
    <n v="11"/>
  </r>
  <r>
    <d v="2026-09-03T12:00:00"/>
    <x v="2"/>
    <n v="29"/>
    <n v="86.1"/>
    <n v="4.5999999999999996"/>
    <n v="622.79999999999995"/>
    <n v="9.5"/>
    <n v="4000"/>
    <n v="7386.7"/>
    <n v="1"/>
    <n v="632.29999999999995"/>
    <n v="4632.3"/>
    <n v="12"/>
  </r>
  <r>
    <d v="2026-09-03T13:00:00"/>
    <x v="2"/>
    <n v="28.7"/>
    <n v="86.3"/>
    <n v="10.4"/>
    <n v="604"/>
    <n v="108.5"/>
    <n v="4000"/>
    <n v="7016.6"/>
    <n v="1"/>
    <n v="712.5"/>
    <n v="4712.5"/>
    <n v="13"/>
  </r>
  <r>
    <d v="2026-09-03T14:00:00"/>
    <x v="2"/>
    <n v="25.9"/>
    <n v="10.8"/>
    <n v="4.8"/>
    <n v="1646"/>
    <n v="10.8"/>
    <n v="4000"/>
    <n v="7059.4"/>
    <n v="1"/>
    <n v="1656.8"/>
    <n v="5656.8"/>
    <n v="14"/>
  </r>
  <r>
    <d v="2026-09-03T15:00:00"/>
    <x v="2"/>
    <n v="24.6"/>
    <n v="79.2"/>
    <n v="5.4"/>
    <n v="572.70000000000005"/>
    <n v="15.4"/>
    <n v="4000"/>
    <n v="5099.5"/>
    <n v="1"/>
    <n v="588.1"/>
    <n v="4588.1000000000004"/>
    <n v="15"/>
  </r>
  <r>
    <d v="2026-09-03T16:00:00"/>
    <x v="2"/>
    <n v="22.2"/>
    <n v="62.6"/>
    <n v="0"/>
    <n v="622.9"/>
    <n v="0"/>
    <n v="4000"/>
    <n v="4998.6000000000004"/>
    <n v="1"/>
    <n v="622.9"/>
    <n v="4622.8999999999996"/>
    <n v="16"/>
  </r>
  <r>
    <d v="2026-09-03T17:00:00"/>
    <x v="2"/>
    <n v="20"/>
    <n v="96.2"/>
    <n v="8.3000000000000007"/>
    <n v="200.1"/>
    <n v="55.5"/>
    <n v="4000"/>
    <n v="4922"/>
    <n v="1"/>
    <n v="255.6"/>
    <n v="4255.6000000000004"/>
    <n v="17"/>
  </r>
  <r>
    <d v="2026-09-03T18:00:00"/>
    <x v="2"/>
    <n v="25"/>
    <n v="31.5"/>
    <n v="11.2"/>
    <n v="332.8"/>
    <n v="136.4"/>
    <n v="4000"/>
    <n v="7770"/>
    <n v="1"/>
    <n v="469.20000000000005"/>
    <n v="4469.2"/>
    <n v="18"/>
  </r>
  <r>
    <d v="2026-09-03T19:00:00"/>
    <x v="2"/>
    <n v="20.2"/>
    <n v="94.1"/>
    <n v="2.7"/>
    <n v="0"/>
    <n v="1.9"/>
    <n v="4000"/>
    <n v="7839.8"/>
    <n v="1"/>
    <n v="1.9"/>
    <n v="4001.9"/>
    <n v="19"/>
  </r>
  <r>
    <d v="2026-09-03T20:00:00"/>
    <x v="2"/>
    <n v="18.3"/>
    <n v="44.1"/>
    <n v="2.8"/>
    <n v="0"/>
    <n v="2.2000000000000002"/>
    <n v="4000"/>
    <n v="7576.3"/>
    <n v="1"/>
    <n v="2.2000000000000002"/>
    <n v="4002.2"/>
    <n v="20"/>
  </r>
  <r>
    <d v="2026-09-03T21:00:00"/>
    <x v="2"/>
    <n v="17.899999999999999"/>
    <n v="70.599999999999994"/>
    <n v="4.3"/>
    <n v="0"/>
    <n v="7.6"/>
    <n v="4000"/>
    <n v="7883.5"/>
    <n v="1"/>
    <n v="7.6"/>
    <n v="4007.6"/>
    <n v="21"/>
  </r>
  <r>
    <d v="2026-09-03T22:00:00"/>
    <x v="2"/>
    <n v="18.2"/>
    <n v="2.6"/>
    <n v="5.8"/>
    <n v="0"/>
    <n v="18.7"/>
    <n v="4000"/>
    <n v="4676.8999999999996"/>
    <n v="1"/>
    <n v="18.7"/>
    <n v="4018.7"/>
    <n v="22"/>
  </r>
  <r>
    <d v="2026-09-03T23:00:00"/>
    <x v="2"/>
    <n v="21.1"/>
    <n v="87.3"/>
    <n v="6.3"/>
    <n v="0"/>
    <n v="24.2"/>
    <n v="4000"/>
    <n v="4744.8"/>
    <n v="1"/>
    <n v="24.2"/>
    <n v="4024.2"/>
    <n v="23"/>
  </r>
  <r>
    <d v="2026-09-04T00:00:00"/>
    <x v="2"/>
    <n v="15.3"/>
    <n v="76.3"/>
    <n v="6.6"/>
    <n v="0"/>
    <n v="27.6"/>
    <n v="4000"/>
    <n v="5139.6000000000004"/>
    <n v="1"/>
    <n v="27.6"/>
    <n v="4027.6"/>
    <n v="0"/>
  </r>
  <r>
    <d v="2026-09-04T01:00:00"/>
    <x v="2"/>
    <n v="19.7"/>
    <n v="82"/>
    <n v="6.9"/>
    <n v="0"/>
    <n v="31.1"/>
    <n v="4000"/>
    <n v="4989.6000000000004"/>
    <n v="1"/>
    <n v="31.1"/>
    <n v="4031.1"/>
    <n v="1"/>
  </r>
  <r>
    <d v="2026-09-04T02:00:00"/>
    <x v="2"/>
    <n v="15.7"/>
    <n v="56.3"/>
    <n v="6.3"/>
    <n v="0"/>
    <n v="23.8"/>
    <n v="4000"/>
    <n v="4701.8"/>
    <n v="1"/>
    <n v="23.8"/>
    <n v="4023.8"/>
    <n v="2"/>
  </r>
  <r>
    <d v="2026-09-04T03:00:00"/>
    <x v="2"/>
    <n v="23.3"/>
    <n v="100"/>
    <n v="7.8"/>
    <n v="0"/>
    <n v="45.7"/>
    <n v="4000"/>
    <n v="4780.5"/>
    <n v="1"/>
    <n v="45.7"/>
    <n v="4045.7"/>
    <n v="3"/>
  </r>
  <r>
    <d v="2026-09-04T04:00:00"/>
    <x v="2"/>
    <n v="19.100000000000001"/>
    <n v="31.4"/>
    <n v="6.2"/>
    <n v="0"/>
    <n v="23.2"/>
    <n v="4000"/>
    <n v="4960.8"/>
    <n v="1"/>
    <n v="23.2"/>
    <n v="4023.2"/>
    <n v="4"/>
  </r>
  <r>
    <d v="2026-09-04T05:00:00"/>
    <x v="2"/>
    <n v="18.2"/>
    <n v="70"/>
    <n v="5.5"/>
    <n v="0"/>
    <n v="16.3"/>
    <n v="4000"/>
    <n v="4988.7"/>
    <n v="1"/>
    <n v="16.3"/>
    <n v="4016.3"/>
    <n v="5"/>
  </r>
  <r>
    <d v="2026-09-04T06:00:00"/>
    <x v="2"/>
    <n v="20.3"/>
    <n v="47.6"/>
    <n v="11.7"/>
    <n v="275.60000000000002"/>
    <n v="152.30000000000001"/>
    <n v="4000"/>
    <n v="4663.8"/>
    <n v="1"/>
    <n v="427.90000000000003"/>
    <n v="4427.8999999999996"/>
    <n v="6"/>
  </r>
  <r>
    <d v="2026-09-04T07:00:00"/>
    <x v="2"/>
    <n v="20.6"/>
    <n v="74.599999999999994"/>
    <n v="1.4"/>
    <n v="350"/>
    <n v="0.2"/>
    <n v="4000"/>
    <n v="5033.5"/>
    <n v="1"/>
    <n v="350.2"/>
    <n v="4350.2"/>
    <n v="7"/>
  </r>
  <r>
    <d v="2026-09-04T08:00:00"/>
    <x v="2"/>
    <n v="23.6"/>
    <n v="57.2"/>
    <n v="10"/>
    <n v="676.5"/>
    <n v="95.4"/>
    <n v="4000"/>
    <n v="5112.3999999999996"/>
    <n v="1"/>
    <n v="771.9"/>
    <n v="4771.8999999999996"/>
    <n v="8"/>
  </r>
  <r>
    <d v="2026-09-04T09:00:00"/>
    <x v="2"/>
    <n v="22.7"/>
    <n v="42.5"/>
    <n v="9.1"/>
    <n v="1032.0999999999999"/>
    <n v="72.7"/>
    <n v="3652.1"/>
    <n v="4756.8999999999996"/>
    <n v="0"/>
    <n v="1104.8"/>
    <n v="4756.8999999999996"/>
    <n v="9"/>
  </r>
  <r>
    <d v="2026-09-04T10:00:00"/>
    <x v="2"/>
    <n v="20.7"/>
    <n v="46.5"/>
    <n v="7.7"/>
    <n v="1132.0999999999999"/>
    <n v="43.1"/>
    <n v="4000"/>
    <n v="6922.1"/>
    <n v="1"/>
    <n v="1175.1999999999998"/>
    <n v="5175.2"/>
    <n v="10"/>
  </r>
  <r>
    <d v="2026-09-04T11:00:00"/>
    <x v="2"/>
    <n v="25.9"/>
    <n v="47.7"/>
    <n v="9.5"/>
    <n v="1206.5"/>
    <n v="81.3"/>
    <n v="4000"/>
    <n v="7330"/>
    <n v="1"/>
    <n v="1287.8"/>
    <n v="5287.8"/>
    <n v="11"/>
  </r>
  <r>
    <d v="2026-09-04T12:00:00"/>
    <x v="2"/>
    <n v="26.2"/>
    <n v="65.7"/>
    <n v="7.3"/>
    <n v="948.6"/>
    <n v="38.1"/>
    <n v="4000"/>
    <n v="6869.5"/>
    <n v="1"/>
    <n v="986.7"/>
    <n v="4986.7"/>
    <n v="12"/>
  </r>
  <r>
    <d v="2026-09-04T13:00:00"/>
    <x v="2"/>
    <n v="26.9"/>
    <n v="0"/>
    <n v="4"/>
    <n v="1949.9"/>
    <n v="6.3"/>
    <n v="4000"/>
    <n v="7073.5"/>
    <n v="1"/>
    <n v="1956.2"/>
    <n v="5956.2"/>
    <n v="13"/>
  </r>
  <r>
    <d v="2026-09-04T14:00:00"/>
    <x v="2"/>
    <n v="24.4"/>
    <n v="61.8"/>
    <n v="7.3"/>
    <n v="911.5"/>
    <n v="38"/>
    <n v="4000"/>
    <n v="7218"/>
    <n v="1"/>
    <n v="949.5"/>
    <n v="4949.5"/>
    <n v="14"/>
  </r>
  <r>
    <d v="2026-09-04T15:00:00"/>
    <x v="2"/>
    <n v="25.9"/>
    <n v="31.1"/>
    <n v="5.4"/>
    <n v="1174.4000000000001"/>
    <n v="15"/>
    <n v="3709.2"/>
    <n v="4898.6000000000004"/>
    <n v="0"/>
    <n v="1189.4000000000001"/>
    <n v="4898.6000000000004"/>
    <n v="15"/>
  </r>
  <r>
    <d v="2026-09-04T16:00:00"/>
    <x v="2"/>
    <n v="24.8"/>
    <n v="42.4"/>
    <n v="6.7"/>
    <n v="824"/>
    <n v="28.5"/>
    <n v="4000"/>
    <n v="5041.5"/>
    <n v="1"/>
    <n v="852.5"/>
    <n v="4852.5"/>
    <n v="16"/>
  </r>
  <r>
    <d v="2026-09-04T17:00:00"/>
    <x v="2"/>
    <n v="19.2"/>
    <n v="94.8"/>
    <n v="5"/>
    <n v="209.8"/>
    <n v="11.9"/>
    <n v="4000"/>
    <n v="5057.2"/>
    <n v="1"/>
    <n v="221.70000000000002"/>
    <n v="4221.7"/>
    <n v="17"/>
  </r>
  <r>
    <d v="2026-09-04T18:00:00"/>
    <x v="2"/>
    <n v="24.4"/>
    <n v="18.8"/>
    <n v="3.9"/>
    <n v="377.9"/>
    <n v="5.6"/>
    <n v="4000"/>
    <n v="7763.8"/>
    <n v="1"/>
    <n v="383.5"/>
    <n v="4383.5"/>
    <n v="18"/>
  </r>
  <r>
    <d v="2026-09-04T19:00:00"/>
    <x v="2"/>
    <n v="19.100000000000001"/>
    <n v="100"/>
    <n v="3.4"/>
    <n v="0"/>
    <n v="3.9"/>
    <n v="4000"/>
    <n v="7656.7"/>
    <n v="1"/>
    <n v="3.9"/>
    <n v="4003.9"/>
    <n v="19"/>
  </r>
  <r>
    <d v="2026-09-04T20:00:00"/>
    <x v="2"/>
    <n v="19.899999999999999"/>
    <n v="23.9"/>
    <n v="4.8"/>
    <n v="0"/>
    <n v="10.7"/>
    <n v="4000"/>
    <n v="7616.7"/>
    <n v="1"/>
    <n v="10.7"/>
    <n v="4010.7"/>
    <n v="20"/>
  </r>
  <r>
    <d v="2026-09-04T21:00:00"/>
    <x v="2"/>
    <n v="17.8"/>
    <n v="57.2"/>
    <n v="4.4000000000000004"/>
    <n v="0"/>
    <n v="8.1999999999999993"/>
    <n v="4000"/>
    <n v="7747.6"/>
    <n v="1"/>
    <n v="8.1999999999999993"/>
    <n v="4008.2"/>
    <n v="21"/>
  </r>
  <r>
    <d v="2026-09-04T22:00:00"/>
    <x v="2"/>
    <n v="18.3"/>
    <n v="100"/>
    <n v="6.1"/>
    <n v="0"/>
    <n v="21.3"/>
    <n v="4000"/>
    <n v="4722.8"/>
    <n v="1"/>
    <n v="21.3"/>
    <n v="4021.3"/>
    <n v="22"/>
  </r>
  <r>
    <d v="2026-09-04T23:00:00"/>
    <x v="2"/>
    <n v="18.600000000000001"/>
    <n v="21.9"/>
    <n v="11.1"/>
    <n v="0"/>
    <n v="131.6"/>
    <n v="4000"/>
    <n v="4983.8"/>
    <n v="1"/>
    <n v="131.6"/>
    <n v="4131.6000000000004"/>
    <n v="23"/>
  </r>
  <r>
    <d v="2026-09-05T00:00:00"/>
    <x v="2"/>
    <n v="20.3"/>
    <n v="38"/>
    <n v="11.5"/>
    <n v="0"/>
    <n v="144.30000000000001"/>
    <n v="4000"/>
    <n v="4350.3"/>
    <n v="1"/>
    <n v="144.30000000000001"/>
    <n v="4144.3"/>
    <n v="0"/>
  </r>
  <r>
    <d v="2026-09-05T01:00:00"/>
    <x v="2"/>
    <n v="18.3"/>
    <n v="67"/>
    <n v="5.3"/>
    <n v="0"/>
    <n v="13.9"/>
    <n v="4000"/>
    <n v="4436.3"/>
    <n v="1"/>
    <n v="13.9"/>
    <n v="4013.9"/>
    <n v="1"/>
  </r>
  <r>
    <d v="2026-09-05T02:00:00"/>
    <x v="2"/>
    <n v="18"/>
    <n v="1"/>
    <n v="2.6"/>
    <n v="0"/>
    <n v="1.8"/>
    <n v="4000"/>
    <n v="4500.1000000000004"/>
    <n v="1"/>
    <n v="1.8"/>
    <n v="4001.8"/>
    <n v="2"/>
  </r>
  <r>
    <d v="2026-09-05T03:00:00"/>
    <x v="2"/>
    <n v="19.100000000000001"/>
    <n v="58.3"/>
    <n v="9.6999999999999993"/>
    <n v="0"/>
    <n v="86.5"/>
    <n v="4000"/>
    <n v="4292.1000000000004"/>
    <n v="1"/>
    <n v="86.5"/>
    <n v="4086.5"/>
    <n v="3"/>
  </r>
  <r>
    <d v="2026-09-05T04:00:00"/>
    <x v="2"/>
    <n v="19.8"/>
    <n v="5.5"/>
    <n v="8.3000000000000007"/>
    <n v="0"/>
    <n v="54.5"/>
    <n v="3972.8"/>
    <n v="4027.3"/>
    <n v="0"/>
    <n v="54.5"/>
    <n v="4027.3"/>
    <n v="4"/>
  </r>
  <r>
    <d v="2026-09-05T05:00:00"/>
    <x v="2"/>
    <n v="21.5"/>
    <n v="34.1"/>
    <n v="9.8000000000000007"/>
    <n v="0"/>
    <n v="91.4"/>
    <n v="4000"/>
    <n v="4305.8"/>
    <n v="1"/>
    <n v="91.4"/>
    <n v="4091.4"/>
    <n v="5"/>
  </r>
  <r>
    <d v="2026-09-05T06:00:00"/>
    <x v="2"/>
    <n v="23.2"/>
    <n v="56.1"/>
    <n v="7.7"/>
    <n v="245.3"/>
    <n v="44.5"/>
    <n v="4000"/>
    <n v="4476.3"/>
    <n v="1"/>
    <n v="289.8"/>
    <n v="4289.8"/>
    <n v="6"/>
  </r>
  <r>
    <d v="2026-09-05T07:00:00"/>
    <x v="2"/>
    <n v="25"/>
    <n v="100"/>
    <n v="9.1999999999999993"/>
    <n v="173.6"/>
    <n v="75"/>
    <n v="3965.4"/>
    <n v="4214"/>
    <n v="0"/>
    <n v="248.6"/>
    <n v="4214"/>
    <n v="7"/>
  </r>
  <r>
    <d v="2026-09-05T08:00:00"/>
    <x v="2"/>
    <n v="25.2"/>
    <n v="21.2"/>
    <n v="7.7"/>
    <n v="1035.4000000000001"/>
    <n v="44.1"/>
    <n v="3131.1"/>
    <n v="4210.6000000000004"/>
    <n v="0"/>
    <n v="1079.5"/>
    <n v="4210.6000000000004"/>
    <n v="8"/>
  </r>
  <r>
    <d v="2026-09-05T09:00:00"/>
    <x v="2"/>
    <n v="21.8"/>
    <n v="25.1"/>
    <n v="5.2"/>
    <n v="1249.0999999999999"/>
    <n v="13.1"/>
    <n v="3125.4"/>
    <n v="4387.6000000000004"/>
    <n v="0"/>
    <n v="1262.1999999999998"/>
    <n v="4387.6000000000004"/>
    <n v="9"/>
  </r>
  <r>
    <d v="2026-09-05T10:00:00"/>
    <x v="2"/>
    <n v="23.9"/>
    <n v="71.7"/>
    <n v="6.8"/>
    <n v="768.8"/>
    <n v="29.6"/>
    <n v="4000"/>
    <n v="6194.9"/>
    <n v="1"/>
    <n v="798.4"/>
    <n v="4798.3999999999996"/>
    <n v="10"/>
  </r>
  <r>
    <d v="2026-09-05T11:00:00"/>
    <x v="2"/>
    <n v="25.3"/>
    <n v="91.5"/>
    <n v="11"/>
    <n v="523.20000000000005"/>
    <n v="126.6"/>
    <n v="4000"/>
    <n v="6210.9"/>
    <n v="1"/>
    <n v="649.80000000000007"/>
    <n v="4649.8"/>
    <n v="11"/>
  </r>
  <r>
    <d v="2026-09-05T12:00:00"/>
    <x v="2"/>
    <n v="25.8"/>
    <n v="74.7"/>
    <n v="4.9000000000000004"/>
    <n v="804.2"/>
    <n v="11.5"/>
    <n v="4000"/>
    <n v="6167.5"/>
    <n v="1"/>
    <n v="815.7"/>
    <n v="4815.7"/>
    <n v="12"/>
  </r>
  <r>
    <d v="2026-09-05T13:00:00"/>
    <x v="2"/>
    <n v="28.3"/>
    <n v="2.7"/>
    <n v="10"/>
    <n v="1907.4"/>
    <n v="94.7"/>
    <n v="4000"/>
    <n v="6219.1"/>
    <n v="1"/>
    <n v="2002.1000000000001"/>
    <n v="6002.1"/>
    <n v="13"/>
  </r>
  <r>
    <d v="2026-09-05T14:00:00"/>
    <x v="2"/>
    <n v="25.5"/>
    <n v="57.3"/>
    <n v="5.9"/>
    <n v="975.6"/>
    <n v="19.600000000000001"/>
    <n v="4000"/>
    <n v="6250.9"/>
    <n v="1"/>
    <n v="995.2"/>
    <n v="4995.2"/>
    <n v="14"/>
  </r>
  <r>
    <d v="2026-09-05T15:00:00"/>
    <x v="2"/>
    <n v="28.5"/>
    <n v="61.2"/>
    <n v="7.3"/>
    <n v="797.6"/>
    <n v="37.799999999999997"/>
    <n v="3224.9"/>
    <n v="4060.3"/>
    <n v="0"/>
    <n v="835.4"/>
    <n v="4060.3"/>
    <n v="15"/>
  </r>
  <r>
    <d v="2026-09-05T16:00:00"/>
    <x v="2"/>
    <n v="22.5"/>
    <n v="74.2"/>
    <n v="5.2"/>
    <n v="506.7"/>
    <n v="13.5"/>
    <n v="3942.5"/>
    <n v="4462.7"/>
    <n v="0"/>
    <n v="520.20000000000005"/>
    <n v="4462.7"/>
    <n v="16"/>
  </r>
  <r>
    <d v="2026-09-05T17:00:00"/>
    <x v="2"/>
    <n v="19"/>
    <n v="57"/>
    <n v="4.2"/>
    <n v="471.9"/>
    <n v="7.1"/>
    <n v="3968"/>
    <n v="4447"/>
    <n v="0"/>
    <n v="479"/>
    <n v="4447"/>
    <n v="17"/>
  </r>
  <r>
    <d v="2026-09-05T18:00:00"/>
    <x v="2"/>
    <n v="22.9"/>
    <n v="38.799999999999997"/>
    <n v="3.9"/>
    <n v="307"/>
    <n v="5.5"/>
    <n v="4000"/>
    <n v="6784.8"/>
    <n v="1"/>
    <n v="312.5"/>
    <n v="4312.5"/>
    <n v="18"/>
  </r>
  <r>
    <d v="2026-09-05T19:00:00"/>
    <x v="2"/>
    <n v="18.899999999999999"/>
    <n v="85.3"/>
    <n v="4.9000000000000004"/>
    <n v="0"/>
    <n v="11.2"/>
    <n v="4000"/>
    <n v="6703.4"/>
    <n v="1"/>
    <n v="11.2"/>
    <n v="4011.2"/>
    <n v="19"/>
  </r>
  <r>
    <d v="2026-09-05T20:00:00"/>
    <x v="2"/>
    <n v="18.8"/>
    <n v="28.8"/>
    <n v="1.1000000000000001"/>
    <n v="0"/>
    <n v="0.1"/>
    <n v="4000"/>
    <n v="6284"/>
    <n v="1"/>
    <n v="0.1"/>
    <n v="4000.1"/>
    <n v="20"/>
  </r>
  <r>
    <d v="2026-09-05T21:00:00"/>
    <x v="2"/>
    <n v="18.7"/>
    <n v="99.9"/>
    <n v="6.9"/>
    <n v="0"/>
    <n v="32.1"/>
    <n v="4000"/>
    <n v="6534.4"/>
    <n v="1"/>
    <n v="32.1"/>
    <n v="4032.1"/>
    <n v="21"/>
  </r>
  <r>
    <d v="2026-09-05T22:00:00"/>
    <x v="2"/>
    <n v="18.600000000000001"/>
    <n v="46.2"/>
    <n v="3.9"/>
    <n v="0"/>
    <n v="5.8"/>
    <n v="4000"/>
    <n v="4229"/>
    <n v="1"/>
    <n v="5.8"/>
    <n v="4005.8"/>
    <n v="22"/>
  </r>
  <r>
    <d v="2026-09-05T23:00:00"/>
    <x v="2"/>
    <n v="13.7"/>
    <n v="48.3"/>
    <n v="6.5"/>
    <n v="0"/>
    <n v="26.1"/>
    <n v="4000"/>
    <n v="4146.8"/>
    <n v="1"/>
    <n v="26.1"/>
    <n v="4026.1"/>
    <n v="23"/>
  </r>
  <r>
    <d v="2026-09-06T00:00:00"/>
    <x v="2"/>
    <n v="16.2"/>
    <n v="31.6"/>
    <n v="7.8"/>
    <n v="0"/>
    <n v="46"/>
    <n v="4000"/>
    <n v="4305.5"/>
    <n v="1"/>
    <n v="46"/>
    <n v="4046"/>
    <n v="0"/>
  </r>
  <r>
    <d v="2026-09-06T01:00:00"/>
    <x v="2"/>
    <n v="18.7"/>
    <n v="29.9"/>
    <n v="3.7"/>
    <n v="0"/>
    <n v="5"/>
    <n v="4000"/>
    <n v="4122.3999999999996"/>
    <n v="1"/>
    <n v="5"/>
    <n v="4005"/>
    <n v="1"/>
  </r>
  <r>
    <d v="2026-09-06T02:00:00"/>
    <x v="2"/>
    <n v="16.7"/>
    <n v="89.3"/>
    <n v="7.5"/>
    <n v="0"/>
    <n v="41.3"/>
    <n v="4000"/>
    <n v="4100"/>
    <n v="1"/>
    <n v="41.3"/>
    <n v="4041.3"/>
    <n v="2"/>
  </r>
  <r>
    <d v="2026-09-06T03:00:00"/>
    <x v="2"/>
    <n v="19.5"/>
    <n v="26.9"/>
    <n v="5"/>
    <n v="0"/>
    <n v="12.1"/>
    <n v="4000"/>
    <n v="4466.8"/>
    <n v="1"/>
    <n v="12.1"/>
    <n v="4012.1"/>
    <n v="3"/>
  </r>
  <r>
    <d v="2026-09-06T04:00:00"/>
    <x v="2"/>
    <n v="22.2"/>
    <n v="24.1"/>
    <n v="8.6999999999999993"/>
    <n v="0"/>
    <n v="62.8"/>
    <n v="4000"/>
    <n v="4203"/>
    <n v="1"/>
    <n v="62.8"/>
    <n v="4062.8"/>
    <n v="4"/>
  </r>
  <r>
    <d v="2026-09-06T05:00:00"/>
    <x v="2"/>
    <n v="24.4"/>
    <n v="47.7"/>
    <n v="8.1"/>
    <n v="0"/>
    <n v="51.7"/>
    <n v="4000"/>
    <n v="4453.8999999999996"/>
    <n v="1"/>
    <n v="51.7"/>
    <n v="4051.7"/>
    <n v="5"/>
  </r>
  <r>
    <d v="2026-09-06T06:00:00"/>
    <x v="2"/>
    <n v="20.8"/>
    <n v="13.9"/>
    <n v="0.4"/>
    <n v="395.4"/>
    <n v="0"/>
    <n v="4000"/>
    <n v="4662.2"/>
    <n v="1"/>
    <n v="395.4"/>
    <n v="4395.3999999999996"/>
    <n v="6"/>
  </r>
  <r>
    <d v="2026-09-06T07:00:00"/>
    <x v="2"/>
    <n v="19.5"/>
    <n v="48.8"/>
    <n v="7.3"/>
    <n v="528.79999999999995"/>
    <n v="37.5"/>
    <n v="3860.6"/>
    <n v="4426.8999999999996"/>
    <n v="0"/>
    <n v="566.29999999999995"/>
    <n v="4426.8999999999996"/>
    <n v="7"/>
  </r>
  <r>
    <d v="2026-09-06T08:00:00"/>
    <x v="2"/>
    <n v="25.4"/>
    <n v="66.7"/>
    <n v="9.8000000000000007"/>
    <n v="581.9"/>
    <n v="91.4"/>
    <n v="3674.5"/>
    <n v="4347.8"/>
    <n v="0"/>
    <n v="673.3"/>
    <n v="4347.8"/>
    <n v="8"/>
  </r>
  <r>
    <d v="2026-09-06T09:00:00"/>
    <x v="2"/>
    <n v="24.2"/>
    <n v="36.799999999999997"/>
    <n v="8.5"/>
    <n v="1103.0999999999999"/>
    <n v="58.8"/>
    <n v="3015.3"/>
    <n v="4177.2"/>
    <n v="0"/>
    <n v="1161.8999999999999"/>
    <n v="4177.2"/>
    <n v="9"/>
  </r>
  <r>
    <d v="2026-09-06T10:00:00"/>
    <x v="2"/>
    <n v="27.2"/>
    <n v="95.5"/>
    <n v="2.5"/>
    <n v="425.2"/>
    <n v="1.4"/>
    <n v="4000"/>
    <n v="6375.1"/>
    <n v="1"/>
    <n v="426.59999999999997"/>
    <n v="4426.6000000000004"/>
    <n v="10"/>
  </r>
  <r>
    <d v="2026-09-06T11:00:00"/>
    <x v="2"/>
    <n v="29.9"/>
    <n v="82.1"/>
    <n v="11.3"/>
    <n v="669.7"/>
    <n v="140.19999999999999"/>
    <n v="4000"/>
    <n v="6490.1"/>
    <n v="1"/>
    <n v="809.90000000000009"/>
    <n v="4809.8999999999996"/>
    <n v="11"/>
  </r>
  <r>
    <d v="2026-09-06T12:00:00"/>
    <x v="2"/>
    <n v="26"/>
    <n v="37.9"/>
    <n v="8.1999999999999993"/>
    <n v="1392.9"/>
    <n v="52.2"/>
    <n v="4000"/>
    <n v="5991.5"/>
    <n v="1"/>
    <n v="1445.1000000000001"/>
    <n v="5445.1"/>
    <n v="12"/>
  </r>
  <r>
    <d v="2026-09-06T13:00:00"/>
    <x v="2"/>
    <n v="28.3"/>
    <n v="100"/>
    <n v="8.1"/>
    <n v="390"/>
    <n v="50.7"/>
    <n v="4000"/>
    <n v="6082.5"/>
    <n v="1"/>
    <n v="440.7"/>
    <n v="4440.7"/>
    <n v="13"/>
  </r>
  <r>
    <d v="2026-09-06T14:00:00"/>
    <x v="2"/>
    <n v="24.4"/>
    <n v="34.6"/>
    <n v="9.6999999999999993"/>
    <n v="1303.2"/>
    <n v="88.9"/>
    <n v="4000"/>
    <n v="6282.6"/>
    <n v="1"/>
    <n v="1392.1000000000001"/>
    <n v="5392.1"/>
    <n v="14"/>
  </r>
  <r>
    <d v="2026-09-06T15:00:00"/>
    <x v="2"/>
    <n v="25.5"/>
    <n v="47.5"/>
    <n v="0"/>
    <n v="969.9"/>
    <n v="0"/>
    <n v="3467"/>
    <n v="4436.8999999999996"/>
    <n v="0"/>
    <n v="969.9"/>
    <n v="4436.8999999999996"/>
    <n v="15"/>
  </r>
  <r>
    <d v="2026-09-06T16:00:00"/>
    <x v="2"/>
    <n v="28.3"/>
    <n v="21.6"/>
    <n v="6.6"/>
    <n v="1031.5999999999999"/>
    <n v="27.2"/>
    <n v="3100.6"/>
    <n v="4159.3999999999996"/>
    <n v="0"/>
    <n v="1058.8"/>
    <n v="4159.3999999999996"/>
    <n v="16"/>
  </r>
  <r>
    <d v="2026-09-06T17:00:00"/>
    <x v="2"/>
    <n v="20.8"/>
    <n v="65.5"/>
    <n v="8.8000000000000007"/>
    <n v="412.8"/>
    <n v="65.7"/>
    <n v="3992.6"/>
    <n v="4471.1000000000004"/>
    <n v="0"/>
    <n v="478.5"/>
    <n v="4471.1000000000004"/>
    <n v="17"/>
  </r>
  <r>
    <d v="2026-09-06T18:00:00"/>
    <x v="2"/>
    <n v="27.7"/>
    <n v="9.9"/>
    <n v="9.1999999999999993"/>
    <n v="409.6"/>
    <n v="74.2"/>
    <n v="4000"/>
    <n v="6721.9"/>
    <n v="1"/>
    <n v="483.8"/>
    <n v="4483.8"/>
    <n v="18"/>
  </r>
  <r>
    <d v="2026-09-06T19:00:00"/>
    <x v="2"/>
    <n v="22.2"/>
    <n v="73.2"/>
    <n v="3.8"/>
    <n v="0"/>
    <n v="5.3"/>
    <n v="4000"/>
    <n v="6694.1"/>
    <n v="1"/>
    <n v="5.3"/>
    <n v="4005.3"/>
    <n v="19"/>
  </r>
  <r>
    <d v="2026-09-06T20:00:00"/>
    <x v="2"/>
    <n v="15.8"/>
    <n v="78.099999999999994"/>
    <n v="6.9"/>
    <n v="0"/>
    <n v="31.5"/>
    <n v="4000"/>
    <n v="6754.3"/>
    <n v="1"/>
    <n v="31.5"/>
    <n v="4031.5"/>
    <n v="20"/>
  </r>
  <r>
    <d v="2026-09-06T21:00:00"/>
    <x v="2"/>
    <n v="20.6"/>
    <n v="71"/>
    <n v="6.4"/>
    <n v="0"/>
    <n v="25.7"/>
    <n v="4000"/>
    <n v="6815.8"/>
    <n v="1"/>
    <n v="25.7"/>
    <n v="4025.7"/>
    <n v="21"/>
  </r>
  <r>
    <d v="2026-09-06T22:00:00"/>
    <x v="2"/>
    <n v="16.2"/>
    <n v="95.6"/>
    <n v="10.3"/>
    <n v="0"/>
    <n v="105.2"/>
    <n v="4000"/>
    <n v="4187.8"/>
    <n v="1"/>
    <n v="105.2"/>
    <n v="4105.2"/>
    <n v="22"/>
  </r>
  <r>
    <d v="2026-09-06T23:00:00"/>
    <x v="2"/>
    <n v="17.3"/>
    <n v="32.9"/>
    <n v="9.5"/>
    <n v="0"/>
    <n v="82.8"/>
    <n v="4000"/>
    <n v="4284.3"/>
    <n v="1"/>
    <n v="82.8"/>
    <n v="4082.8"/>
    <n v="23"/>
  </r>
  <r>
    <d v="2026-09-07T00:00:00"/>
    <x v="2"/>
    <n v="20.9"/>
    <n v="33.700000000000003"/>
    <n v="4.9000000000000004"/>
    <n v="0"/>
    <n v="11.1"/>
    <n v="4000"/>
    <n v="5049.8"/>
    <n v="1"/>
    <n v="11.1"/>
    <n v="4011.1"/>
    <n v="0"/>
  </r>
  <r>
    <d v="2026-09-07T01:00:00"/>
    <x v="2"/>
    <n v="18.5"/>
    <n v="53.5"/>
    <n v="3.4"/>
    <n v="0"/>
    <n v="3.7"/>
    <n v="4000"/>
    <n v="4984.7"/>
    <n v="1"/>
    <n v="3.7"/>
    <n v="4003.7"/>
    <n v="1"/>
  </r>
  <r>
    <d v="2026-09-07T02:00:00"/>
    <x v="2"/>
    <n v="19.100000000000001"/>
    <n v="32.5"/>
    <n v="10.1"/>
    <n v="0"/>
    <n v="97.9"/>
    <n v="4000"/>
    <n v="5082.2"/>
    <n v="1"/>
    <n v="97.9"/>
    <n v="4097.8999999999996"/>
    <n v="2"/>
  </r>
  <r>
    <d v="2026-09-07T03:00:00"/>
    <x v="2"/>
    <n v="18.7"/>
    <n v="62.4"/>
    <n v="7.7"/>
    <n v="0"/>
    <n v="43.2"/>
    <n v="4000"/>
    <n v="5125.5"/>
    <n v="1"/>
    <n v="43.2"/>
    <n v="4043.2"/>
    <n v="3"/>
  </r>
  <r>
    <d v="2026-09-07T04:00:00"/>
    <x v="2"/>
    <n v="19.600000000000001"/>
    <n v="0"/>
    <n v="8.6"/>
    <n v="0"/>
    <n v="61.7"/>
    <n v="4000"/>
    <n v="4820.7"/>
    <n v="1"/>
    <n v="61.7"/>
    <n v="4061.7"/>
    <n v="4"/>
  </r>
  <r>
    <d v="2026-09-07T05:00:00"/>
    <x v="2"/>
    <n v="23.7"/>
    <n v="50.1"/>
    <n v="5.4"/>
    <n v="0"/>
    <n v="14.8"/>
    <n v="4000"/>
    <n v="4715.8"/>
    <n v="1"/>
    <n v="14.8"/>
    <n v="4014.8"/>
    <n v="5"/>
  </r>
  <r>
    <d v="2026-09-07T06:00:00"/>
    <x v="2"/>
    <n v="21.4"/>
    <n v="100"/>
    <n v="0"/>
    <n v="89"/>
    <n v="0"/>
    <n v="4000"/>
    <n v="4855.8"/>
    <n v="1"/>
    <n v="89"/>
    <n v="4089"/>
    <n v="6"/>
  </r>
  <r>
    <d v="2026-09-07T07:00:00"/>
    <x v="2"/>
    <n v="24"/>
    <n v="23.8"/>
    <n v="2.8"/>
    <n v="702.6"/>
    <n v="2"/>
    <n v="4000"/>
    <n v="5141.5"/>
    <n v="1"/>
    <n v="704.6"/>
    <n v="4704.6000000000004"/>
    <n v="7"/>
  </r>
  <r>
    <d v="2026-09-07T08:00:00"/>
    <x v="2"/>
    <n v="22.6"/>
    <n v="25.4"/>
    <n v="9.4"/>
    <n v="993.6"/>
    <n v="80"/>
    <n v="4000"/>
    <n v="5201.5"/>
    <n v="1"/>
    <n v="1073.5999999999999"/>
    <n v="5073.6000000000004"/>
    <n v="8"/>
  </r>
  <r>
    <d v="2026-09-07T09:00:00"/>
    <x v="2"/>
    <n v="23.7"/>
    <n v="66.5"/>
    <n v="2.9"/>
    <n v="731.8"/>
    <n v="2.4"/>
    <n v="4000"/>
    <n v="5000.8"/>
    <n v="1"/>
    <n v="734.19999999999993"/>
    <n v="4734.2"/>
    <n v="9"/>
  </r>
  <r>
    <d v="2026-09-07T10:00:00"/>
    <x v="2"/>
    <n v="28.5"/>
    <n v="76"/>
    <n v="7.1"/>
    <n v="706.9"/>
    <n v="34.1"/>
    <n v="4000"/>
    <n v="7315.1"/>
    <n v="1"/>
    <n v="741"/>
    <n v="4741"/>
    <n v="10"/>
  </r>
  <r>
    <d v="2026-09-07T11:00:00"/>
    <x v="2"/>
    <n v="26.8"/>
    <n v="24.5"/>
    <n v="7.3"/>
    <n v="1567"/>
    <n v="38.1"/>
    <n v="4000"/>
    <n v="7414.2"/>
    <n v="1"/>
    <n v="1605.1"/>
    <n v="5605.1"/>
    <n v="11"/>
  </r>
  <r>
    <d v="2026-09-07T12:00:00"/>
    <x v="2"/>
    <n v="25"/>
    <n v="49.2"/>
    <n v="7.2"/>
    <n v="1213.5"/>
    <n v="36.6"/>
    <n v="4000"/>
    <n v="7462.9"/>
    <n v="1"/>
    <n v="1250.0999999999999"/>
    <n v="5250.1"/>
    <n v="12"/>
  </r>
  <r>
    <d v="2026-09-07T13:00:00"/>
    <x v="2"/>
    <n v="24.9"/>
    <n v="93.7"/>
    <n v="13"/>
    <n v="488.9"/>
    <n v="209"/>
    <n v="4000"/>
    <n v="7141.9"/>
    <n v="1"/>
    <n v="697.9"/>
    <n v="4697.8999999999996"/>
    <n v="13"/>
  </r>
  <r>
    <d v="2026-09-07T14:00:00"/>
    <x v="2"/>
    <n v="24.5"/>
    <n v="13.5"/>
    <n v="6.8"/>
    <n v="1606.9"/>
    <n v="29.8"/>
    <n v="4000"/>
    <n v="7179.4"/>
    <n v="1"/>
    <n v="1636.7"/>
    <n v="5636.7"/>
    <n v="14"/>
  </r>
  <r>
    <d v="2026-09-07T15:00:00"/>
    <x v="2"/>
    <n v="26.5"/>
    <n v="59.9"/>
    <n v="4.2"/>
    <n v="814"/>
    <n v="7.3"/>
    <n v="4000"/>
    <n v="5115.6000000000004"/>
    <n v="1"/>
    <n v="821.3"/>
    <n v="4821.3"/>
    <n v="15"/>
  </r>
  <r>
    <d v="2026-09-07T16:00:00"/>
    <x v="2"/>
    <n v="26.2"/>
    <n v="87.4"/>
    <n v="1.4"/>
    <n v="375"/>
    <n v="0.2"/>
    <n v="4000"/>
    <n v="4786.2"/>
    <n v="1"/>
    <n v="375.2"/>
    <n v="4375.2"/>
    <n v="16"/>
  </r>
  <r>
    <d v="2026-09-07T17:00:00"/>
    <x v="2"/>
    <n v="24.4"/>
    <n v="100"/>
    <n v="2"/>
    <n v="173.6"/>
    <n v="0.7"/>
    <n v="4000"/>
    <n v="5188.5"/>
    <n v="1"/>
    <n v="174.29999999999998"/>
    <n v="4174.3"/>
    <n v="17"/>
  </r>
  <r>
    <d v="2026-09-07T18:00:00"/>
    <x v="2"/>
    <n v="21.7"/>
    <n v="75.099999999999994"/>
    <n v="11.4"/>
    <n v="177.7"/>
    <n v="141.80000000000001"/>
    <n v="4000"/>
    <n v="7495.1"/>
    <n v="1"/>
    <n v="319.5"/>
    <n v="4319.5"/>
    <n v="18"/>
  </r>
  <r>
    <d v="2026-09-07T19:00:00"/>
    <x v="2"/>
    <n v="20.2"/>
    <n v="29.2"/>
    <n v="9.6999999999999993"/>
    <n v="0"/>
    <n v="87.3"/>
    <n v="4000"/>
    <n v="7805.9"/>
    <n v="1"/>
    <n v="87.3"/>
    <n v="4087.3"/>
    <n v="19"/>
  </r>
  <r>
    <d v="2026-09-07T20:00:00"/>
    <x v="2"/>
    <n v="22.8"/>
    <n v="51.5"/>
    <n v="10.8"/>
    <n v="0"/>
    <n v="120"/>
    <n v="4000"/>
    <n v="7555.3"/>
    <n v="1"/>
    <n v="120"/>
    <n v="4120"/>
    <n v="20"/>
  </r>
  <r>
    <d v="2026-09-07T21:00:00"/>
    <x v="2"/>
    <n v="18.2"/>
    <n v="44.4"/>
    <n v="5"/>
    <n v="0"/>
    <n v="11.8"/>
    <n v="4000"/>
    <n v="7801.8"/>
    <n v="1"/>
    <n v="11.8"/>
    <n v="4011.8"/>
    <n v="21"/>
  </r>
  <r>
    <d v="2026-09-07T22:00:00"/>
    <x v="2"/>
    <n v="17.8"/>
    <n v="42.2"/>
    <n v="5.5"/>
    <n v="0"/>
    <n v="16"/>
    <n v="4000"/>
    <n v="5014.2"/>
    <n v="1"/>
    <n v="16"/>
    <n v="4016"/>
    <n v="22"/>
  </r>
  <r>
    <d v="2026-09-07T23:00:00"/>
    <x v="2"/>
    <n v="12.9"/>
    <n v="73.7"/>
    <n v="3.1"/>
    <n v="0"/>
    <n v="2.8"/>
    <n v="4000"/>
    <n v="4961.8"/>
    <n v="1"/>
    <n v="2.8"/>
    <n v="4002.8"/>
    <n v="23"/>
  </r>
  <r>
    <d v="2026-09-08T00:00:00"/>
    <x v="2"/>
    <n v="13.6"/>
    <n v="6.2"/>
    <n v="1.9"/>
    <n v="0"/>
    <n v="0.7"/>
    <n v="4000"/>
    <n v="4777"/>
    <n v="1"/>
    <n v="0.7"/>
    <n v="4000.7"/>
    <n v="0"/>
  </r>
  <r>
    <d v="2026-09-08T01:00:00"/>
    <x v="2"/>
    <n v="21.1"/>
    <n v="44.2"/>
    <n v="6.5"/>
    <n v="0"/>
    <n v="26.8"/>
    <n v="4000"/>
    <n v="4843.6000000000004"/>
    <n v="1"/>
    <n v="26.8"/>
    <n v="4026.8"/>
    <n v="1"/>
  </r>
  <r>
    <d v="2026-09-08T02:00:00"/>
    <x v="2"/>
    <n v="17.899999999999999"/>
    <n v="57.7"/>
    <n v="2.4"/>
    <n v="0"/>
    <n v="1.4"/>
    <n v="4000"/>
    <n v="5010.1000000000004"/>
    <n v="1"/>
    <n v="1.4"/>
    <n v="4001.4"/>
    <n v="2"/>
  </r>
  <r>
    <d v="2026-09-08T03:00:00"/>
    <x v="2"/>
    <n v="22.1"/>
    <n v="9.5"/>
    <n v="2.9"/>
    <n v="0"/>
    <n v="2.4"/>
    <n v="4000"/>
    <n v="5167.6000000000004"/>
    <n v="1"/>
    <n v="2.4"/>
    <n v="4002.4"/>
    <n v="3"/>
  </r>
  <r>
    <d v="2026-09-08T04:00:00"/>
    <x v="2"/>
    <n v="17.600000000000001"/>
    <n v="75.2"/>
    <n v="3.8"/>
    <n v="0"/>
    <n v="5.3"/>
    <n v="4000"/>
    <n v="4908"/>
    <n v="1"/>
    <n v="5.3"/>
    <n v="4005.3"/>
    <n v="4"/>
  </r>
  <r>
    <d v="2026-09-08T05:00:00"/>
    <x v="2"/>
    <n v="23.1"/>
    <n v="66.400000000000006"/>
    <n v="9.1"/>
    <n v="0"/>
    <n v="71.900000000000006"/>
    <n v="4000"/>
    <n v="5274.8"/>
    <n v="1"/>
    <n v="71.900000000000006"/>
    <n v="4071.9"/>
    <n v="5"/>
  </r>
  <r>
    <d v="2026-09-08T06:00:00"/>
    <x v="2"/>
    <n v="20.9"/>
    <n v="35.5"/>
    <n v="6.2"/>
    <n v="318.60000000000002"/>
    <n v="23.3"/>
    <n v="4000"/>
    <n v="5115.8999999999996"/>
    <n v="1"/>
    <n v="341.90000000000003"/>
    <n v="4341.8999999999996"/>
    <n v="6"/>
  </r>
  <r>
    <d v="2026-09-08T07:00:00"/>
    <x v="2"/>
    <n v="23.6"/>
    <n v="12.7"/>
    <n v="3.6"/>
    <n v="779.7"/>
    <n v="4.4000000000000004"/>
    <n v="4000"/>
    <n v="5079.2"/>
    <n v="1"/>
    <n v="784.1"/>
    <n v="4784.1000000000004"/>
    <n v="7"/>
  </r>
  <r>
    <d v="2026-09-08T08:00:00"/>
    <x v="2"/>
    <n v="24.3"/>
    <n v="100"/>
    <n v="1.8"/>
    <n v="249.4"/>
    <n v="0.6"/>
    <n v="4000"/>
    <n v="4938.8999999999996"/>
    <n v="1"/>
    <n v="250"/>
    <n v="4250"/>
    <n v="8"/>
  </r>
  <r>
    <d v="2026-09-08T09:00:00"/>
    <x v="2"/>
    <n v="28.5"/>
    <n v="100"/>
    <n v="4.8"/>
    <n v="312.7"/>
    <n v="10.5"/>
    <n v="4000"/>
    <n v="5025.8"/>
    <n v="1"/>
    <n v="323.2"/>
    <n v="4323.2"/>
    <n v="9"/>
  </r>
  <r>
    <d v="2026-09-08T10:00:00"/>
    <x v="2"/>
    <n v="27.5"/>
    <n v="65.900000000000006"/>
    <n v="5.7"/>
    <n v="852.5"/>
    <n v="17.8"/>
    <n v="4000"/>
    <n v="7223.7"/>
    <n v="1"/>
    <n v="870.3"/>
    <n v="4870.3"/>
    <n v="10"/>
  </r>
  <r>
    <d v="2026-09-08T11:00:00"/>
    <x v="2"/>
    <n v="21.8"/>
    <n v="80.5"/>
    <n v="6.4"/>
    <n v="694.7"/>
    <n v="24.9"/>
    <n v="4000"/>
    <n v="7215.4"/>
    <n v="1"/>
    <n v="719.6"/>
    <n v="4719.6000000000004"/>
    <n v="11"/>
  </r>
  <r>
    <d v="2026-09-08T12:00:00"/>
    <x v="2"/>
    <n v="31.1"/>
    <n v="39.799999999999997"/>
    <n v="4.8"/>
    <n v="1364"/>
    <n v="10.6"/>
    <n v="4000"/>
    <n v="7116.6"/>
    <n v="1"/>
    <n v="1374.6"/>
    <n v="5374.6"/>
    <n v="12"/>
  </r>
  <r>
    <d v="2026-09-08T13:00:00"/>
    <x v="2"/>
    <n v="25.2"/>
    <n v="43.5"/>
    <n v="5.6"/>
    <n v="1271.4000000000001"/>
    <n v="16.5"/>
    <n v="4000"/>
    <n v="7448.7"/>
    <n v="1"/>
    <n v="1287.9000000000001"/>
    <n v="5287.9"/>
    <n v="13"/>
  </r>
  <r>
    <d v="2026-09-08T14:00:00"/>
    <x v="2"/>
    <n v="26.7"/>
    <n v="21.2"/>
    <n v="4.4000000000000004"/>
    <n v="1496"/>
    <n v="8.1999999999999993"/>
    <n v="4000"/>
    <n v="7276.1"/>
    <n v="1"/>
    <n v="1504.2"/>
    <n v="5504.2"/>
    <n v="14"/>
  </r>
  <r>
    <d v="2026-09-08T15:00:00"/>
    <x v="2"/>
    <n v="25.4"/>
    <n v="72.8"/>
    <n v="7.3"/>
    <n v="653.29999999999995"/>
    <n v="36.700000000000003"/>
    <n v="4000"/>
    <n v="4858.8999999999996"/>
    <n v="1"/>
    <n v="690"/>
    <n v="4690"/>
    <n v="15"/>
  </r>
  <r>
    <d v="2026-09-08T16:00:00"/>
    <x v="2"/>
    <n v="26.6"/>
    <n v="67.599999999999994"/>
    <n v="10.199999999999999"/>
    <n v="572.79999999999995"/>
    <n v="100.5"/>
    <n v="4000"/>
    <n v="4683.6000000000004"/>
    <n v="1"/>
    <n v="673.3"/>
    <n v="4673.3"/>
    <n v="16"/>
  </r>
  <r>
    <d v="2026-09-08T17:00:00"/>
    <x v="2"/>
    <n v="25.5"/>
    <n v="74"/>
    <n v="10"/>
    <n v="354.1"/>
    <n v="97.1"/>
    <n v="4000"/>
    <n v="5016.6000000000004"/>
    <n v="1"/>
    <n v="451.20000000000005"/>
    <n v="4451.2"/>
    <n v="17"/>
  </r>
  <r>
    <d v="2026-09-08T18:00:00"/>
    <x v="2"/>
    <n v="21.8"/>
    <n v="100"/>
    <n v="8.6999999999999993"/>
    <n v="89"/>
    <n v="62.5"/>
    <n v="4000"/>
    <n v="7778.3"/>
    <n v="1"/>
    <n v="151.5"/>
    <n v="4151.5"/>
    <n v="18"/>
  </r>
  <r>
    <d v="2026-09-08T19:00:00"/>
    <x v="2"/>
    <n v="18.2"/>
    <n v="21.4"/>
    <n v="6.9"/>
    <n v="0"/>
    <n v="31.2"/>
    <n v="4000"/>
    <n v="7786.1"/>
    <n v="1"/>
    <n v="31.2"/>
    <n v="4031.2"/>
    <n v="19"/>
  </r>
  <r>
    <d v="2026-09-08T20:00:00"/>
    <x v="2"/>
    <n v="18.3"/>
    <n v="64.2"/>
    <n v="10.8"/>
    <n v="0"/>
    <n v="119.8"/>
    <n v="4000"/>
    <n v="7721.8"/>
    <n v="1"/>
    <n v="119.8"/>
    <n v="4119.8"/>
    <n v="20"/>
  </r>
  <r>
    <d v="2026-09-08T21:00:00"/>
    <x v="2"/>
    <n v="16.2"/>
    <n v="56.7"/>
    <n v="3.6"/>
    <n v="0"/>
    <n v="4.4000000000000004"/>
    <n v="4000"/>
    <n v="7804.3"/>
    <n v="1"/>
    <n v="4.4000000000000004"/>
    <n v="4004.4"/>
    <n v="21"/>
  </r>
  <r>
    <d v="2026-09-08T22:00:00"/>
    <x v="2"/>
    <n v="16.8"/>
    <n v="45.7"/>
    <n v="2.2000000000000002"/>
    <n v="0"/>
    <n v="1.1000000000000001"/>
    <n v="4000"/>
    <n v="4891.8"/>
    <n v="1"/>
    <n v="1.1000000000000001"/>
    <n v="4001.1"/>
    <n v="22"/>
  </r>
  <r>
    <d v="2026-09-08T23:00:00"/>
    <x v="2"/>
    <n v="16"/>
    <n v="0"/>
    <n v="12.2"/>
    <n v="0"/>
    <n v="172.6"/>
    <n v="4000"/>
    <n v="4930.8999999999996"/>
    <n v="1"/>
    <n v="172.6"/>
    <n v="4172.6000000000004"/>
    <n v="23"/>
  </r>
  <r>
    <d v="2026-09-09T00:00:00"/>
    <x v="2"/>
    <n v="16.2"/>
    <n v="60.6"/>
    <n v="2.5"/>
    <n v="0"/>
    <n v="1.5"/>
    <n v="4000"/>
    <n v="5113.3"/>
    <n v="1"/>
    <n v="1.5"/>
    <n v="4001.5"/>
    <n v="0"/>
  </r>
  <r>
    <d v="2026-09-09T01:00:00"/>
    <x v="2"/>
    <n v="21"/>
    <n v="64.7"/>
    <n v="9.1"/>
    <n v="0"/>
    <n v="71.599999999999994"/>
    <n v="4000"/>
    <n v="5204.3999999999996"/>
    <n v="1"/>
    <n v="71.599999999999994"/>
    <n v="4071.6"/>
    <n v="1"/>
  </r>
  <r>
    <d v="2026-09-09T02:00:00"/>
    <x v="2"/>
    <n v="15"/>
    <n v="47.6"/>
    <n v="6.4"/>
    <n v="0"/>
    <n v="25.1"/>
    <n v="4000"/>
    <n v="4976.3"/>
    <n v="1"/>
    <n v="25.1"/>
    <n v="4025.1"/>
    <n v="2"/>
  </r>
  <r>
    <d v="2026-09-09T03:00:00"/>
    <x v="2"/>
    <n v="18"/>
    <n v="57.3"/>
    <n v="5.8"/>
    <n v="0"/>
    <n v="18.3"/>
    <n v="4000"/>
    <n v="4881.8"/>
    <n v="1"/>
    <n v="18.3"/>
    <n v="4018.3"/>
    <n v="3"/>
  </r>
  <r>
    <d v="2026-09-09T04:00:00"/>
    <x v="2"/>
    <n v="17.399999999999999"/>
    <n v="38.5"/>
    <n v="2.1"/>
    <n v="0"/>
    <n v="0.9"/>
    <n v="4000"/>
    <n v="4957.8"/>
    <n v="1"/>
    <n v="0.9"/>
    <n v="4000.9"/>
    <n v="4"/>
  </r>
  <r>
    <d v="2026-09-09T05:00:00"/>
    <x v="2"/>
    <n v="16.5"/>
    <n v="94.6"/>
    <n v="10.199999999999999"/>
    <n v="0"/>
    <n v="100.7"/>
    <n v="4000"/>
    <n v="5096.7"/>
    <n v="1"/>
    <n v="100.7"/>
    <n v="4100.7"/>
    <n v="5"/>
  </r>
  <r>
    <d v="2026-09-09T06:00:00"/>
    <x v="2"/>
    <n v="16.8"/>
    <n v="49.2"/>
    <n v="5.8"/>
    <n v="270"/>
    <n v="18.8"/>
    <n v="4000"/>
    <n v="4904.7"/>
    <n v="1"/>
    <n v="288.8"/>
    <n v="4288.8"/>
    <n v="6"/>
  </r>
  <r>
    <d v="2026-09-09T07:00:00"/>
    <x v="2"/>
    <n v="22.3"/>
    <n v="100"/>
    <n v="8"/>
    <n v="173.6"/>
    <n v="49.1"/>
    <n v="4000"/>
    <n v="4798.3999999999996"/>
    <n v="1"/>
    <n v="222.7"/>
    <n v="4222.7"/>
    <n v="7"/>
  </r>
  <r>
    <d v="2026-09-09T08:00:00"/>
    <x v="2"/>
    <n v="21.3"/>
    <n v="50.2"/>
    <n v="5.4"/>
    <n v="746.3"/>
    <n v="14.8"/>
    <n v="4000"/>
    <n v="4811.3"/>
    <n v="1"/>
    <n v="761.09999999999991"/>
    <n v="4761.1000000000004"/>
    <n v="8"/>
  </r>
  <r>
    <d v="2026-09-09T09:00:00"/>
    <x v="2"/>
    <n v="24.5"/>
    <n v="75.3"/>
    <n v="11.8"/>
    <n v="621.1"/>
    <n v="158"/>
    <n v="4000"/>
    <n v="5024.3999999999996"/>
    <n v="1"/>
    <n v="779.1"/>
    <n v="4779.1000000000004"/>
    <n v="9"/>
  </r>
  <r>
    <d v="2026-09-09T10:00:00"/>
    <x v="2"/>
    <n v="26.2"/>
    <n v="54.5"/>
    <n v="4.9000000000000004"/>
    <n v="1016.2"/>
    <n v="11.5"/>
    <n v="4000"/>
    <n v="7272.3"/>
    <n v="1"/>
    <n v="1027.7"/>
    <n v="5027.7"/>
    <n v="10"/>
  </r>
  <r>
    <d v="2026-09-09T11:00:00"/>
    <x v="2"/>
    <n v="25.6"/>
    <n v="61.4"/>
    <n v="6.2"/>
    <n v="992.8"/>
    <n v="22.4"/>
    <n v="4000"/>
    <n v="7327.1"/>
    <n v="1"/>
    <n v="1015.1999999999999"/>
    <n v="5015.2"/>
    <n v="11"/>
  </r>
  <r>
    <d v="2026-09-09T12:00:00"/>
    <x v="2"/>
    <n v="24.3"/>
    <n v="69.7"/>
    <n v="5.8"/>
    <n v="885"/>
    <n v="18.899999999999999"/>
    <n v="4000"/>
    <n v="7074.7"/>
    <n v="1"/>
    <n v="903.9"/>
    <n v="4903.8999999999996"/>
    <n v="12"/>
  </r>
  <r>
    <d v="2026-09-09T13:00:00"/>
    <x v="2"/>
    <n v="25.8"/>
    <n v="96.6"/>
    <n v="3.4"/>
    <n v="442.6"/>
    <n v="3.7"/>
    <n v="4000"/>
    <n v="7225"/>
    <n v="1"/>
    <n v="446.3"/>
    <n v="4446.3"/>
    <n v="13"/>
  </r>
  <r>
    <d v="2026-09-09T14:00:00"/>
    <x v="2"/>
    <n v="22.8"/>
    <n v="73"/>
    <n v="7.4"/>
    <n v="749"/>
    <n v="39.299999999999997"/>
    <n v="4000"/>
    <n v="7406.8"/>
    <n v="1"/>
    <n v="788.3"/>
    <n v="4788.3"/>
    <n v="14"/>
  </r>
  <r>
    <d v="2026-09-09T15:00:00"/>
    <x v="2"/>
    <n v="26.4"/>
    <n v="98.4"/>
    <n v="0"/>
    <n v="332.9"/>
    <n v="0"/>
    <n v="4000"/>
    <n v="4830.7"/>
    <n v="1"/>
    <n v="332.9"/>
    <n v="4332.8999999999996"/>
    <n v="15"/>
  </r>
  <r>
    <d v="2026-09-09T16:00:00"/>
    <x v="2"/>
    <n v="19.5"/>
    <n v="31"/>
    <n v="10.9"/>
    <n v="937.4"/>
    <n v="123.9"/>
    <n v="3964.1"/>
    <n v="5025.3999999999996"/>
    <n v="0"/>
    <n v="1061.3"/>
    <n v="5025.3999999999996"/>
    <n v="16"/>
  </r>
  <r>
    <d v="2026-09-09T17:00:00"/>
    <x v="2"/>
    <n v="20.9"/>
    <n v="54.1"/>
    <n v="12.2"/>
    <n v="492.5"/>
    <n v="174.5"/>
    <n v="4000"/>
    <n v="4862.7"/>
    <n v="1"/>
    <n v="667"/>
    <n v="4667"/>
    <n v="17"/>
  </r>
  <r>
    <d v="2026-09-09T18:00:00"/>
    <x v="2"/>
    <n v="19.899999999999999"/>
    <n v="100"/>
    <n v="11.6"/>
    <n v="89"/>
    <n v="148.80000000000001"/>
    <n v="4000"/>
    <n v="7425.2"/>
    <n v="1"/>
    <n v="237.8"/>
    <n v="4237.8"/>
    <n v="18"/>
  </r>
  <r>
    <d v="2026-09-09T19:00:00"/>
    <x v="2"/>
    <n v="18.2"/>
    <n v="100"/>
    <n v="10.8"/>
    <n v="0"/>
    <n v="120.4"/>
    <n v="4000"/>
    <n v="7684.5"/>
    <n v="1"/>
    <n v="120.4"/>
    <n v="4120.3999999999996"/>
    <n v="19"/>
  </r>
  <r>
    <d v="2026-09-09T20:00:00"/>
    <x v="2"/>
    <n v="17.899999999999999"/>
    <n v="58.5"/>
    <n v="5.5"/>
    <n v="0"/>
    <n v="16.100000000000001"/>
    <n v="4000"/>
    <n v="7801.8"/>
    <n v="1"/>
    <n v="16.100000000000001"/>
    <n v="4016.1"/>
    <n v="20"/>
  </r>
  <r>
    <d v="2026-09-09T21:00:00"/>
    <x v="2"/>
    <n v="21.4"/>
    <n v="86.4"/>
    <n v="2.8"/>
    <n v="0"/>
    <n v="2"/>
    <n v="4000"/>
    <n v="7749.6"/>
    <n v="1"/>
    <n v="2"/>
    <n v="4002"/>
    <n v="21"/>
  </r>
  <r>
    <d v="2026-09-09T22:00:00"/>
    <x v="2"/>
    <n v="18.3"/>
    <n v="80.599999999999994"/>
    <n v="10.4"/>
    <n v="0"/>
    <n v="108"/>
    <n v="4000"/>
    <n v="5156.5"/>
    <n v="1"/>
    <n v="108"/>
    <n v="4108"/>
    <n v="22"/>
  </r>
  <r>
    <d v="2026-09-09T23:00:00"/>
    <x v="2"/>
    <n v="17.100000000000001"/>
    <n v="44.1"/>
    <n v="1.3"/>
    <n v="0"/>
    <n v="0.2"/>
    <n v="4000"/>
    <n v="4783.3"/>
    <n v="1"/>
    <n v="0.2"/>
    <n v="4000.2"/>
    <n v="23"/>
  </r>
  <r>
    <d v="2026-09-10T00:00:00"/>
    <x v="2"/>
    <n v="22"/>
    <n v="4.8"/>
    <n v="5.9"/>
    <n v="0"/>
    <n v="19.7"/>
    <n v="4000"/>
    <n v="5002"/>
    <n v="1"/>
    <n v="19.7"/>
    <n v="4019.7"/>
    <n v="0"/>
  </r>
  <r>
    <d v="2026-09-10T01:00:00"/>
    <x v="2"/>
    <n v="17.399999999999999"/>
    <n v="56.6"/>
    <n v="2.1"/>
    <n v="0"/>
    <n v="0.9"/>
    <n v="4000"/>
    <n v="5046.1000000000004"/>
    <n v="1"/>
    <n v="0.9"/>
    <n v="4000.9"/>
    <n v="1"/>
  </r>
  <r>
    <d v="2026-09-10T02:00:00"/>
    <x v="2"/>
    <n v="16.2"/>
    <n v="0"/>
    <n v="9.6"/>
    <n v="0"/>
    <n v="84.5"/>
    <n v="4000"/>
    <n v="4984.8999999999996"/>
    <n v="1"/>
    <n v="84.5"/>
    <n v="4084.5"/>
    <n v="2"/>
  </r>
  <r>
    <d v="2026-09-10T03:00:00"/>
    <x v="2"/>
    <n v="18.600000000000001"/>
    <n v="66.900000000000006"/>
    <n v="9.1999999999999993"/>
    <n v="0"/>
    <n v="75.3"/>
    <n v="4000"/>
    <n v="5093.8"/>
    <n v="1"/>
    <n v="75.3"/>
    <n v="4075.3"/>
    <n v="3"/>
  </r>
  <r>
    <d v="2026-09-10T04:00:00"/>
    <x v="2"/>
    <n v="21.3"/>
    <n v="51.1"/>
    <n v="9.9"/>
    <n v="0"/>
    <n v="94.2"/>
    <n v="4000"/>
    <n v="4983.7"/>
    <n v="1"/>
    <n v="94.2"/>
    <n v="4094.2"/>
    <n v="4"/>
  </r>
  <r>
    <d v="2026-09-10T05:00:00"/>
    <x v="2"/>
    <n v="21.1"/>
    <n v="21.9"/>
    <n v="6.9"/>
    <n v="0"/>
    <n v="31"/>
    <n v="4000"/>
    <n v="4998.1000000000004"/>
    <n v="1"/>
    <n v="31"/>
    <n v="4031"/>
    <n v="5"/>
  </r>
  <r>
    <d v="2026-09-10T06:00:00"/>
    <x v="2"/>
    <n v="20.7"/>
    <n v="35.5"/>
    <n v="2.8"/>
    <n v="318.5"/>
    <n v="2.1"/>
    <n v="4000"/>
    <n v="4825.2"/>
    <n v="1"/>
    <n v="320.60000000000002"/>
    <n v="4320.6000000000004"/>
    <n v="6"/>
  </r>
  <r>
    <d v="2026-09-10T07:00:00"/>
    <x v="2"/>
    <n v="26"/>
    <n v="100"/>
    <n v="2.2999999999999998"/>
    <n v="173.6"/>
    <n v="1.2"/>
    <n v="4000"/>
    <n v="5268.7"/>
    <n v="1"/>
    <n v="174.79999999999998"/>
    <n v="4174.8"/>
    <n v="7"/>
  </r>
  <r>
    <d v="2026-09-10T08:00:00"/>
    <x v="2"/>
    <n v="21.9"/>
    <n v="39.1"/>
    <n v="3.2"/>
    <n v="856.6"/>
    <n v="3.3"/>
    <n v="4000"/>
    <n v="4960.7"/>
    <n v="1"/>
    <n v="859.9"/>
    <n v="4859.8999999999996"/>
    <n v="8"/>
  </r>
  <r>
    <d v="2026-09-10T09:00:00"/>
    <x v="2"/>
    <n v="24.7"/>
    <n v="92.1"/>
    <n v="7.8"/>
    <n v="412.2"/>
    <n v="45.8"/>
    <n v="4000"/>
    <n v="5135.8999999999996"/>
    <n v="1"/>
    <n v="458"/>
    <n v="4458"/>
    <n v="9"/>
  </r>
  <r>
    <d v="2026-09-10T10:00:00"/>
    <x v="2"/>
    <n v="23.4"/>
    <n v="97.8"/>
    <n v="9.4"/>
    <n v="392.4"/>
    <n v="80.7"/>
    <n v="4000"/>
    <n v="7495.5"/>
    <n v="1"/>
    <n v="473.09999999999997"/>
    <n v="4473.1000000000004"/>
    <n v="10"/>
  </r>
  <r>
    <d v="2026-09-10T11:00:00"/>
    <x v="2"/>
    <n v="28.8"/>
    <n v="70.099999999999994"/>
    <n v="5.3"/>
    <n v="856.6"/>
    <n v="14.4"/>
    <n v="4000"/>
    <n v="7004"/>
    <n v="1"/>
    <n v="871"/>
    <n v="4871"/>
    <n v="11"/>
  </r>
  <r>
    <d v="2026-09-10T12:00:00"/>
    <x v="2"/>
    <n v="25.6"/>
    <n v="100"/>
    <n v="6"/>
    <n v="400"/>
    <n v="20.8"/>
    <n v="4000"/>
    <n v="7026.4"/>
    <n v="1"/>
    <n v="420.8"/>
    <n v="4420.8"/>
    <n v="12"/>
  </r>
  <r>
    <d v="2026-09-10T13:00:00"/>
    <x v="2"/>
    <n v="25.2"/>
    <n v="36.6"/>
    <n v="9.1999999999999993"/>
    <n v="1378.9"/>
    <n v="75.900000000000006"/>
    <n v="4000"/>
    <n v="7267.3"/>
    <n v="1"/>
    <n v="1454.8000000000002"/>
    <n v="5454.8"/>
    <n v="13"/>
  </r>
  <r>
    <d v="2026-09-10T14:00:00"/>
    <x v="2"/>
    <n v="25.5"/>
    <n v="61"/>
    <n v="6.3"/>
    <n v="922.3"/>
    <n v="24.4"/>
    <n v="4000"/>
    <n v="6947.6"/>
    <n v="1"/>
    <n v="946.69999999999993"/>
    <n v="4946.7"/>
    <n v="14"/>
  </r>
  <r>
    <d v="2026-09-10T15:00:00"/>
    <x v="2"/>
    <n v="26.3"/>
    <n v="80.8"/>
    <n v="8.1999999999999993"/>
    <n v="553.1"/>
    <n v="53"/>
    <n v="4000"/>
    <n v="4923.1000000000004"/>
    <n v="1"/>
    <n v="606.1"/>
    <n v="4606.1000000000004"/>
    <n v="15"/>
  </r>
  <r>
    <d v="2026-09-10T16:00:00"/>
    <x v="2"/>
    <n v="23.9"/>
    <n v="95.8"/>
    <n v="8.6999999999999993"/>
    <n v="290.89999999999998"/>
    <n v="62.9"/>
    <n v="4000"/>
    <n v="4802.1000000000004"/>
    <n v="1"/>
    <n v="353.79999999999995"/>
    <n v="4353.8"/>
    <n v="16"/>
  </r>
  <r>
    <d v="2026-09-10T17:00:00"/>
    <x v="2"/>
    <n v="24"/>
    <n v="0.7"/>
    <n v="6.1"/>
    <n v="863.2"/>
    <n v="22.2"/>
    <n v="3858.7"/>
    <n v="4744.1000000000004"/>
    <n v="0"/>
    <n v="885.40000000000009"/>
    <n v="4744.1000000000004"/>
    <n v="17"/>
  </r>
  <r>
    <d v="2026-09-10T18:00:00"/>
    <x v="2"/>
    <n v="20.100000000000001"/>
    <n v="35"/>
    <n v="8.3000000000000007"/>
    <n v="320.5"/>
    <n v="54.7"/>
    <n v="4000"/>
    <n v="7984.7"/>
    <n v="1"/>
    <n v="375.2"/>
    <n v="4375.2"/>
    <n v="18"/>
  </r>
  <r>
    <d v="2026-09-10T19:00:00"/>
    <x v="2"/>
    <n v="19.399999999999999"/>
    <n v="77.900000000000006"/>
    <n v="4.0999999999999996"/>
    <n v="0"/>
    <n v="6.6"/>
    <n v="4000"/>
    <n v="7468.6"/>
    <n v="1"/>
    <n v="6.6"/>
    <n v="4006.6"/>
    <n v="19"/>
  </r>
  <r>
    <d v="2026-09-10T20:00:00"/>
    <x v="2"/>
    <n v="21"/>
    <n v="72.599999999999994"/>
    <n v="6.8"/>
    <n v="0"/>
    <n v="30.2"/>
    <n v="4000"/>
    <n v="7664.6"/>
    <n v="1"/>
    <n v="30.2"/>
    <n v="4030.2"/>
    <n v="20"/>
  </r>
  <r>
    <d v="2026-09-10T21:00:00"/>
    <x v="2"/>
    <n v="19.2"/>
    <n v="56.3"/>
    <n v="7.4"/>
    <n v="0"/>
    <n v="38.5"/>
    <n v="4000"/>
    <n v="7649.1"/>
    <n v="1"/>
    <n v="38.5"/>
    <n v="4038.5"/>
    <n v="21"/>
  </r>
  <r>
    <d v="2026-09-10T22:00:00"/>
    <x v="2"/>
    <n v="17.3"/>
    <n v="30.3"/>
    <n v="5.9"/>
    <n v="0"/>
    <n v="19.7"/>
    <n v="4000"/>
    <n v="4875.5"/>
    <n v="1"/>
    <n v="19.7"/>
    <n v="4019.7"/>
    <n v="22"/>
  </r>
  <r>
    <d v="2026-09-10T23:00:00"/>
    <x v="2"/>
    <n v="14.9"/>
    <n v="67.8"/>
    <n v="6.6"/>
    <n v="0"/>
    <n v="28.1"/>
    <n v="4000"/>
    <n v="4828.3"/>
    <n v="1"/>
    <n v="28.1"/>
    <n v="4028.1"/>
    <n v="23"/>
  </r>
  <r>
    <d v="2026-09-11T00:00:00"/>
    <x v="2"/>
    <n v="16.100000000000001"/>
    <n v="72.2"/>
    <n v="7.7"/>
    <n v="0"/>
    <n v="43"/>
    <n v="4000"/>
    <n v="5067.3999999999996"/>
    <n v="1"/>
    <n v="43"/>
    <n v="4043"/>
    <n v="0"/>
  </r>
  <r>
    <d v="2026-09-11T01:00:00"/>
    <x v="2"/>
    <n v="15.5"/>
    <n v="64.5"/>
    <n v="7.1"/>
    <n v="0"/>
    <n v="34.200000000000003"/>
    <n v="4000"/>
    <n v="5016.7"/>
    <n v="1"/>
    <n v="34.200000000000003"/>
    <n v="4034.2"/>
    <n v="1"/>
  </r>
  <r>
    <d v="2026-09-11T02:00:00"/>
    <x v="2"/>
    <n v="13.5"/>
    <n v="64.8"/>
    <n v="12.6"/>
    <n v="0"/>
    <n v="193.8"/>
    <n v="4000"/>
    <n v="4951.1000000000004"/>
    <n v="1"/>
    <n v="193.8"/>
    <n v="4193.8"/>
    <n v="2"/>
  </r>
  <r>
    <d v="2026-09-11T03:00:00"/>
    <x v="2"/>
    <n v="17"/>
    <n v="71.2"/>
    <n v="6.9"/>
    <n v="0"/>
    <n v="32"/>
    <n v="4000"/>
    <n v="4896"/>
    <n v="1"/>
    <n v="32"/>
    <n v="4032"/>
    <n v="3"/>
  </r>
  <r>
    <d v="2026-09-11T04:00:00"/>
    <x v="2"/>
    <n v="17"/>
    <n v="81.900000000000006"/>
    <n v="7.8"/>
    <n v="0"/>
    <n v="45.1"/>
    <n v="4000"/>
    <n v="5128.8999999999996"/>
    <n v="1"/>
    <n v="45.1"/>
    <n v="4045.1"/>
    <n v="4"/>
  </r>
  <r>
    <d v="2026-09-11T05:00:00"/>
    <x v="2"/>
    <n v="21.4"/>
    <n v="90.9"/>
    <n v="8.6"/>
    <n v="0"/>
    <n v="61.4"/>
    <n v="4000"/>
    <n v="4928.7"/>
    <n v="1"/>
    <n v="61.4"/>
    <n v="4061.4"/>
    <n v="5"/>
  </r>
  <r>
    <d v="2026-09-11T06:00:00"/>
    <x v="2"/>
    <n v="23.6"/>
    <n v="58.1"/>
    <n v="6.2"/>
    <n v="238.3"/>
    <n v="23.1"/>
    <n v="4000"/>
    <n v="4778.5"/>
    <n v="1"/>
    <n v="261.40000000000003"/>
    <n v="4261.3999999999996"/>
    <n v="6"/>
  </r>
  <r>
    <d v="2026-09-11T07:00:00"/>
    <x v="2"/>
    <n v="23"/>
    <n v="95.8"/>
    <n v="5.7"/>
    <n v="203"/>
    <n v="18.2"/>
    <n v="4000"/>
    <n v="4961"/>
    <n v="1"/>
    <n v="221.2"/>
    <n v="4221.2"/>
    <n v="7"/>
  </r>
  <r>
    <d v="2026-09-11T08:00:00"/>
    <x v="2"/>
    <n v="23.7"/>
    <n v="65.400000000000006"/>
    <n v="9.6999999999999993"/>
    <n v="595"/>
    <n v="87.3"/>
    <n v="4000"/>
    <n v="4782.1000000000004"/>
    <n v="1"/>
    <n v="682.3"/>
    <n v="4682.3"/>
    <n v="8"/>
  </r>
  <r>
    <d v="2026-09-11T09:00:00"/>
    <x v="2"/>
    <n v="23.8"/>
    <n v="100"/>
    <n v="6.8"/>
    <n v="312.7"/>
    <n v="30.1"/>
    <n v="4000"/>
    <n v="5040.5"/>
    <n v="1"/>
    <n v="342.8"/>
    <n v="4342.8"/>
    <n v="9"/>
  </r>
  <r>
    <d v="2026-09-11T10:00:00"/>
    <x v="2"/>
    <n v="26"/>
    <n v="76"/>
    <n v="8.5"/>
    <n v="706.3"/>
    <n v="59.3"/>
    <n v="4000"/>
    <n v="7341.3"/>
    <n v="1"/>
    <n v="765.59999999999991"/>
    <n v="4765.6000000000004"/>
    <n v="10"/>
  </r>
  <r>
    <d v="2026-09-11T11:00:00"/>
    <x v="2"/>
    <n v="28.9"/>
    <n v="86.2"/>
    <n v="5.0999999999999996"/>
    <n v="605.79999999999995"/>
    <n v="12.4"/>
    <n v="4000"/>
    <n v="7332.7"/>
    <n v="1"/>
    <n v="618.19999999999993"/>
    <n v="4618.2"/>
    <n v="11"/>
  </r>
  <r>
    <d v="2026-09-11T12:00:00"/>
    <x v="2"/>
    <n v="27.7"/>
    <n v="88"/>
    <n v="5.3"/>
    <n v="592.1"/>
    <n v="14.6"/>
    <n v="4000"/>
    <n v="7064.2"/>
    <n v="1"/>
    <n v="606.70000000000005"/>
    <n v="4606.7"/>
    <n v="12"/>
  </r>
  <r>
    <d v="2026-09-11T13:00:00"/>
    <x v="2"/>
    <n v="29.7"/>
    <n v="32.5"/>
    <n v="3.5"/>
    <n v="1442.7"/>
    <n v="4.0999999999999996"/>
    <n v="4000"/>
    <n v="7309.8"/>
    <n v="1"/>
    <n v="1446.8"/>
    <n v="5446.8"/>
    <n v="13"/>
  </r>
  <r>
    <d v="2026-09-11T14:00:00"/>
    <x v="2"/>
    <n v="26.9"/>
    <n v="44.3"/>
    <n v="10.1"/>
    <n v="1163.9000000000001"/>
    <n v="97.6"/>
    <n v="4000"/>
    <n v="7128.9"/>
    <n v="1"/>
    <n v="1261.5"/>
    <n v="5261.5"/>
    <n v="14"/>
  </r>
  <r>
    <d v="2026-09-11T15:00:00"/>
    <x v="2"/>
    <n v="25.6"/>
    <n v="16.899999999999999"/>
    <n v="2.1"/>
    <n v="1352"/>
    <n v="0.8"/>
    <n v="3660.8"/>
    <n v="5013.6000000000004"/>
    <n v="0"/>
    <n v="1352.8"/>
    <n v="5013.6000000000004"/>
    <n v="15"/>
  </r>
  <r>
    <d v="2026-09-11T16:00:00"/>
    <x v="2"/>
    <n v="20.2"/>
    <n v="90.4"/>
    <n v="5.5"/>
    <n v="345.4"/>
    <n v="16.2"/>
    <n v="4000"/>
    <n v="4992.2"/>
    <n v="1"/>
    <n v="361.59999999999997"/>
    <n v="4361.6000000000004"/>
    <n v="16"/>
  </r>
  <r>
    <d v="2026-09-11T17:00:00"/>
    <x v="2"/>
    <n v="27.9"/>
    <n v="54.6"/>
    <n v="5.7"/>
    <n v="489"/>
    <n v="17.600000000000001"/>
    <n v="4000"/>
    <n v="5436.5"/>
    <n v="1"/>
    <n v="506.6"/>
    <n v="4506.6000000000004"/>
    <n v="17"/>
  </r>
  <r>
    <d v="2026-09-11T18:00:00"/>
    <x v="2"/>
    <n v="25.4"/>
    <n v="10.9"/>
    <n v="0.6"/>
    <n v="406.4"/>
    <n v="0"/>
    <n v="4000"/>
    <n v="7849.3"/>
    <n v="1"/>
    <n v="406.4"/>
    <n v="4406.3999999999996"/>
    <n v="18"/>
  </r>
  <r>
    <d v="2026-09-11T19:00:00"/>
    <x v="2"/>
    <n v="21.9"/>
    <n v="74.900000000000006"/>
    <n v="9.1999999999999993"/>
    <n v="0"/>
    <n v="75"/>
    <n v="4000"/>
    <n v="7606.7"/>
    <n v="1"/>
    <n v="75"/>
    <n v="4075"/>
    <n v="19"/>
  </r>
  <r>
    <d v="2026-09-11T20:00:00"/>
    <x v="2"/>
    <n v="14.9"/>
    <n v="85.7"/>
    <n v="3.5"/>
    <n v="0"/>
    <n v="4.2"/>
    <n v="4000"/>
    <n v="7520"/>
    <n v="1"/>
    <n v="4.2"/>
    <n v="4004.2"/>
    <n v="20"/>
  </r>
  <r>
    <d v="2026-09-11T21:00:00"/>
    <x v="2"/>
    <n v="18.8"/>
    <n v="83.8"/>
    <n v="5.6"/>
    <n v="0"/>
    <n v="17.2"/>
    <n v="4000"/>
    <n v="7397.2"/>
    <n v="1"/>
    <n v="17.2"/>
    <n v="4017.2"/>
    <n v="21"/>
  </r>
  <r>
    <d v="2026-09-11T22:00:00"/>
    <x v="2"/>
    <n v="17.399999999999999"/>
    <n v="48.9"/>
    <n v="2"/>
    <n v="0"/>
    <n v="0.7"/>
    <n v="4000"/>
    <n v="4881.3"/>
    <n v="1"/>
    <n v="0.7"/>
    <n v="4000.7"/>
    <n v="22"/>
  </r>
  <r>
    <d v="2026-09-11T23:00:00"/>
    <x v="2"/>
    <n v="18.2"/>
    <n v="69.7"/>
    <n v="6.5"/>
    <n v="0"/>
    <n v="26.4"/>
    <n v="4000"/>
    <n v="4842.8"/>
    <n v="1"/>
    <n v="26.4"/>
    <n v="4026.4"/>
    <n v="23"/>
  </r>
  <r>
    <d v="2026-09-12T00:00:00"/>
    <x v="2"/>
    <n v="16.600000000000001"/>
    <n v="0"/>
    <n v="6.5"/>
    <n v="0"/>
    <n v="26.8"/>
    <n v="4000"/>
    <n v="4170.7"/>
    <n v="1"/>
    <n v="26.8"/>
    <n v="4026.8"/>
    <n v="0"/>
  </r>
  <r>
    <d v="2026-09-12T01:00:00"/>
    <x v="2"/>
    <n v="14.2"/>
    <n v="42.4"/>
    <n v="7"/>
    <n v="0"/>
    <n v="32.700000000000003"/>
    <n v="4000"/>
    <n v="4534.3"/>
    <n v="1"/>
    <n v="32.700000000000003"/>
    <n v="4032.7"/>
    <n v="1"/>
  </r>
  <r>
    <d v="2026-09-12T02:00:00"/>
    <x v="2"/>
    <n v="16.8"/>
    <n v="39.200000000000003"/>
    <n v="0.1"/>
    <n v="0"/>
    <n v="0"/>
    <n v="4000"/>
    <n v="4507.8999999999996"/>
    <n v="1"/>
    <n v="0"/>
    <n v="4000"/>
    <n v="2"/>
  </r>
  <r>
    <d v="2026-09-12T03:00:00"/>
    <x v="2"/>
    <n v="22.5"/>
    <n v="68.3"/>
    <n v="5.9"/>
    <n v="0"/>
    <n v="20.100000000000001"/>
    <n v="4000"/>
    <n v="4335.5"/>
    <n v="1"/>
    <n v="20.100000000000001"/>
    <n v="4020.1"/>
    <n v="3"/>
  </r>
  <r>
    <d v="2026-09-12T04:00:00"/>
    <x v="2"/>
    <n v="19.5"/>
    <n v="35.6"/>
    <n v="8.5"/>
    <n v="0"/>
    <n v="58.3"/>
    <n v="4000"/>
    <n v="4368.3"/>
    <n v="1"/>
    <n v="58.3"/>
    <n v="4058.3"/>
    <n v="4"/>
  </r>
  <r>
    <d v="2026-09-12T05:00:00"/>
    <x v="2"/>
    <n v="20.7"/>
    <n v="30.7"/>
    <n v="9.9"/>
    <n v="0"/>
    <n v="93.4"/>
    <n v="4000"/>
    <n v="4353.8999999999996"/>
    <n v="1"/>
    <n v="93.4"/>
    <n v="4093.4"/>
    <n v="5"/>
  </r>
  <r>
    <d v="2026-09-12T06:00:00"/>
    <x v="2"/>
    <n v="20.9"/>
    <n v="90.1"/>
    <n v="4.5"/>
    <n v="124.4"/>
    <n v="8.8000000000000007"/>
    <n v="4000"/>
    <n v="4419.7"/>
    <n v="1"/>
    <n v="133.20000000000002"/>
    <n v="4133.2"/>
    <n v="6"/>
  </r>
  <r>
    <d v="2026-09-12T07:00:00"/>
    <x v="2"/>
    <n v="21.8"/>
    <n v="6.9"/>
    <n v="7.4"/>
    <n v="820.1"/>
    <n v="39.1"/>
    <n v="3343.5"/>
    <n v="4202.7"/>
    <n v="0"/>
    <n v="859.2"/>
    <n v="4202.7"/>
    <n v="7"/>
  </r>
  <r>
    <d v="2026-09-12T08:00:00"/>
    <x v="2"/>
    <n v="22"/>
    <n v="0"/>
    <n v="5.7"/>
    <n v="1247"/>
    <n v="18.2"/>
    <n v="2780.1"/>
    <n v="4045.3"/>
    <n v="0"/>
    <n v="1265.2"/>
    <n v="4045.3"/>
    <n v="8"/>
  </r>
  <r>
    <d v="2026-09-12T09:00:00"/>
    <x v="2"/>
    <n v="24.9"/>
    <n v="28.7"/>
    <n v="2.5"/>
    <n v="1204.4000000000001"/>
    <n v="1.5"/>
    <n v="3091.6"/>
    <n v="4297.5"/>
    <n v="0"/>
    <n v="1205.9000000000001"/>
    <n v="4297.5"/>
    <n v="9"/>
  </r>
  <r>
    <d v="2026-09-12T10:00:00"/>
    <x v="2"/>
    <n v="25.2"/>
    <n v="69.5"/>
    <n v="3.3"/>
    <n v="800.2"/>
    <n v="3.6"/>
    <n v="4000"/>
    <n v="6309.7"/>
    <n v="1"/>
    <n v="803.80000000000007"/>
    <n v="4803.8"/>
    <n v="10"/>
  </r>
  <r>
    <d v="2026-09-12T11:00:00"/>
    <x v="2"/>
    <n v="29.4"/>
    <n v="77.599999999999994"/>
    <n v="4.8"/>
    <n v="739.6"/>
    <n v="10.4"/>
    <n v="4000"/>
    <n v="6267.2"/>
    <n v="1"/>
    <n v="750"/>
    <n v="4750"/>
    <n v="11"/>
  </r>
  <r>
    <d v="2026-09-12T12:00:00"/>
    <x v="2"/>
    <n v="26.5"/>
    <n v="60.2"/>
    <n v="5"/>
    <n v="1036.2"/>
    <n v="12.2"/>
    <n v="4000"/>
    <n v="6278.6"/>
    <n v="1"/>
    <n v="1048.4000000000001"/>
    <n v="5048.3999999999996"/>
    <n v="12"/>
  </r>
  <r>
    <d v="2026-09-12T13:00:00"/>
    <x v="2"/>
    <n v="27.3"/>
    <n v="30.2"/>
    <n v="3"/>
    <n v="1478.8"/>
    <n v="2.5"/>
    <n v="4000"/>
    <n v="6215.3"/>
    <n v="1"/>
    <n v="1481.3"/>
    <n v="5481.3"/>
    <n v="13"/>
  </r>
  <r>
    <d v="2026-09-12T14:00:00"/>
    <x v="2"/>
    <n v="23.1"/>
    <n v="23.5"/>
    <n v="6.5"/>
    <n v="1463.4"/>
    <n v="26.1"/>
    <n v="4000"/>
    <n v="6031.7"/>
    <n v="1"/>
    <n v="1489.5"/>
    <n v="5489.5"/>
    <n v="14"/>
  </r>
  <r>
    <d v="2026-09-12T15:00:00"/>
    <x v="2"/>
    <n v="26.6"/>
    <n v="61"/>
    <n v="0.1"/>
    <n v="800.1"/>
    <n v="0"/>
    <n v="3386"/>
    <n v="4186.1000000000004"/>
    <n v="0"/>
    <n v="800.1"/>
    <n v="4186.1000000000004"/>
    <n v="15"/>
  </r>
  <r>
    <d v="2026-09-12T16:00:00"/>
    <x v="2"/>
    <n v="26.1"/>
    <n v="30.2"/>
    <n v="7.3"/>
    <n v="945.9"/>
    <n v="36.700000000000003"/>
    <n v="3435.6"/>
    <n v="4418.2"/>
    <n v="0"/>
    <n v="982.6"/>
    <n v="4418.2"/>
    <n v="16"/>
  </r>
  <r>
    <d v="2026-09-12T17:00:00"/>
    <x v="2"/>
    <n v="23.5"/>
    <n v="22.1"/>
    <n v="0.6"/>
    <n v="714.6"/>
    <n v="0"/>
    <n v="3476.9"/>
    <n v="4191.5"/>
    <n v="0"/>
    <n v="714.6"/>
    <n v="4191.5"/>
    <n v="17"/>
  </r>
  <r>
    <d v="2026-09-12T18:00:00"/>
    <x v="2"/>
    <n v="21.8"/>
    <n v="48.1"/>
    <n v="2.4"/>
    <n v="273.89999999999998"/>
    <n v="1.4"/>
    <n v="4000"/>
    <n v="6662.6"/>
    <n v="1"/>
    <n v="275.29999999999995"/>
    <n v="4275.3"/>
    <n v="18"/>
  </r>
  <r>
    <d v="2026-09-12T19:00:00"/>
    <x v="2"/>
    <n v="21.2"/>
    <n v="58.7"/>
    <n v="6.5"/>
    <n v="0"/>
    <n v="26.9"/>
    <n v="4000"/>
    <n v="6660"/>
    <n v="1"/>
    <n v="26.9"/>
    <n v="4026.9"/>
    <n v="19"/>
  </r>
  <r>
    <d v="2026-09-12T20:00:00"/>
    <x v="2"/>
    <n v="21.8"/>
    <n v="24.7"/>
    <n v="7.5"/>
    <n v="0"/>
    <n v="39.9"/>
    <n v="4000"/>
    <n v="6619.5"/>
    <n v="1"/>
    <n v="39.9"/>
    <n v="4039.9"/>
    <n v="20"/>
  </r>
  <r>
    <d v="2026-09-12T21:00:00"/>
    <x v="2"/>
    <n v="19.399999999999999"/>
    <n v="53.9"/>
    <n v="4.4000000000000004"/>
    <n v="0"/>
    <n v="8.3000000000000007"/>
    <n v="4000"/>
    <n v="6897.3"/>
    <n v="1"/>
    <n v="8.3000000000000007"/>
    <n v="4008.3"/>
    <n v="21"/>
  </r>
  <r>
    <d v="2026-09-12T22:00:00"/>
    <x v="2"/>
    <n v="14.8"/>
    <n v="30.9"/>
    <n v="4.8"/>
    <n v="0"/>
    <n v="10.7"/>
    <n v="4000"/>
    <n v="4475.3999999999996"/>
    <n v="1"/>
    <n v="10.7"/>
    <n v="4010.7"/>
    <n v="22"/>
  </r>
  <r>
    <d v="2026-09-12T23:00:00"/>
    <x v="2"/>
    <n v="17.899999999999999"/>
    <n v="31"/>
    <n v="5.0999999999999996"/>
    <n v="0"/>
    <n v="12.5"/>
    <n v="4000"/>
    <n v="4505.6000000000004"/>
    <n v="1"/>
    <n v="12.5"/>
    <n v="4012.5"/>
    <n v="23"/>
  </r>
  <r>
    <d v="2026-09-13T00:00:00"/>
    <x v="2"/>
    <n v="15.6"/>
    <n v="89.4"/>
    <n v="1.9"/>
    <n v="0"/>
    <n v="0.6"/>
    <n v="4000"/>
    <n v="4227.8999999999996"/>
    <n v="1"/>
    <n v="0.6"/>
    <n v="4000.6"/>
    <n v="0"/>
  </r>
  <r>
    <d v="2026-09-13T01:00:00"/>
    <x v="2"/>
    <n v="18.8"/>
    <n v="92.7"/>
    <n v="4.5999999999999996"/>
    <n v="0"/>
    <n v="9.4"/>
    <n v="4000"/>
    <n v="4561.3"/>
    <n v="1"/>
    <n v="9.4"/>
    <n v="4009.4"/>
    <n v="1"/>
  </r>
  <r>
    <d v="2026-09-13T02:00:00"/>
    <x v="2"/>
    <n v="14.8"/>
    <n v="44.3"/>
    <n v="7.5"/>
    <n v="0"/>
    <n v="40.200000000000003"/>
    <n v="4000"/>
    <n v="4297.5"/>
    <n v="1"/>
    <n v="40.200000000000003"/>
    <n v="4040.2"/>
    <n v="2"/>
  </r>
  <r>
    <d v="2026-09-13T03:00:00"/>
    <x v="2"/>
    <n v="16.3"/>
    <n v="49"/>
    <n v="5.5"/>
    <n v="0"/>
    <n v="16.399999999999999"/>
    <n v="4000"/>
    <n v="4514.3999999999996"/>
    <n v="1"/>
    <n v="16.399999999999999"/>
    <n v="4016.4"/>
    <n v="3"/>
  </r>
  <r>
    <d v="2026-09-13T04:00:00"/>
    <x v="2"/>
    <n v="20.7"/>
    <n v="38.299999999999997"/>
    <n v="5.4"/>
    <n v="0"/>
    <n v="15.2"/>
    <n v="4000"/>
    <n v="4110.6000000000004"/>
    <n v="1"/>
    <n v="15.2"/>
    <n v="4015.2"/>
    <n v="4"/>
  </r>
  <r>
    <d v="2026-09-13T05:00:00"/>
    <x v="2"/>
    <n v="19.100000000000001"/>
    <n v="59.8"/>
    <n v="5.4"/>
    <n v="0"/>
    <n v="14.7"/>
    <n v="4000"/>
    <n v="4252.2"/>
    <n v="1"/>
    <n v="14.7"/>
    <n v="4014.7"/>
    <n v="5"/>
  </r>
  <r>
    <d v="2026-09-13T06:00:00"/>
    <x v="2"/>
    <n v="20.5"/>
    <n v="69.599999999999994"/>
    <n v="11"/>
    <n v="197.3"/>
    <n v="126.4"/>
    <n v="3940.5"/>
    <n v="4264.2"/>
    <n v="0"/>
    <n v="323.70000000000005"/>
    <n v="4264.2"/>
    <n v="6"/>
  </r>
  <r>
    <d v="2026-09-13T07:00:00"/>
    <x v="2"/>
    <n v="25.3"/>
    <n v="18.3"/>
    <n v="6.5"/>
    <n v="740.8"/>
    <n v="26"/>
    <n v="3574.2"/>
    <n v="4341"/>
    <n v="0"/>
    <n v="766.8"/>
    <n v="4341"/>
    <n v="7"/>
  </r>
  <r>
    <d v="2026-09-13T08:00:00"/>
    <x v="2"/>
    <n v="21.5"/>
    <n v="37.799999999999997"/>
    <n v="9.6"/>
    <n v="869.7"/>
    <n v="84.3"/>
    <n v="3201.4"/>
    <n v="4155.3999999999996"/>
    <n v="0"/>
    <n v="954"/>
    <n v="4155.3999999999996"/>
    <n v="8"/>
  </r>
  <r>
    <d v="2026-09-13T09:00:00"/>
    <x v="2"/>
    <n v="26"/>
    <n v="14"/>
    <n v="5.4"/>
    <n v="1388.3"/>
    <n v="15.2"/>
    <n v="3059"/>
    <n v="4462.5"/>
    <n v="0"/>
    <n v="1403.5"/>
    <n v="4462.5"/>
    <n v="9"/>
  </r>
  <r>
    <d v="2026-09-13T10:00:00"/>
    <x v="2"/>
    <n v="26.7"/>
    <n v="4.7"/>
    <n v="3.3"/>
    <n v="1734.4"/>
    <n v="3.5"/>
    <n v="4000"/>
    <n v="6285.3"/>
    <n v="1"/>
    <n v="1737.9"/>
    <n v="5737.9"/>
    <n v="10"/>
  </r>
  <r>
    <d v="2026-09-13T11:00:00"/>
    <x v="2"/>
    <n v="27.9"/>
    <n v="0"/>
    <n v="5.5"/>
    <n v="1949.9"/>
    <n v="16.100000000000001"/>
    <n v="4000"/>
    <n v="6230.4"/>
    <n v="1"/>
    <n v="1966"/>
    <n v="5966"/>
    <n v="11"/>
  </r>
  <r>
    <d v="2026-09-13T12:00:00"/>
    <x v="2"/>
    <n v="28.7"/>
    <n v="80.8"/>
    <n v="7.7"/>
    <n v="707.4"/>
    <n v="44.6"/>
    <n v="4000"/>
    <n v="6261.5"/>
    <n v="1"/>
    <n v="752"/>
    <n v="4752"/>
    <n v="12"/>
  </r>
  <r>
    <d v="2026-09-13T13:00:00"/>
    <x v="2"/>
    <n v="23"/>
    <n v="48.2"/>
    <n v="9"/>
    <n v="1197.9000000000001"/>
    <n v="70.099999999999994"/>
    <n v="4000"/>
    <n v="6120"/>
    <n v="1"/>
    <n v="1268"/>
    <n v="5268"/>
    <n v="13"/>
  </r>
  <r>
    <d v="2026-09-13T14:00:00"/>
    <x v="2"/>
    <n v="27.8"/>
    <n v="72.900000000000006"/>
    <n v="7.1"/>
    <n v="751.3"/>
    <n v="34.9"/>
    <n v="4000"/>
    <n v="6449"/>
    <n v="1"/>
    <n v="786.19999999999993"/>
    <n v="4786.2"/>
    <n v="14"/>
  </r>
  <r>
    <d v="2026-09-13T15:00:00"/>
    <x v="2"/>
    <n v="25.3"/>
    <n v="100"/>
    <n v="3.2"/>
    <n v="312.7"/>
    <n v="3.1"/>
    <n v="3920.8"/>
    <n v="4236.6000000000004"/>
    <n v="0"/>
    <n v="315.8"/>
    <n v="4236.6000000000004"/>
    <n v="15"/>
  </r>
  <r>
    <d v="2026-09-13T16:00:00"/>
    <x v="2"/>
    <n v="23.9"/>
    <n v="99.8"/>
    <n v="1.8"/>
    <n v="251.8"/>
    <n v="0.5"/>
    <n v="4000"/>
    <n v="4562.2"/>
    <n v="1"/>
    <n v="252.3"/>
    <n v="4252.3"/>
    <n v="16"/>
  </r>
  <r>
    <d v="2026-09-13T17:00:00"/>
    <x v="2"/>
    <n v="21.8"/>
    <n v="17.5"/>
    <n v="6.7"/>
    <n v="746"/>
    <n v="28.3"/>
    <n v="3633.6"/>
    <n v="4407.8999999999996"/>
    <n v="0"/>
    <n v="774.3"/>
    <n v="4407.8999999999996"/>
    <n v="17"/>
  </r>
  <r>
    <d v="2026-09-13T18:00:00"/>
    <x v="2"/>
    <n v="20.3"/>
    <n v="15"/>
    <n v="5.7"/>
    <n v="391.5"/>
    <n v="18"/>
    <n v="4000"/>
    <n v="6871.4"/>
    <n v="1"/>
    <n v="409.5"/>
    <n v="4409.5"/>
    <n v="18"/>
  </r>
  <r>
    <d v="2026-09-13T19:00:00"/>
    <x v="2"/>
    <n v="21.8"/>
    <n v="88.5"/>
    <n v="5.8"/>
    <n v="0"/>
    <n v="18.899999999999999"/>
    <n v="4000"/>
    <n v="6706.9"/>
    <n v="1"/>
    <n v="18.899999999999999"/>
    <n v="4018.9"/>
    <n v="19"/>
  </r>
  <r>
    <d v="2026-09-13T20:00:00"/>
    <x v="2"/>
    <n v="19.899999999999999"/>
    <n v="49.6"/>
    <n v="1.2"/>
    <n v="0"/>
    <n v="0.2"/>
    <n v="4000"/>
    <n v="6998.3"/>
    <n v="1"/>
    <n v="0.2"/>
    <n v="4000.2"/>
    <n v="20"/>
  </r>
  <r>
    <d v="2026-09-13T21:00:00"/>
    <x v="2"/>
    <n v="17.8"/>
    <n v="88.8"/>
    <n v="7.4"/>
    <n v="0"/>
    <n v="38.700000000000003"/>
    <n v="4000"/>
    <n v="6680.6"/>
    <n v="1"/>
    <n v="38.700000000000003"/>
    <n v="4038.7"/>
    <n v="21"/>
  </r>
  <r>
    <d v="2026-09-13T22:00:00"/>
    <x v="2"/>
    <n v="18"/>
    <n v="80.099999999999994"/>
    <n v="10.6"/>
    <n v="0"/>
    <n v="113.8"/>
    <n v="4000"/>
    <n v="4143.1000000000004"/>
    <n v="1"/>
    <n v="113.8"/>
    <n v="4113.8"/>
    <n v="22"/>
  </r>
  <r>
    <d v="2026-09-13T23:00:00"/>
    <x v="2"/>
    <n v="18.7"/>
    <n v="61.8"/>
    <n v="7.2"/>
    <n v="0"/>
    <n v="35.299999999999997"/>
    <n v="4000"/>
    <n v="4453.1000000000004"/>
    <n v="1"/>
    <n v="35.299999999999997"/>
    <n v="4035.3"/>
    <n v="23"/>
  </r>
  <r>
    <d v="2026-09-14T00:00:00"/>
    <x v="2"/>
    <n v="14.3"/>
    <n v="49.5"/>
    <n v="3.7"/>
    <n v="0"/>
    <n v="4.8"/>
    <n v="4000"/>
    <n v="5137.3999999999996"/>
    <n v="1"/>
    <n v="4.8"/>
    <n v="4004.8"/>
    <n v="0"/>
  </r>
  <r>
    <d v="2026-09-14T01:00:00"/>
    <x v="2"/>
    <n v="19.600000000000001"/>
    <n v="42.1"/>
    <n v="0"/>
    <n v="0"/>
    <n v="0"/>
    <n v="4000"/>
    <n v="5006.8999999999996"/>
    <n v="1"/>
    <n v="0"/>
    <n v="4000"/>
    <n v="1"/>
  </r>
  <r>
    <d v="2026-09-14T02:00:00"/>
    <x v="2"/>
    <n v="19.5"/>
    <n v="76.099999999999994"/>
    <n v="7.3"/>
    <n v="0"/>
    <n v="37.1"/>
    <n v="4000"/>
    <n v="4888.2"/>
    <n v="1"/>
    <n v="37.1"/>
    <n v="4037.1"/>
    <n v="2"/>
  </r>
  <r>
    <d v="2026-09-14T03:00:00"/>
    <x v="2"/>
    <n v="15.9"/>
    <n v="75.5"/>
    <n v="3.5"/>
    <n v="0"/>
    <n v="4.0999999999999996"/>
    <n v="4000"/>
    <n v="4908"/>
    <n v="1"/>
    <n v="4.0999999999999996"/>
    <n v="4004.1"/>
    <n v="3"/>
  </r>
  <r>
    <d v="2026-09-14T04:00:00"/>
    <x v="2"/>
    <n v="20.6"/>
    <n v="42.6"/>
    <n v="4.2"/>
    <n v="0"/>
    <n v="6.9"/>
    <n v="4000"/>
    <n v="5277.6"/>
    <n v="1"/>
    <n v="6.9"/>
    <n v="4006.9"/>
    <n v="4"/>
  </r>
  <r>
    <d v="2026-09-14T05:00:00"/>
    <x v="2"/>
    <n v="20.2"/>
    <n v="93.5"/>
    <n v="6.6"/>
    <n v="0"/>
    <n v="27.1"/>
    <n v="4000"/>
    <n v="4936.1000000000004"/>
    <n v="1"/>
    <n v="27.1"/>
    <n v="4027.1"/>
    <n v="5"/>
  </r>
  <r>
    <d v="2026-09-14T06:00:00"/>
    <x v="2"/>
    <n v="25.8"/>
    <n v="61.5"/>
    <n v="8.3000000000000007"/>
    <n v="226.2"/>
    <n v="55"/>
    <n v="4000"/>
    <n v="4840.3"/>
    <n v="1"/>
    <n v="281.2"/>
    <n v="4281.2"/>
    <n v="6"/>
  </r>
  <r>
    <d v="2026-09-14T07:00:00"/>
    <x v="2"/>
    <n v="24"/>
    <n v="69.3"/>
    <n v="0.3"/>
    <n v="386.4"/>
    <n v="0"/>
    <n v="4000"/>
    <n v="4858.8"/>
    <n v="1"/>
    <n v="386.4"/>
    <n v="4386.3999999999996"/>
    <n v="7"/>
  </r>
  <r>
    <d v="2026-09-14T08:00:00"/>
    <x v="2"/>
    <n v="27.1"/>
    <n v="48.1"/>
    <n v="2.7"/>
    <n v="767.3"/>
    <n v="1.9"/>
    <n v="4000"/>
    <n v="5252.3"/>
    <n v="1"/>
    <n v="769.19999999999993"/>
    <n v="4769.2"/>
    <n v="8"/>
  </r>
  <r>
    <d v="2026-09-14T09:00:00"/>
    <x v="2"/>
    <n v="25.7"/>
    <n v="70.7"/>
    <n v="6.6"/>
    <n v="679.6"/>
    <n v="27.3"/>
    <n v="4000"/>
    <n v="5002.1000000000004"/>
    <n v="1"/>
    <n v="706.9"/>
    <n v="4706.8999999999996"/>
    <n v="9"/>
  </r>
  <r>
    <d v="2026-09-14T10:00:00"/>
    <x v="2"/>
    <n v="29.2"/>
    <n v="77"/>
    <n v="2.9"/>
    <n v="691.3"/>
    <n v="2.2000000000000002"/>
    <n v="4000"/>
    <n v="7225.9"/>
    <n v="1"/>
    <n v="693.5"/>
    <n v="4693.5"/>
    <n v="10"/>
  </r>
  <r>
    <d v="2026-09-14T11:00:00"/>
    <x v="2"/>
    <n v="30.1"/>
    <n v="100"/>
    <n v="2.6"/>
    <n v="390"/>
    <n v="1.7"/>
    <n v="4000"/>
    <n v="7354.4"/>
    <n v="1"/>
    <n v="391.7"/>
    <n v="4391.7"/>
    <n v="11"/>
  </r>
  <r>
    <d v="2026-09-14T12:00:00"/>
    <x v="2"/>
    <n v="22.8"/>
    <n v="76.599999999999994"/>
    <n v="4.4000000000000004"/>
    <n v="774.5"/>
    <n v="7.9"/>
    <n v="4000"/>
    <n v="7186.4"/>
    <n v="1"/>
    <n v="782.4"/>
    <n v="4782.3999999999996"/>
    <n v="12"/>
  </r>
  <r>
    <d v="2026-09-14T13:00:00"/>
    <x v="2"/>
    <n v="25.3"/>
    <n v="9.3000000000000007"/>
    <n v="4.5999999999999996"/>
    <n v="1804.4"/>
    <n v="9.3000000000000007"/>
    <n v="4000"/>
    <n v="7438.5"/>
    <n v="1"/>
    <n v="1813.7"/>
    <n v="5813.7"/>
    <n v="13"/>
  </r>
  <r>
    <d v="2026-09-14T14:00:00"/>
    <x v="2"/>
    <n v="27.8"/>
    <n v="0"/>
    <n v="6.1"/>
    <n v="1801.9"/>
    <n v="21.6"/>
    <n v="4000"/>
    <n v="6853.7"/>
    <n v="1"/>
    <n v="1823.5"/>
    <n v="5823.5"/>
    <n v="14"/>
  </r>
  <r>
    <d v="2026-09-14T15:00:00"/>
    <x v="2"/>
    <n v="24.9"/>
    <n v="100"/>
    <n v="7.1"/>
    <n v="312.7"/>
    <n v="34.1"/>
    <n v="4000"/>
    <n v="4638.3"/>
    <n v="1"/>
    <n v="346.8"/>
    <n v="4346.8"/>
    <n v="15"/>
  </r>
  <r>
    <d v="2026-09-14T16:00:00"/>
    <x v="2"/>
    <n v="24.4"/>
    <n v="60.5"/>
    <n v="7.4"/>
    <n v="643"/>
    <n v="39.200000000000003"/>
    <n v="4000"/>
    <n v="4820.5"/>
    <n v="1"/>
    <n v="682.2"/>
    <n v="4682.2"/>
    <n v="16"/>
  </r>
  <r>
    <d v="2026-09-14T17:00:00"/>
    <x v="2"/>
    <n v="24.5"/>
    <n v="0"/>
    <n v="4.0999999999999996"/>
    <n v="867.8"/>
    <n v="6.7"/>
    <n v="3870.5"/>
    <n v="4745"/>
    <n v="0"/>
    <n v="874.5"/>
    <n v="4745"/>
    <n v="17"/>
  </r>
  <r>
    <d v="2026-09-14T18:00:00"/>
    <x v="2"/>
    <n v="23.3"/>
    <n v="60.7"/>
    <n v="1.8"/>
    <n v="229"/>
    <n v="0.5"/>
    <n v="4000"/>
    <n v="7626.8"/>
    <n v="1"/>
    <n v="229.5"/>
    <n v="4229.5"/>
    <n v="18"/>
  </r>
  <r>
    <d v="2026-09-14T19:00:00"/>
    <x v="2"/>
    <n v="21.1"/>
    <n v="57.6"/>
    <n v="4.3"/>
    <n v="0"/>
    <n v="7.4"/>
    <n v="4000"/>
    <n v="7552.3"/>
    <n v="1"/>
    <n v="7.4"/>
    <n v="4007.4"/>
    <n v="19"/>
  </r>
  <r>
    <d v="2026-09-14T20:00:00"/>
    <x v="2"/>
    <n v="20.9"/>
    <n v="44.5"/>
    <n v="5.7"/>
    <n v="0"/>
    <n v="18.100000000000001"/>
    <n v="4000"/>
    <n v="7627.9"/>
    <n v="1"/>
    <n v="18.100000000000001"/>
    <n v="4018.1"/>
    <n v="20"/>
  </r>
  <r>
    <d v="2026-09-14T21:00:00"/>
    <x v="2"/>
    <n v="15.6"/>
    <n v="4.4000000000000004"/>
    <n v="8.4"/>
    <n v="0"/>
    <n v="55.9"/>
    <n v="4000"/>
    <n v="8025.5"/>
    <n v="1"/>
    <n v="55.9"/>
    <n v="4055.9"/>
    <n v="21"/>
  </r>
  <r>
    <d v="2026-09-14T22:00:00"/>
    <x v="2"/>
    <n v="17"/>
    <n v="36.6"/>
    <n v="5.2"/>
    <n v="0"/>
    <n v="13.7"/>
    <n v="4000"/>
    <n v="4848.2"/>
    <n v="1"/>
    <n v="13.7"/>
    <n v="4013.7"/>
    <n v="22"/>
  </r>
  <r>
    <d v="2026-09-14T23:00:00"/>
    <x v="2"/>
    <n v="18.8"/>
    <n v="85.9"/>
    <n v="1.8"/>
    <n v="0"/>
    <n v="0.5"/>
    <n v="4000"/>
    <n v="5189.8"/>
    <n v="1"/>
    <n v="0.5"/>
    <n v="4000.5"/>
    <n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93454-44DD-43E5-9697-9DDF92381F2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7" firstHeaderRow="0" firstDataRow="1" firstDataCol="1"/>
  <pivotFields count="11">
    <pivotField showAll="0">
      <items count="3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olar_mw" fld="5" baseField="0" baseItem="0"/>
    <dataField name="Sum of wind_mw" fld="6" baseField="0" baseItem="0"/>
  </dataFields>
  <chartFormats count="4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920B8-2366-4133-85DC-6932F5C690F3}" name="PivotTable16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2">
  <location ref="A3:C27" firstHeaderRow="0" firstDataRow="1" firstDataCol="1"/>
  <pivotFields count="13">
    <pivotField compact="0" numFmtId="22" outline="0" showAll="0" defaultSubtotal="0">
      <items count="3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2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-2"/>
  </colFields>
  <colItems count="2">
    <i>
      <x/>
    </i>
    <i i="1">
      <x v="1"/>
    </i>
  </colItems>
  <dataFields count="2">
    <dataField name="Average of grid_demand_mw" fld="8" subtotal="average" baseField="0" baseItem="25"/>
    <dataField name="Average of Total supply" fld="11" subtotal="average" baseField="0" baseItem="25"/>
  </dataFields>
  <chartFormats count="2"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C2B95-2315-4CEA-A8C4-F5F2DA93DA8F}" name="PivotTable3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A3:B6" firstHeaderRow="1" firstDataRow="1" firstDataCol="1"/>
  <pivotFields count="13"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Sum of fossil_backup_mw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1C832-7D58-448B-A02E-C484D65B203C}" name="PivotTable46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7">
  <location ref="A3:B6" firstHeaderRow="1" firstDataRow="1" firstDataCol="1"/>
  <pivotFields count="13"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Sum of solar_mw" fld="5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D9946F-AB5E-4D88-A66B-87EE33EF670C}" autoFormatId="16" applyNumberFormats="0" applyBorderFormats="0" applyFontFormats="0" applyPatternFormats="0" applyAlignmentFormats="0" applyWidthHeightFormats="0">
  <queryTableRefresh nextId="11">
    <queryTableFields count="10">
      <queryTableField id="1" name="timestamp" tableColumnId="1"/>
      <queryTableField id="2" name="region_id" tableColumnId="2"/>
      <queryTableField id="3" name="temperature_c" tableColumnId="3"/>
      <queryTableField id="4" name="cloud_cover_pct" tableColumnId="4"/>
      <queryTableField id="5" name="wind_speed_ms" tableColumnId="5"/>
      <queryTableField id="6" name="solar_mw" tableColumnId="6"/>
      <queryTableField id="7" name="wind_mw" tableColumnId="7"/>
      <queryTableField id="8" name="fossil_backup_mw" tableColumnId="8"/>
      <queryTableField id="9" name="grid_demand_mw" tableColumnId="9"/>
      <queryTableField id="10" name="grid_strain_inciden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2E9786-D877-45EC-BD22-0509533829B3}" name="energy_timestamp" displayName="energy_timestamp" ref="A1:J1009" tableType="queryTable" totalsRowShown="0">
  <autoFilter ref="A1:J1009" xr:uid="{822E9786-D877-45EC-BD22-0509533829B3}"/>
  <tableColumns count="10">
    <tableColumn id="1" xr3:uid="{43441A8B-BDE5-4EA7-84B9-35A2F1B36BFF}" uniqueName="1" name="timestamp" queryTableFieldId="1" dataDxfId="1"/>
    <tableColumn id="2" xr3:uid="{76130345-6EBB-4560-BC50-04CA6C97A794}" uniqueName="2" name="region_id" queryTableFieldId="2" dataDxfId="0"/>
    <tableColumn id="3" xr3:uid="{B1BEA7C6-BBFC-41F6-A0A1-1BA08AE1C064}" uniqueName="3" name="temperature_c" queryTableFieldId="3"/>
    <tableColumn id="4" xr3:uid="{1D465A6D-AA84-401F-95D6-0582ADA0DFDF}" uniqueName="4" name="cloud_cover_pct" queryTableFieldId="4"/>
    <tableColumn id="5" xr3:uid="{7694997F-0F9E-416A-8744-D4158D9575F1}" uniqueName="5" name="wind_speed_ms" queryTableFieldId="5"/>
    <tableColumn id="6" xr3:uid="{DB160584-E932-4562-B270-EBC07EA9BCE2}" uniqueName="6" name="solar_mw" queryTableFieldId="6"/>
    <tableColumn id="7" xr3:uid="{63D8303C-AFC6-48D4-954A-D859D7D41D6F}" uniqueName="7" name="wind_mw" queryTableFieldId="7"/>
    <tableColumn id="8" xr3:uid="{11BF4A03-C1C4-4580-AF1F-C06025E15FE1}" uniqueName="8" name="fossil_backup_mw" queryTableFieldId="8"/>
    <tableColumn id="9" xr3:uid="{AD9BF6B7-C03B-4BAD-BFE0-723A1BED0648}" uniqueName="9" name="grid_demand_mw" queryTableFieldId="9"/>
    <tableColumn id="10" xr3:uid="{3A224C22-503C-4F5B-BCF4-8F8256DD99A3}" uniqueName="10" name="grid_strain_incident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4644-4A92-401D-AA66-9441271E2238}">
  <dimension ref="A1"/>
  <sheetViews>
    <sheetView tabSelected="1" workbookViewId="0">
      <selection activeCell="D4" sqref="D4"/>
    </sheetView>
  </sheetViews>
  <sheetFormatPr defaultRowHeight="14.4" x14ac:dyDescent="0.3"/>
  <cols>
    <col min="1" max="1" width="2.88671875" customWidth="1"/>
    <col min="2" max="2" width="19.44140625" customWidth="1"/>
    <col min="3" max="3" width="5.332031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5C54-B556-441E-A081-3A43C7FDB552}">
  <dimension ref="A1:L1009"/>
  <sheetViews>
    <sheetView workbookViewId="0">
      <selection activeCell="H7" sqref="H7"/>
    </sheetView>
  </sheetViews>
  <sheetFormatPr defaultRowHeight="14.4" x14ac:dyDescent="0.3"/>
  <cols>
    <col min="1" max="1" width="18.109375" bestFit="1" customWidth="1"/>
    <col min="2" max="2" width="11.33203125" bestFit="1" customWidth="1"/>
    <col min="3" max="3" width="15.77734375" bestFit="1" customWidth="1"/>
    <col min="4" max="4" width="17.33203125" bestFit="1" customWidth="1"/>
    <col min="5" max="5" width="16.88671875" bestFit="1" customWidth="1"/>
    <col min="6" max="6" width="11.33203125" bestFit="1" customWidth="1"/>
    <col min="7" max="7" width="11.44140625" bestFit="1" customWidth="1"/>
    <col min="8" max="8" width="18.88671875" bestFit="1" customWidth="1"/>
    <col min="9" max="9" width="18.6640625" bestFit="1" customWidth="1"/>
    <col min="10" max="10" width="20.109375" bestFit="1" customWidth="1"/>
    <col min="11" max="11" width="10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</v>
      </c>
      <c r="L1" t="s">
        <v>29</v>
      </c>
    </row>
    <row r="2" spans="1:12" x14ac:dyDescent="0.3">
      <c r="A2" s="12" t="s">
        <v>43</v>
      </c>
      <c r="B2" s="12" t="s">
        <v>10</v>
      </c>
      <c r="C2">
        <v>21.8</v>
      </c>
      <c r="D2">
        <v>38</v>
      </c>
      <c r="E2">
        <v>7</v>
      </c>
      <c r="F2">
        <v>0</v>
      </c>
      <c r="G2">
        <v>22.4</v>
      </c>
      <c r="H2">
        <v>4000</v>
      </c>
      <c r="I2">
        <v>5024.5</v>
      </c>
      <c r="J2">
        <v>1</v>
      </c>
      <c r="K2">
        <f>J2+energy_grid_portfolio_dataset!G2</f>
        <v>23.4</v>
      </c>
      <c r="L2">
        <f>HOUR(energy_timestamp[[#This Row],[timestamp]])</f>
        <v>0</v>
      </c>
    </row>
    <row r="3" spans="1:12" x14ac:dyDescent="0.3">
      <c r="A3" s="12" t="s">
        <v>44</v>
      </c>
      <c r="B3" s="12" t="s">
        <v>10</v>
      </c>
      <c r="C3">
        <v>21.9</v>
      </c>
      <c r="D3">
        <v>56.6</v>
      </c>
      <c r="E3">
        <v>5.5</v>
      </c>
      <c r="F3">
        <v>0</v>
      </c>
      <c r="G3">
        <v>10.9</v>
      </c>
      <c r="H3">
        <v>4000</v>
      </c>
      <c r="I3">
        <v>4914.8999999999996</v>
      </c>
      <c r="J3">
        <v>1</v>
      </c>
      <c r="K3">
        <f>J3+energy_grid_portfolio_dataset!G3</f>
        <v>11.9</v>
      </c>
      <c r="L3">
        <f>HOUR(energy_timestamp[[#This Row],[timestamp]])</f>
        <v>1</v>
      </c>
    </row>
    <row r="4" spans="1:12" x14ac:dyDescent="0.3">
      <c r="A4" s="12" t="s">
        <v>45</v>
      </c>
      <c r="B4" s="12" t="s">
        <v>10</v>
      </c>
      <c r="C4">
        <v>23.6</v>
      </c>
      <c r="D4">
        <v>15.7</v>
      </c>
      <c r="E4">
        <v>3.1</v>
      </c>
      <c r="F4">
        <v>0</v>
      </c>
      <c r="G4">
        <v>1.8</v>
      </c>
      <c r="H4">
        <v>4000</v>
      </c>
      <c r="I4">
        <v>4879.6000000000004</v>
      </c>
      <c r="J4">
        <v>1</v>
      </c>
      <c r="K4">
        <f>J4+energy_grid_portfolio_dataset!G4</f>
        <v>2.8</v>
      </c>
      <c r="L4">
        <f>HOUR(energy_timestamp[[#This Row],[timestamp]])</f>
        <v>2</v>
      </c>
    </row>
    <row r="5" spans="1:12" x14ac:dyDescent="0.3">
      <c r="A5" s="12" t="s">
        <v>46</v>
      </c>
      <c r="B5" s="12" t="s">
        <v>10</v>
      </c>
      <c r="C5">
        <v>20.9</v>
      </c>
      <c r="D5">
        <v>0</v>
      </c>
      <c r="E5">
        <v>2.9</v>
      </c>
      <c r="F5">
        <v>0</v>
      </c>
      <c r="G5">
        <v>1.5</v>
      </c>
      <c r="H5">
        <v>4000</v>
      </c>
      <c r="I5">
        <v>4986.3</v>
      </c>
      <c r="J5">
        <v>1</v>
      </c>
      <c r="K5">
        <f>J5+energy_grid_portfolio_dataset!G5</f>
        <v>2.5</v>
      </c>
      <c r="L5">
        <f>HOUR(energy_timestamp[[#This Row],[timestamp]])</f>
        <v>3</v>
      </c>
    </row>
    <row r="6" spans="1:12" x14ac:dyDescent="0.3">
      <c r="A6" s="12" t="s">
        <v>47</v>
      </c>
      <c r="B6" s="12" t="s">
        <v>10</v>
      </c>
      <c r="C6">
        <v>25.5</v>
      </c>
      <c r="D6">
        <v>6.8</v>
      </c>
      <c r="E6">
        <v>1.2</v>
      </c>
      <c r="F6">
        <v>0</v>
      </c>
      <c r="G6">
        <v>0.1</v>
      </c>
      <c r="H6">
        <v>4000</v>
      </c>
      <c r="I6">
        <v>4798.1000000000004</v>
      </c>
      <c r="J6">
        <v>1</v>
      </c>
      <c r="K6">
        <f>J6+energy_grid_portfolio_dataset!G6</f>
        <v>1.1000000000000001</v>
      </c>
      <c r="L6">
        <f>HOUR(energy_timestamp[[#This Row],[timestamp]])</f>
        <v>4</v>
      </c>
    </row>
    <row r="7" spans="1:12" x14ac:dyDescent="0.3">
      <c r="A7" s="12" t="s">
        <v>48</v>
      </c>
      <c r="B7" s="12" t="s">
        <v>10</v>
      </c>
      <c r="C7">
        <v>26.1</v>
      </c>
      <c r="D7">
        <v>26.4</v>
      </c>
      <c r="E7">
        <v>1.2</v>
      </c>
      <c r="F7">
        <v>0</v>
      </c>
      <c r="G7">
        <v>0.1</v>
      </c>
      <c r="H7">
        <v>4000</v>
      </c>
      <c r="I7">
        <v>5169.8</v>
      </c>
      <c r="J7">
        <v>1</v>
      </c>
      <c r="K7">
        <f>J7+energy_grid_portfolio_dataset!G7</f>
        <v>1.1000000000000001</v>
      </c>
      <c r="L7">
        <f>HOUR(energy_timestamp[[#This Row],[timestamp]])</f>
        <v>5</v>
      </c>
    </row>
    <row r="8" spans="1:12" x14ac:dyDescent="0.3">
      <c r="A8" s="12" t="s">
        <v>49</v>
      </c>
      <c r="B8" s="12" t="s">
        <v>10</v>
      </c>
      <c r="C8">
        <v>28.2</v>
      </c>
      <c r="D8">
        <v>2</v>
      </c>
      <c r="E8">
        <v>4.8</v>
      </c>
      <c r="F8">
        <v>658.3</v>
      </c>
      <c r="G8">
        <v>6.9</v>
      </c>
      <c r="H8">
        <v>4000</v>
      </c>
      <c r="I8">
        <v>4868.3</v>
      </c>
      <c r="J8">
        <v>1</v>
      </c>
      <c r="K8">
        <f>J8+energy_grid_portfolio_dataset!G8</f>
        <v>7.9</v>
      </c>
      <c r="L8">
        <f>HOUR(energy_timestamp[[#This Row],[timestamp]])</f>
        <v>6</v>
      </c>
    </row>
    <row r="9" spans="1:12" x14ac:dyDescent="0.3">
      <c r="A9" s="12" t="s">
        <v>50</v>
      </c>
      <c r="B9" s="12" t="s">
        <v>10</v>
      </c>
      <c r="C9">
        <v>29.1</v>
      </c>
      <c r="D9">
        <v>13</v>
      </c>
      <c r="E9">
        <v>7.7</v>
      </c>
      <c r="F9">
        <v>1183.5</v>
      </c>
      <c r="G9">
        <v>29.3</v>
      </c>
      <c r="H9">
        <v>3647.1</v>
      </c>
      <c r="I9">
        <v>4859.8999999999996</v>
      </c>
      <c r="J9">
        <v>0</v>
      </c>
      <c r="K9">
        <f>J9+energy_grid_portfolio_dataset!G9</f>
        <v>29.3</v>
      </c>
      <c r="L9">
        <f>HOUR(energy_timestamp[[#This Row],[timestamp]])</f>
        <v>7</v>
      </c>
    </row>
    <row r="10" spans="1:12" x14ac:dyDescent="0.3">
      <c r="A10" s="12" t="s">
        <v>51</v>
      </c>
      <c r="B10" s="12" t="s">
        <v>10</v>
      </c>
      <c r="C10">
        <v>29.4</v>
      </c>
      <c r="D10">
        <v>41.5</v>
      </c>
      <c r="E10">
        <v>1.6</v>
      </c>
      <c r="F10">
        <v>1327.7</v>
      </c>
      <c r="G10">
        <v>0.2</v>
      </c>
      <c r="H10">
        <v>3620.1</v>
      </c>
      <c r="I10">
        <v>4948</v>
      </c>
      <c r="J10">
        <v>0</v>
      </c>
      <c r="K10">
        <f>J10+energy_grid_portfolio_dataset!G10</f>
        <v>0.2</v>
      </c>
      <c r="L10">
        <f>HOUR(energy_timestamp[[#This Row],[timestamp]])</f>
        <v>8</v>
      </c>
    </row>
    <row r="11" spans="1:12" x14ac:dyDescent="0.3">
      <c r="A11" s="12" t="s">
        <v>52</v>
      </c>
      <c r="B11" s="12" t="s">
        <v>10</v>
      </c>
      <c r="C11">
        <v>29.3</v>
      </c>
      <c r="D11">
        <v>0</v>
      </c>
      <c r="E11">
        <v>4.4000000000000004</v>
      </c>
      <c r="F11">
        <v>2345.5</v>
      </c>
      <c r="G11">
        <v>5.4</v>
      </c>
      <c r="H11">
        <v>2630.4</v>
      </c>
      <c r="I11">
        <v>4981.3</v>
      </c>
      <c r="J11">
        <v>0</v>
      </c>
      <c r="K11">
        <f>J11+energy_grid_portfolio_dataset!G11</f>
        <v>5.4</v>
      </c>
      <c r="L11">
        <f>HOUR(energy_timestamp[[#This Row],[timestamp]])</f>
        <v>9</v>
      </c>
    </row>
    <row r="12" spans="1:12" x14ac:dyDescent="0.3">
      <c r="A12" s="12" t="s">
        <v>53</v>
      </c>
      <c r="B12" s="12" t="s">
        <v>10</v>
      </c>
      <c r="C12">
        <v>33.5</v>
      </c>
      <c r="D12">
        <v>22.7</v>
      </c>
      <c r="E12">
        <v>3.4</v>
      </c>
      <c r="F12">
        <v>2273.6999999999998</v>
      </c>
      <c r="G12">
        <v>2.5</v>
      </c>
      <c r="H12">
        <v>4000</v>
      </c>
      <c r="I12">
        <v>7260.8</v>
      </c>
      <c r="J12">
        <v>1</v>
      </c>
      <c r="K12">
        <f>J12+energy_grid_portfolio_dataset!G12</f>
        <v>3.5</v>
      </c>
      <c r="L12">
        <f>HOUR(energy_timestamp[[#This Row],[timestamp]])</f>
        <v>10</v>
      </c>
    </row>
    <row r="13" spans="1:12" x14ac:dyDescent="0.3">
      <c r="A13" s="12" t="s">
        <v>54</v>
      </c>
      <c r="B13" s="12" t="s">
        <v>10</v>
      </c>
      <c r="C13">
        <v>32.700000000000003</v>
      </c>
      <c r="D13">
        <v>15.8</v>
      </c>
      <c r="E13">
        <v>6.1</v>
      </c>
      <c r="F13">
        <v>2601.6</v>
      </c>
      <c r="G13">
        <v>14.6</v>
      </c>
      <c r="H13">
        <v>4000</v>
      </c>
      <c r="I13">
        <v>6928.2</v>
      </c>
      <c r="J13">
        <v>1</v>
      </c>
      <c r="K13">
        <f>J13+energy_grid_portfolio_dataset!G13</f>
        <v>15.6</v>
      </c>
      <c r="L13">
        <f>HOUR(energy_timestamp[[#This Row],[timestamp]])</f>
        <v>11</v>
      </c>
    </row>
    <row r="14" spans="1:12" x14ac:dyDescent="0.3">
      <c r="A14" s="12" t="s">
        <v>55</v>
      </c>
      <c r="B14" s="12" t="s">
        <v>10</v>
      </c>
      <c r="C14">
        <v>31.4</v>
      </c>
      <c r="D14">
        <v>31.5</v>
      </c>
      <c r="E14">
        <v>3.2</v>
      </c>
      <c r="F14">
        <v>2338.9</v>
      </c>
      <c r="G14">
        <v>2.2000000000000002</v>
      </c>
      <c r="H14">
        <v>4000</v>
      </c>
      <c r="I14">
        <v>7201.5</v>
      </c>
      <c r="J14">
        <v>1</v>
      </c>
      <c r="K14">
        <f>J14+energy_grid_portfolio_dataset!G14</f>
        <v>3.2</v>
      </c>
      <c r="L14">
        <f>HOUR(energy_timestamp[[#This Row],[timestamp]])</f>
        <v>12</v>
      </c>
    </row>
    <row r="15" spans="1:12" x14ac:dyDescent="0.3">
      <c r="A15" s="12" t="s">
        <v>56</v>
      </c>
      <c r="B15" s="12" t="s">
        <v>10</v>
      </c>
      <c r="C15">
        <v>34.700000000000003</v>
      </c>
      <c r="D15">
        <v>45.6</v>
      </c>
      <c r="E15">
        <v>5.9</v>
      </c>
      <c r="F15">
        <v>1990.8</v>
      </c>
      <c r="G15">
        <v>12.9</v>
      </c>
      <c r="H15">
        <v>4000</v>
      </c>
      <c r="I15">
        <v>7048.5</v>
      </c>
      <c r="J15">
        <v>1</v>
      </c>
      <c r="K15">
        <f>J15+energy_grid_portfolio_dataset!G15</f>
        <v>13.9</v>
      </c>
      <c r="L15">
        <f>HOUR(energy_timestamp[[#This Row],[timestamp]])</f>
        <v>13</v>
      </c>
    </row>
    <row r="16" spans="1:12" x14ac:dyDescent="0.3">
      <c r="A16" s="12" t="s">
        <v>57</v>
      </c>
      <c r="B16" s="12" t="s">
        <v>10</v>
      </c>
      <c r="C16">
        <v>32.700000000000003</v>
      </c>
      <c r="D16">
        <v>31.6</v>
      </c>
      <c r="E16">
        <v>6</v>
      </c>
      <c r="F16">
        <v>2104.5</v>
      </c>
      <c r="G16">
        <v>13.5</v>
      </c>
      <c r="H16">
        <v>4000</v>
      </c>
      <c r="I16">
        <v>7024.1</v>
      </c>
      <c r="J16">
        <v>1</v>
      </c>
      <c r="K16">
        <f>J16+energy_grid_portfolio_dataset!G16</f>
        <v>14.5</v>
      </c>
      <c r="L16">
        <f>HOUR(energy_timestamp[[#This Row],[timestamp]])</f>
        <v>14</v>
      </c>
    </row>
    <row r="17" spans="1:12" x14ac:dyDescent="0.3">
      <c r="A17" s="12" t="s">
        <v>58</v>
      </c>
      <c r="B17" s="12" t="s">
        <v>10</v>
      </c>
      <c r="C17">
        <v>32</v>
      </c>
      <c r="D17">
        <v>2.9</v>
      </c>
      <c r="E17">
        <v>1.6</v>
      </c>
      <c r="F17">
        <v>2298.3000000000002</v>
      </c>
      <c r="G17">
        <v>0.3</v>
      </c>
      <c r="H17">
        <v>2579.5</v>
      </c>
      <c r="I17">
        <v>4878.1000000000004</v>
      </c>
      <c r="J17">
        <v>0</v>
      </c>
      <c r="K17">
        <f>J17+energy_grid_portfolio_dataset!G17</f>
        <v>0.3</v>
      </c>
      <c r="L17">
        <f>HOUR(energy_timestamp[[#This Row],[timestamp]])</f>
        <v>15</v>
      </c>
    </row>
    <row r="18" spans="1:12" x14ac:dyDescent="0.3">
      <c r="A18" s="12" t="s">
        <v>59</v>
      </c>
      <c r="B18" s="12" t="s">
        <v>10</v>
      </c>
      <c r="C18">
        <v>33</v>
      </c>
      <c r="D18">
        <v>23.6</v>
      </c>
      <c r="E18">
        <v>6</v>
      </c>
      <c r="F18">
        <v>1562</v>
      </c>
      <c r="G18">
        <v>13.9</v>
      </c>
      <c r="H18">
        <v>3496</v>
      </c>
      <c r="I18">
        <v>5071.8999999999996</v>
      </c>
      <c r="J18">
        <v>0</v>
      </c>
      <c r="K18">
        <f>J18+energy_grid_portfolio_dataset!G18</f>
        <v>13.9</v>
      </c>
      <c r="L18">
        <f>HOUR(energy_timestamp[[#This Row],[timestamp]])</f>
        <v>16</v>
      </c>
    </row>
    <row r="19" spans="1:12" x14ac:dyDescent="0.3">
      <c r="A19" s="12" t="s">
        <v>60</v>
      </c>
      <c r="B19" s="12" t="s">
        <v>10</v>
      </c>
      <c r="C19">
        <v>28.6</v>
      </c>
      <c r="D19">
        <v>32.200000000000003</v>
      </c>
      <c r="E19">
        <v>7.1</v>
      </c>
      <c r="F19">
        <v>1008</v>
      </c>
      <c r="G19">
        <v>22.7</v>
      </c>
      <c r="H19">
        <v>3973.5</v>
      </c>
      <c r="I19">
        <v>5004.2</v>
      </c>
      <c r="J19">
        <v>0</v>
      </c>
      <c r="K19">
        <f>J19+energy_grid_portfolio_dataset!G19</f>
        <v>22.7</v>
      </c>
      <c r="L19">
        <f>HOUR(energy_timestamp[[#This Row],[timestamp]])</f>
        <v>17</v>
      </c>
    </row>
    <row r="20" spans="1:12" x14ac:dyDescent="0.3">
      <c r="A20" s="12" t="s">
        <v>61</v>
      </c>
      <c r="B20" s="12" t="s">
        <v>10</v>
      </c>
      <c r="C20">
        <v>30.3</v>
      </c>
      <c r="D20">
        <v>0</v>
      </c>
      <c r="E20">
        <v>5.6</v>
      </c>
      <c r="F20">
        <v>667.6</v>
      </c>
      <c r="G20">
        <v>11.5</v>
      </c>
      <c r="H20">
        <v>4000</v>
      </c>
      <c r="I20">
        <v>7694.6</v>
      </c>
      <c r="J20">
        <v>1</v>
      </c>
      <c r="K20">
        <f>J20+energy_grid_portfolio_dataset!G20</f>
        <v>12.5</v>
      </c>
      <c r="L20">
        <f>HOUR(energy_timestamp[[#This Row],[timestamp]])</f>
        <v>18</v>
      </c>
    </row>
    <row r="21" spans="1:12" x14ac:dyDescent="0.3">
      <c r="A21" s="12" t="s">
        <v>62</v>
      </c>
      <c r="B21" s="12" t="s">
        <v>10</v>
      </c>
      <c r="C21">
        <v>26</v>
      </c>
      <c r="D21">
        <v>26.8</v>
      </c>
      <c r="E21">
        <v>0</v>
      </c>
      <c r="F21">
        <v>0</v>
      </c>
      <c r="G21">
        <v>0</v>
      </c>
      <c r="H21">
        <v>4000</v>
      </c>
      <c r="I21">
        <v>7713.1</v>
      </c>
      <c r="J21">
        <v>1</v>
      </c>
      <c r="K21">
        <f>J21+energy_grid_portfolio_dataset!G21</f>
        <v>1</v>
      </c>
      <c r="L21">
        <f>HOUR(energy_timestamp[[#This Row],[timestamp]])</f>
        <v>19</v>
      </c>
    </row>
    <row r="22" spans="1:12" x14ac:dyDescent="0.3">
      <c r="A22" s="12" t="s">
        <v>63</v>
      </c>
      <c r="B22" s="12" t="s">
        <v>10</v>
      </c>
      <c r="C22">
        <v>25.5</v>
      </c>
      <c r="D22">
        <v>54.6</v>
      </c>
      <c r="E22">
        <v>3</v>
      </c>
      <c r="F22">
        <v>0</v>
      </c>
      <c r="G22">
        <v>1.7</v>
      </c>
      <c r="H22">
        <v>4000</v>
      </c>
      <c r="I22">
        <v>7667</v>
      </c>
      <c r="J22">
        <v>1</v>
      </c>
      <c r="K22">
        <f>J22+energy_grid_portfolio_dataset!G22</f>
        <v>2.7</v>
      </c>
      <c r="L22">
        <f>HOUR(energy_timestamp[[#This Row],[timestamp]])</f>
        <v>20</v>
      </c>
    </row>
    <row r="23" spans="1:12" x14ac:dyDescent="0.3">
      <c r="A23" s="12" t="s">
        <v>64</v>
      </c>
      <c r="B23" s="12" t="s">
        <v>10</v>
      </c>
      <c r="C23">
        <v>23</v>
      </c>
      <c r="D23">
        <v>43.3</v>
      </c>
      <c r="E23">
        <v>4.7</v>
      </c>
      <c r="F23">
        <v>0</v>
      </c>
      <c r="G23">
        <v>6.5</v>
      </c>
      <c r="H23">
        <v>4000</v>
      </c>
      <c r="I23">
        <v>7578.7</v>
      </c>
      <c r="J23">
        <v>1</v>
      </c>
      <c r="K23">
        <f>J23+energy_grid_portfolio_dataset!G23</f>
        <v>7.5</v>
      </c>
      <c r="L23">
        <f>HOUR(energy_timestamp[[#This Row],[timestamp]])</f>
        <v>21</v>
      </c>
    </row>
    <row r="24" spans="1:12" x14ac:dyDescent="0.3">
      <c r="A24" s="12" t="s">
        <v>65</v>
      </c>
      <c r="B24" s="12" t="s">
        <v>10</v>
      </c>
      <c r="C24">
        <v>23.6</v>
      </c>
      <c r="D24">
        <v>26.9</v>
      </c>
      <c r="E24">
        <v>5.9</v>
      </c>
      <c r="F24">
        <v>0</v>
      </c>
      <c r="G24">
        <v>13.4</v>
      </c>
      <c r="H24">
        <v>4000</v>
      </c>
      <c r="I24">
        <v>4870.5</v>
      </c>
      <c r="J24">
        <v>1</v>
      </c>
      <c r="K24">
        <f>J24+energy_grid_portfolio_dataset!G24</f>
        <v>14.4</v>
      </c>
      <c r="L24">
        <f>HOUR(energy_timestamp[[#This Row],[timestamp]])</f>
        <v>22</v>
      </c>
    </row>
    <row r="25" spans="1:12" x14ac:dyDescent="0.3">
      <c r="A25" s="12" t="s">
        <v>66</v>
      </c>
      <c r="B25" s="12" t="s">
        <v>10</v>
      </c>
      <c r="C25">
        <v>21.7</v>
      </c>
      <c r="D25">
        <v>17.2</v>
      </c>
      <c r="E25">
        <v>1.1000000000000001</v>
      </c>
      <c r="F25">
        <v>0</v>
      </c>
      <c r="G25">
        <v>0.1</v>
      </c>
      <c r="H25">
        <v>4000</v>
      </c>
      <c r="I25">
        <v>4844.7</v>
      </c>
      <c r="J25">
        <v>1</v>
      </c>
      <c r="K25">
        <f>J25+energy_grid_portfolio_dataset!G25</f>
        <v>1.1000000000000001</v>
      </c>
      <c r="L25">
        <f>HOUR(energy_timestamp[[#This Row],[timestamp]])</f>
        <v>23</v>
      </c>
    </row>
    <row r="26" spans="1:12" x14ac:dyDescent="0.3">
      <c r="A26" s="12" t="s">
        <v>67</v>
      </c>
      <c r="B26" s="12" t="s">
        <v>10</v>
      </c>
      <c r="C26">
        <v>22.4</v>
      </c>
      <c r="D26">
        <v>25.1</v>
      </c>
      <c r="E26">
        <v>3.5</v>
      </c>
      <c r="F26">
        <v>0</v>
      </c>
      <c r="G26">
        <v>2.8</v>
      </c>
      <c r="H26">
        <v>4000</v>
      </c>
      <c r="I26">
        <v>4994.3999999999996</v>
      </c>
      <c r="J26">
        <v>1</v>
      </c>
      <c r="K26">
        <f>J26+energy_grid_portfolio_dataset!G26</f>
        <v>3.8</v>
      </c>
      <c r="L26">
        <f>HOUR(energy_timestamp[[#This Row],[timestamp]])</f>
        <v>0</v>
      </c>
    </row>
    <row r="27" spans="1:12" x14ac:dyDescent="0.3">
      <c r="A27" s="12" t="s">
        <v>68</v>
      </c>
      <c r="B27" s="12" t="s">
        <v>10</v>
      </c>
      <c r="C27">
        <v>21.6</v>
      </c>
      <c r="D27">
        <v>18.100000000000001</v>
      </c>
      <c r="E27">
        <v>2.4</v>
      </c>
      <c r="F27">
        <v>0</v>
      </c>
      <c r="G27">
        <v>0.9</v>
      </c>
      <c r="H27">
        <v>4000</v>
      </c>
      <c r="I27">
        <v>4737.7</v>
      </c>
      <c r="J27">
        <v>1</v>
      </c>
      <c r="K27">
        <f>J27+energy_grid_portfolio_dataset!G27</f>
        <v>1.9</v>
      </c>
      <c r="L27">
        <f>HOUR(energy_timestamp[[#This Row],[timestamp]])</f>
        <v>1</v>
      </c>
    </row>
    <row r="28" spans="1:12" x14ac:dyDescent="0.3">
      <c r="A28" s="12" t="s">
        <v>69</v>
      </c>
      <c r="B28" s="12" t="s">
        <v>10</v>
      </c>
      <c r="C28">
        <v>23.4</v>
      </c>
      <c r="D28">
        <v>62.7</v>
      </c>
      <c r="E28">
        <v>4.3</v>
      </c>
      <c r="F28">
        <v>0</v>
      </c>
      <c r="G28">
        <v>5.3</v>
      </c>
      <c r="H28">
        <v>4000</v>
      </c>
      <c r="I28">
        <v>4925.8</v>
      </c>
      <c r="J28">
        <v>1</v>
      </c>
      <c r="K28">
        <f>J28+energy_grid_portfolio_dataset!G28</f>
        <v>6.3</v>
      </c>
      <c r="L28">
        <f>HOUR(energy_timestamp[[#This Row],[timestamp]])</f>
        <v>2</v>
      </c>
    </row>
    <row r="29" spans="1:12" x14ac:dyDescent="0.3">
      <c r="A29" s="12" t="s">
        <v>70</v>
      </c>
      <c r="B29" s="12" t="s">
        <v>10</v>
      </c>
      <c r="C29">
        <v>23.6</v>
      </c>
      <c r="D29">
        <v>0</v>
      </c>
      <c r="E29">
        <v>3.9</v>
      </c>
      <c r="F29">
        <v>0</v>
      </c>
      <c r="G29">
        <v>3.9</v>
      </c>
      <c r="H29">
        <v>4000</v>
      </c>
      <c r="I29">
        <v>4988.6000000000004</v>
      </c>
      <c r="J29">
        <v>1</v>
      </c>
      <c r="K29">
        <f>J29+energy_grid_portfolio_dataset!G29</f>
        <v>4.9000000000000004</v>
      </c>
      <c r="L29">
        <f>HOUR(energy_timestamp[[#This Row],[timestamp]])</f>
        <v>3</v>
      </c>
    </row>
    <row r="30" spans="1:12" x14ac:dyDescent="0.3">
      <c r="A30" s="12" t="s">
        <v>71</v>
      </c>
      <c r="B30" s="12" t="s">
        <v>10</v>
      </c>
      <c r="C30">
        <v>28.7</v>
      </c>
      <c r="D30">
        <v>21.2</v>
      </c>
      <c r="E30">
        <v>4.5999999999999996</v>
      </c>
      <c r="F30">
        <v>0</v>
      </c>
      <c r="G30">
        <v>6.2</v>
      </c>
      <c r="H30">
        <v>4000</v>
      </c>
      <c r="I30">
        <v>4959</v>
      </c>
      <c r="J30">
        <v>1</v>
      </c>
      <c r="K30">
        <f>J30+energy_grid_portfolio_dataset!G30</f>
        <v>7.2</v>
      </c>
      <c r="L30">
        <f>HOUR(energy_timestamp[[#This Row],[timestamp]])</f>
        <v>4</v>
      </c>
    </row>
    <row r="31" spans="1:12" x14ac:dyDescent="0.3">
      <c r="A31" s="12" t="s">
        <v>72</v>
      </c>
      <c r="B31" s="12" t="s">
        <v>10</v>
      </c>
      <c r="C31">
        <v>24.7</v>
      </c>
      <c r="D31">
        <v>47.9</v>
      </c>
      <c r="E31">
        <v>5.5</v>
      </c>
      <c r="F31">
        <v>0</v>
      </c>
      <c r="G31">
        <v>10.7</v>
      </c>
      <c r="H31">
        <v>4000</v>
      </c>
      <c r="I31">
        <v>4944.8</v>
      </c>
      <c r="J31">
        <v>1</v>
      </c>
      <c r="K31">
        <f>J31+energy_grid_portfolio_dataset!G31</f>
        <v>11.7</v>
      </c>
      <c r="L31">
        <f>HOUR(energy_timestamp[[#This Row],[timestamp]])</f>
        <v>5</v>
      </c>
    </row>
    <row r="32" spans="1:12" x14ac:dyDescent="0.3">
      <c r="A32" s="12" t="s">
        <v>73</v>
      </c>
      <c r="B32" s="12" t="s">
        <v>10</v>
      </c>
      <c r="C32">
        <v>26.6</v>
      </c>
      <c r="D32">
        <v>53.1</v>
      </c>
      <c r="E32">
        <v>1.2</v>
      </c>
      <c r="F32">
        <v>419.6</v>
      </c>
      <c r="G32">
        <v>0.1</v>
      </c>
      <c r="H32">
        <v>4000</v>
      </c>
      <c r="I32">
        <v>5068.7</v>
      </c>
      <c r="J32">
        <v>1</v>
      </c>
      <c r="K32">
        <f>J32+energy_grid_portfolio_dataset!G32</f>
        <v>1.1000000000000001</v>
      </c>
      <c r="L32">
        <f>HOUR(energy_timestamp[[#This Row],[timestamp]])</f>
        <v>6</v>
      </c>
    </row>
    <row r="33" spans="1:12" x14ac:dyDescent="0.3">
      <c r="A33" s="12" t="s">
        <v>74</v>
      </c>
      <c r="B33" s="12" t="s">
        <v>10</v>
      </c>
      <c r="C33">
        <v>32.799999999999997</v>
      </c>
      <c r="D33">
        <v>5.2</v>
      </c>
      <c r="E33">
        <v>2.9</v>
      </c>
      <c r="F33">
        <v>1254.4000000000001</v>
      </c>
      <c r="G33">
        <v>1.5</v>
      </c>
      <c r="H33">
        <v>3782.1</v>
      </c>
      <c r="I33">
        <v>5038</v>
      </c>
      <c r="J33">
        <v>0</v>
      </c>
      <c r="K33">
        <f>J33+energy_grid_portfolio_dataset!G33</f>
        <v>1.5</v>
      </c>
      <c r="L33">
        <f>HOUR(energy_timestamp[[#This Row],[timestamp]])</f>
        <v>7</v>
      </c>
    </row>
    <row r="34" spans="1:12" x14ac:dyDescent="0.3">
      <c r="A34" s="12" t="s">
        <v>75</v>
      </c>
      <c r="B34" s="12" t="s">
        <v>10</v>
      </c>
      <c r="C34">
        <v>30.2</v>
      </c>
      <c r="D34">
        <v>0</v>
      </c>
      <c r="E34">
        <v>4.0999999999999996</v>
      </c>
      <c r="F34">
        <v>1870.5</v>
      </c>
      <c r="G34">
        <v>4.5</v>
      </c>
      <c r="H34">
        <v>3089.9</v>
      </c>
      <c r="I34">
        <v>4964.8999999999996</v>
      </c>
      <c r="J34">
        <v>0</v>
      </c>
      <c r="K34">
        <f>J34+energy_grid_portfolio_dataset!G34</f>
        <v>4.5</v>
      </c>
      <c r="L34">
        <f>HOUR(energy_timestamp[[#This Row],[timestamp]])</f>
        <v>8</v>
      </c>
    </row>
    <row r="35" spans="1:12" x14ac:dyDescent="0.3">
      <c r="A35" s="12" t="s">
        <v>76</v>
      </c>
      <c r="B35" s="12" t="s">
        <v>10</v>
      </c>
      <c r="C35">
        <v>33</v>
      </c>
      <c r="D35">
        <v>6.6</v>
      </c>
      <c r="E35">
        <v>7.1</v>
      </c>
      <c r="F35">
        <v>2236.9</v>
      </c>
      <c r="G35">
        <v>22.9</v>
      </c>
      <c r="H35">
        <v>2530.9</v>
      </c>
      <c r="I35">
        <v>4790.7</v>
      </c>
      <c r="J35">
        <v>0</v>
      </c>
      <c r="K35">
        <f>J35+energy_grid_portfolio_dataset!G35</f>
        <v>22.9</v>
      </c>
      <c r="L35">
        <f>HOUR(energy_timestamp[[#This Row],[timestamp]])</f>
        <v>9</v>
      </c>
    </row>
    <row r="36" spans="1:12" x14ac:dyDescent="0.3">
      <c r="A36" s="12" t="s">
        <v>77</v>
      </c>
      <c r="B36" s="12" t="s">
        <v>10</v>
      </c>
      <c r="C36">
        <v>32.700000000000003</v>
      </c>
      <c r="D36">
        <v>41.3</v>
      </c>
      <c r="E36">
        <v>1.5</v>
      </c>
      <c r="F36">
        <v>1922.1</v>
      </c>
      <c r="G36">
        <v>0.2</v>
      </c>
      <c r="H36">
        <v>4000</v>
      </c>
      <c r="I36">
        <v>7032.5</v>
      </c>
      <c r="J36">
        <v>1</v>
      </c>
      <c r="K36">
        <f>J36+energy_grid_portfolio_dataset!G36</f>
        <v>1.2</v>
      </c>
      <c r="L36">
        <f>HOUR(energy_timestamp[[#This Row],[timestamp]])</f>
        <v>10</v>
      </c>
    </row>
    <row r="37" spans="1:12" x14ac:dyDescent="0.3">
      <c r="A37" s="12" t="s">
        <v>78</v>
      </c>
      <c r="B37" s="12" t="s">
        <v>10</v>
      </c>
      <c r="C37">
        <v>35.799999999999997</v>
      </c>
      <c r="D37">
        <v>0</v>
      </c>
      <c r="E37">
        <v>4.4000000000000004</v>
      </c>
      <c r="F37">
        <v>2924.8</v>
      </c>
      <c r="G37">
        <v>5.3</v>
      </c>
      <c r="H37">
        <v>4000</v>
      </c>
      <c r="I37">
        <v>7184.1</v>
      </c>
      <c r="J37">
        <v>1</v>
      </c>
      <c r="K37">
        <f>J37+energy_grid_portfolio_dataset!G37</f>
        <v>6.3</v>
      </c>
      <c r="L37">
        <f>HOUR(energy_timestamp[[#This Row],[timestamp]])</f>
        <v>11</v>
      </c>
    </row>
    <row r="38" spans="1:12" x14ac:dyDescent="0.3">
      <c r="A38" s="12" t="s">
        <v>79</v>
      </c>
      <c r="B38" s="12" t="s">
        <v>10</v>
      </c>
      <c r="C38">
        <v>35.200000000000003</v>
      </c>
      <c r="D38">
        <v>0.3</v>
      </c>
      <c r="E38">
        <v>1.4</v>
      </c>
      <c r="F38">
        <v>2994.5</v>
      </c>
      <c r="G38">
        <v>0.2</v>
      </c>
      <c r="H38">
        <v>4000</v>
      </c>
      <c r="I38">
        <v>7189</v>
      </c>
      <c r="J38">
        <v>1</v>
      </c>
      <c r="K38">
        <f>J38+energy_grid_portfolio_dataset!G38</f>
        <v>1.2</v>
      </c>
      <c r="L38">
        <f>HOUR(energy_timestamp[[#This Row],[timestamp]])</f>
        <v>12</v>
      </c>
    </row>
    <row r="39" spans="1:12" x14ac:dyDescent="0.3">
      <c r="A39" s="12" t="s">
        <v>80</v>
      </c>
      <c r="B39" s="12" t="s">
        <v>10</v>
      </c>
      <c r="C39">
        <v>34.200000000000003</v>
      </c>
      <c r="D39">
        <v>30</v>
      </c>
      <c r="E39">
        <v>4.7</v>
      </c>
      <c r="F39">
        <v>2310.4</v>
      </c>
      <c r="G39">
        <v>6.6</v>
      </c>
      <c r="H39">
        <v>4000</v>
      </c>
      <c r="I39">
        <v>7228.3</v>
      </c>
      <c r="J39">
        <v>1</v>
      </c>
      <c r="K39">
        <f>J39+energy_grid_portfolio_dataset!G39</f>
        <v>7.6</v>
      </c>
      <c r="L39">
        <f>HOUR(energy_timestamp[[#This Row],[timestamp]])</f>
        <v>13</v>
      </c>
    </row>
    <row r="40" spans="1:12" x14ac:dyDescent="0.3">
      <c r="A40" s="12" t="s">
        <v>81</v>
      </c>
      <c r="B40" s="12" t="s">
        <v>10</v>
      </c>
      <c r="C40">
        <v>33.5</v>
      </c>
      <c r="D40">
        <v>30.9</v>
      </c>
      <c r="E40">
        <v>2.6</v>
      </c>
      <c r="F40">
        <v>2119</v>
      </c>
      <c r="G40">
        <v>1.1000000000000001</v>
      </c>
      <c r="H40">
        <v>4000</v>
      </c>
      <c r="I40">
        <v>7048</v>
      </c>
      <c r="J40">
        <v>1</v>
      </c>
      <c r="K40">
        <f>J40+energy_grid_portfolio_dataset!G40</f>
        <v>2.1</v>
      </c>
      <c r="L40">
        <f>HOUR(energy_timestamp[[#This Row],[timestamp]])</f>
        <v>14</v>
      </c>
    </row>
    <row r="41" spans="1:12" x14ac:dyDescent="0.3">
      <c r="A41" s="12" t="s">
        <v>82</v>
      </c>
      <c r="B41" s="12" t="s">
        <v>10</v>
      </c>
      <c r="C41">
        <v>33</v>
      </c>
      <c r="D41">
        <v>1.2</v>
      </c>
      <c r="E41">
        <v>5.3</v>
      </c>
      <c r="F41">
        <v>2326.1999999999998</v>
      </c>
      <c r="G41">
        <v>9.6</v>
      </c>
      <c r="H41">
        <v>2894.1</v>
      </c>
      <c r="I41">
        <v>5229.8999999999996</v>
      </c>
      <c r="J41">
        <v>0</v>
      </c>
      <c r="K41">
        <f>J41+energy_grid_portfolio_dataset!G41</f>
        <v>9.6</v>
      </c>
      <c r="L41">
        <f>HOUR(energy_timestamp[[#This Row],[timestamp]])</f>
        <v>15</v>
      </c>
    </row>
    <row r="42" spans="1:12" x14ac:dyDescent="0.3">
      <c r="A42" s="12" t="s">
        <v>83</v>
      </c>
      <c r="B42" s="12" t="s">
        <v>10</v>
      </c>
      <c r="C42">
        <v>32.200000000000003</v>
      </c>
      <c r="D42">
        <v>48.2</v>
      </c>
      <c r="E42">
        <v>2.4</v>
      </c>
      <c r="F42">
        <v>1239.7</v>
      </c>
      <c r="G42">
        <v>0.8</v>
      </c>
      <c r="H42">
        <v>3563.3</v>
      </c>
      <c r="I42">
        <v>4803.8</v>
      </c>
      <c r="J42">
        <v>0</v>
      </c>
      <c r="K42">
        <f>J42+energy_grid_portfolio_dataset!G42</f>
        <v>0.8</v>
      </c>
      <c r="L42">
        <f>HOUR(energy_timestamp[[#This Row],[timestamp]])</f>
        <v>16</v>
      </c>
    </row>
    <row r="43" spans="1:12" x14ac:dyDescent="0.3">
      <c r="A43" s="12" t="s">
        <v>84</v>
      </c>
      <c r="B43" s="12" t="s">
        <v>10</v>
      </c>
      <c r="C43">
        <v>30.2</v>
      </c>
      <c r="D43">
        <v>41.4</v>
      </c>
      <c r="E43">
        <v>7.8</v>
      </c>
      <c r="F43">
        <v>924.1</v>
      </c>
      <c r="G43">
        <v>30.3</v>
      </c>
      <c r="H43">
        <v>4000</v>
      </c>
      <c r="I43">
        <v>5094.5</v>
      </c>
      <c r="J43">
        <v>1</v>
      </c>
      <c r="K43">
        <f>J43+energy_grid_portfolio_dataset!G43</f>
        <v>31.3</v>
      </c>
      <c r="L43">
        <f>HOUR(energy_timestamp[[#This Row],[timestamp]])</f>
        <v>17</v>
      </c>
    </row>
    <row r="44" spans="1:12" x14ac:dyDescent="0.3">
      <c r="A44" s="12" t="s">
        <v>85</v>
      </c>
      <c r="B44" s="12" t="s">
        <v>10</v>
      </c>
      <c r="C44">
        <v>26.9</v>
      </c>
      <c r="D44">
        <v>7.2</v>
      </c>
      <c r="E44">
        <v>2.4</v>
      </c>
      <c r="F44">
        <v>633.9</v>
      </c>
      <c r="G44">
        <v>0.9</v>
      </c>
      <c r="H44">
        <v>4000</v>
      </c>
      <c r="I44">
        <v>7663.2</v>
      </c>
      <c r="J44">
        <v>1</v>
      </c>
      <c r="K44">
        <f>J44+energy_grid_portfolio_dataset!G44</f>
        <v>1.9</v>
      </c>
      <c r="L44">
        <f>HOUR(energy_timestamp[[#This Row],[timestamp]])</f>
        <v>18</v>
      </c>
    </row>
    <row r="45" spans="1:12" x14ac:dyDescent="0.3">
      <c r="A45" s="12" t="s">
        <v>86</v>
      </c>
      <c r="B45" s="12" t="s">
        <v>10</v>
      </c>
      <c r="C45">
        <v>27</v>
      </c>
      <c r="D45">
        <v>30.5</v>
      </c>
      <c r="E45">
        <v>5.7</v>
      </c>
      <c r="F45">
        <v>0</v>
      </c>
      <c r="G45">
        <v>11.6</v>
      </c>
      <c r="H45">
        <v>4000</v>
      </c>
      <c r="I45">
        <v>7688.4</v>
      </c>
      <c r="J45">
        <v>1</v>
      </c>
      <c r="K45">
        <f>J45+energy_grid_portfolio_dataset!G45</f>
        <v>12.6</v>
      </c>
      <c r="L45">
        <f>HOUR(energy_timestamp[[#This Row],[timestamp]])</f>
        <v>19</v>
      </c>
    </row>
    <row r="46" spans="1:12" x14ac:dyDescent="0.3">
      <c r="A46" s="12" t="s">
        <v>87</v>
      </c>
      <c r="B46" s="12" t="s">
        <v>10</v>
      </c>
      <c r="C46">
        <v>27.2</v>
      </c>
      <c r="D46">
        <v>19.7</v>
      </c>
      <c r="E46">
        <v>9.4</v>
      </c>
      <c r="F46">
        <v>0</v>
      </c>
      <c r="G46">
        <v>53.8</v>
      </c>
      <c r="H46">
        <v>4000</v>
      </c>
      <c r="I46">
        <v>7702</v>
      </c>
      <c r="J46">
        <v>1</v>
      </c>
      <c r="K46">
        <f>J46+energy_grid_portfolio_dataset!G46</f>
        <v>54.8</v>
      </c>
      <c r="L46">
        <f>HOUR(energy_timestamp[[#This Row],[timestamp]])</f>
        <v>20</v>
      </c>
    </row>
    <row r="47" spans="1:12" x14ac:dyDescent="0.3">
      <c r="A47" s="12" t="s">
        <v>88</v>
      </c>
      <c r="B47" s="12" t="s">
        <v>10</v>
      </c>
      <c r="C47">
        <v>22.5</v>
      </c>
      <c r="D47">
        <v>3.6</v>
      </c>
      <c r="E47">
        <v>5</v>
      </c>
      <c r="F47">
        <v>0</v>
      </c>
      <c r="G47">
        <v>7.8</v>
      </c>
      <c r="H47">
        <v>4000</v>
      </c>
      <c r="I47">
        <v>7793.9</v>
      </c>
      <c r="J47">
        <v>1</v>
      </c>
      <c r="K47">
        <f>J47+energy_grid_portfolio_dataset!G47</f>
        <v>8.8000000000000007</v>
      </c>
      <c r="L47">
        <f>HOUR(energy_timestamp[[#This Row],[timestamp]])</f>
        <v>21</v>
      </c>
    </row>
    <row r="48" spans="1:12" x14ac:dyDescent="0.3">
      <c r="A48" s="12" t="s">
        <v>89</v>
      </c>
      <c r="B48" s="12" t="s">
        <v>10</v>
      </c>
      <c r="C48">
        <v>23.9</v>
      </c>
      <c r="D48">
        <v>34.5</v>
      </c>
      <c r="E48">
        <v>3.9</v>
      </c>
      <c r="F48">
        <v>0</v>
      </c>
      <c r="G48">
        <v>3.7</v>
      </c>
      <c r="H48">
        <v>4000</v>
      </c>
      <c r="I48">
        <v>4916.5</v>
      </c>
      <c r="J48">
        <v>1</v>
      </c>
      <c r="K48">
        <f>J48+energy_grid_portfolio_dataset!G48</f>
        <v>4.7</v>
      </c>
      <c r="L48">
        <f>HOUR(energy_timestamp[[#This Row],[timestamp]])</f>
        <v>22</v>
      </c>
    </row>
    <row r="49" spans="1:12" x14ac:dyDescent="0.3">
      <c r="A49" s="12" t="s">
        <v>90</v>
      </c>
      <c r="B49" s="12" t="s">
        <v>10</v>
      </c>
      <c r="C49">
        <v>19.899999999999999</v>
      </c>
      <c r="D49">
        <v>16.100000000000001</v>
      </c>
      <c r="E49">
        <v>5.7</v>
      </c>
      <c r="F49">
        <v>0</v>
      </c>
      <c r="G49">
        <v>11.9</v>
      </c>
      <c r="H49">
        <v>4000</v>
      </c>
      <c r="I49">
        <v>4823</v>
      </c>
      <c r="J49">
        <v>1</v>
      </c>
      <c r="K49">
        <f>J49+energy_grid_portfolio_dataset!G49</f>
        <v>12.9</v>
      </c>
      <c r="L49">
        <f>HOUR(energy_timestamp[[#This Row],[timestamp]])</f>
        <v>23</v>
      </c>
    </row>
    <row r="50" spans="1:12" x14ac:dyDescent="0.3">
      <c r="A50" s="12" t="s">
        <v>91</v>
      </c>
      <c r="B50" s="12" t="s">
        <v>10</v>
      </c>
      <c r="C50">
        <v>20.100000000000001</v>
      </c>
      <c r="D50">
        <v>28.5</v>
      </c>
      <c r="E50">
        <v>4.8</v>
      </c>
      <c r="F50">
        <v>0</v>
      </c>
      <c r="G50">
        <v>6.9</v>
      </c>
      <c r="H50">
        <v>4000</v>
      </c>
      <c r="I50">
        <v>4982.1000000000004</v>
      </c>
      <c r="J50">
        <v>1</v>
      </c>
      <c r="K50">
        <f>J50+energy_grid_portfolio_dataset!G50</f>
        <v>7.9</v>
      </c>
      <c r="L50">
        <f>HOUR(energy_timestamp[[#This Row],[timestamp]])</f>
        <v>0</v>
      </c>
    </row>
    <row r="51" spans="1:12" x14ac:dyDescent="0.3">
      <c r="A51" s="12" t="s">
        <v>92</v>
      </c>
      <c r="B51" s="12" t="s">
        <v>10</v>
      </c>
      <c r="C51">
        <v>22.4</v>
      </c>
      <c r="D51">
        <v>26.2</v>
      </c>
      <c r="E51">
        <v>1.7</v>
      </c>
      <c r="F51">
        <v>0</v>
      </c>
      <c r="G51">
        <v>0.3</v>
      </c>
      <c r="H51">
        <v>4000</v>
      </c>
      <c r="I51">
        <v>4817.3999999999996</v>
      </c>
      <c r="J51">
        <v>1</v>
      </c>
      <c r="K51">
        <f>J51+energy_grid_portfolio_dataset!G51</f>
        <v>1.3</v>
      </c>
      <c r="L51">
        <f>HOUR(energy_timestamp[[#This Row],[timestamp]])</f>
        <v>1</v>
      </c>
    </row>
    <row r="52" spans="1:12" x14ac:dyDescent="0.3">
      <c r="A52" s="12" t="s">
        <v>93</v>
      </c>
      <c r="B52" s="12" t="s">
        <v>10</v>
      </c>
      <c r="C52">
        <v>23.6</v>
      </c>
      <c r="D52">
        <v>46.7</v>
      </c>
      <c r="E52">
        <v>6.1</v>
      </c>
      <c r="F52">
        <v>0</v>
      </c>
      <c r="G52">
        <v>14.6</v>
      </c>
      <c r="H52">
        <v>4000</v>
      </c>
      <c r="I52">
        <v>5003.7</v>
      </c>
      <c r="J52">
        <v>1</v>
      </c>
      <c r="K52">
        <f>J52+energy_grid_portfolio_dataset!G52</f>
        <v>15.6</v>
      </c>
      <c r="L52">
        <f>HOUR(energy_timestamp[[#This Row],[timestamp]])</f>
        <v>2</v>
      </c>
    </row>
    <row r="53" spans="1:12" x14ac:dyDescent="0.3">
      <c r="A53" s="12" t="s">
        <v>94</v>
      </c>
      <c r="B53" s="12" t="s">
        <v>10</v>
      </c>
      <c r="C53">
        <v>22.4</v>
      </c>
      <c r="D53">
        <v>35.299999999999997</v>
      </c>
      <c r="E53">
        <v>5</v>
      </c>
      <c r="F53">
        <v>0</v>
      </c>
      <c r="G53">
        <v>8.1</v>
      </c>
      <c r="H53">
        <v>4000</v>
      </c>
      <c r="I53">
        <v>4743.3</v>
      </c>
      <c r="J53">
        <v>1</v>
      </c>
      <c r="K53">
        <f>J53+energy_grid_portfolio_dataset!G53</f>
        <v>9.1</v>
      </c>
      <c r="L53">
        <f>HOUR(energy_timestamp[[#This Row],[timestamp]])</f>
        <v>3</v>
      </c>
    </row>
    <row r="54" spans="1:12" x14ac:dyDescent="0.3">
      <c r="A54" s="12" t="s">
        <v>95</v>
      </c>
      <c r="B54" s="12" t="s">
        <v>10</v>
      </c>
      <c r="C54">
        <v>30.8</v>
      </c>
      <c r="D54">
        <v>36.4</v>
      </c>
      <c r="E54">
        <v>6.3</v>
      </c>
      <c r="F54">
        <v>0</v>
      </c>
      <c r="G54">
        <v>15.8</v>
      </c>
      <c r="H54">
        <v>4000</v>
      </c>
      <c r="I54">
        <v>5027.3</v>
      </c>
      <c r="J54">
        <v>1</v>
      </c>
      <c r="K54">
        <f>J54+energy_grid_portfolio_dataset!G54</f>
        <v>16.8</v>
      </c>
      <c r="L54">
        <f>HOUR(energy_timestamp[[#This Row],[timestamp]])</f>
        <v>4</v>
      </c>
    </row>
    <row r="55" spans="1:12" x14ac:dyDescent="0.3">
      <c r="A55" s="12" t="s">
        <v>96</v>
      </c>
      <c r="B55" s="12" t="s">
        <v>10</v>
      </c>
      <c r="C55">
        <v>27.4</v>
      </c>
      <c r="D55">
        <v>18.7</v>
      </c>
      <c r="E55">
        <v>5.5</v>
      </c>
      <c r="F55">
        <v>0</v>
      </c>
      <c r="G55">
        <v>10.8</v>
      </c>
      <c r="H55">
        <v>4000</v>
      </c>
      <c r="I55">
        <v>5093.1000000000004</v>
      </c>
      <c r="J55">
        <v>1</v>
      </c>
      <c r="K55">
        <f>J55+energy_grid_portfolio_dataset!G55</f>
        <v>11.8</v>
      </c>
      <c r="L55">
        <f>HOUR(energy_timestamp[[#This Row],[timestamp]])</f>
        <v>5</v>
      </c>
    </row>
    <row r="56" spans="1:12" x14ac:dyDescent="0.3">
      <c r="A56" s="12" t="s">
        <v>97</v>
      </c>
      <c r="B56" s="12" t="s">
        <v>10</v>
      </c>
      <c r="C56">
        <v>27.6</v>
      </c>
      <c r="D56">
        <v>15.3</v>
      </c>
      <c r="E56">
        <v>4.2</v>
      </c>
      <c r="F56">
        <v>596.1</v>
      </c>
      <c r="G56">
        <v>4.5999999999999996</v>
      </c>
      <c r="H56">
        <v>4000</v>
      </c>
      <c r="I56">
        <v>4834.1000000000004</v>
      </c>
      <c r="J56">
        <v>1</v>
      </c>
      <c r="K56">
        <f>J56+energy_grid_portfolio_dataset!G56</f>
        <v>5.6</v>
      </c>
      <c r="L56">
        <f>HOUR(energy_timestamp[[#This Row],[timestamp]])</f>
        <v>6</v>
      </c>
    </row>
    <row r="57" spans="1:12" x14ac:dyDescent="0.3">
      <c r="A57" s="12" t="s">
        <v>98</v>
      </c>
      <c r="B57" s="12" t="s">
        <v>10</v>
      </c>
      <c r="C57">
        <v>26.8</v>
      </c>
      <c r="D57">
        <v>38.700000000000003</v>
      </c>
      <c r="E57">
        <v>0.8</v>
      </c>
      <c r="F57">
        <v>948.8</v>
      </c>
      <c r="G57">
        <v>0</v>
      </c>
      <c r="H57">
        <v>4000</v>
      </c>
      <c r="I57">
        <v>5297.2</v>
      </c>
      <c r="J57">
        <v>1</v>
      </c>
      <c r="K57">
        <f>J57+energy_grid_portfolio_dataset!G57</f>
        <v>1</v>
      </c>
      <c r="L57">
        <f>HOUR(energy_timestamp[[#This Row],[timestamp]])</f>
        <v>7</v>
      </c>
    </row>
    <row r="58" spans="1:12" x14ac:dyDescent="0.3">
      <c r="A58" s="12" t="s">
        <v>99</v>
      </c>
      <c r="B58" s="12" t="s">
        <v>10</v>
      </c>
      <c r="C58">
        <v>32.6</v>
      </c>
      <c r="D58">
        <v>26.3</v>
      </c>
      <c r="E58">
        <v>1.8</v>
      </c>
      <c r="F58">
        <v>1526.3</v>
      </c>
      <c r="G58">
        <v>0.4</v>
      </c>
      <c r="H58">
        <v>3352.5</v>
      </c>
      <c r="I58">
        <v>4879.2</v>
      </c>
      <c r="J58">
        <v>0</v>
      </c>
      <c r="K58">
        <f>J58+energy_grid_portfolio_dataset!G58</f>
        <v>0.4</v>
      </c>
      <c r="L58">
        <f>HOUR(energy_timestamp[[#This Row],[timestamp]])</f>
        <v>8</v>
      </c>
    </row>
    <row r="59" spans="1:12" x14ac:dyDescent="0.3">
      <c r="A59" s="12" t="s">
        <v>100</v>
      </c>
      <c r="B59" s="12" t="s">
        <v>10</v>
      </c>
      <c r="C59">
        <v>33.299999999999997</v>
      </c>
      <c r="D59">
        <v>10.4</v>
      </c>
      <c r="E59">
        <v>4.4000000000000004</v>
      </c>
      <c r="F59">
        <v>2174.9</v>
      </c>
      <c r="G59">
        <v>5.6</v>
      </c>
      <c r="H59">
        <v>2662.2</v>
      </c>
      <c r="I59">
        <v>4842.7</v>
      </c>
      <c r="J59">
        <v>0</v>
      </c>
      <c r="K59">
        <f>J59+energy_grid_portfolio_dataset!G59</f>
        <v>5.6</v>
      </c>
      <c r="L59">
        <f>HOUR(energy_timestamp[[#This Row],[timestamp]])</f>
        <v>9</v>
      </c>
    </row>
    <row r="60" spans="1:12" x14ac:dyDescent="0.3">
      <c r="A60" s="12" t="s">
        <v>101</v>
      </c>
      <c r="B60" s="12" t="s">
        <v>10</v>
      </c>
      <c r="C60">
        <v>32.200000000000003</v>
      </c>
      <c r="D60">
        <v>67.900000000000006</v>
      </c>
      <c r="E60">
        <v>5.3</v>
      </c>
      <c r="F60">
        <v>1418.6</v>
      </c>
      <c r="G60">
        <v>9.4</v>
      </c>
      <c r="H60">
        <v>4000</v>
      </c>
      <c r="I60">
        <v>7156.8</v>
      </c>
      <c r="J60">
        <v>1</v>
      </c>
      <c r="K60">
        <f>J60+energy_grid_portfolio_dataset!G60</f>
        <v>10.4</v>
      </c>
      <c r="L60">
        <f>HOUR(energy_timestamp[[#This Row],[timestamp]])</f>
        <v>10</v>
      </c>
    </row>
    <row r="61" spans="1:12" x14ac:dyDescent="0.3">
      <c r="A61" s="12" t="s">
        <v>102</v>
      </c>
      <c r="B61" s="12" t="s">
        <v>10</v>
      </c>
      <c r="C61">
        <v>34.1</v>
      </c>
      <c r="D61">
        <v>11.8</v>
      </c>
      <c r="E61">
        <v>5.7</v>
      </c>
      <c r="F61">
        <v>2683.9</v>
      </c>
      <c r="G61">
        <v>11.9</v>
      </c>
      <c r="H61">
        <v>4000</v>
      </c>
      <c r="I61">
        <v>6846.2</v>
      </c>
      <c r="J61">
        <v>1</v>
      </c>
      <c r="K61">
        <f>J61+energy_grid_portfolio_dataset!G61</f>
        <v>12.9</v>
      </c>
      <c r="L61">
        <f>HOUR(energy_timestamp[[#This Row],[timestamp]])</f>
        <v>11</v>
      </c>
    </row>
    <row r="62" spans="1:12" x14ac:dyDescent="0.3">
      <c r="A62" s="12" t="s">
        <v>103</v>
      </c>
      <c r="B62" s="12" t="s">
        <v>10</v>
      </c>
      <c r="C62">
        <v>33.799999999999997</v>
      </c>
      <c r="D62">
        <v>35.1</v>
      </c>
      <c r="E62">
        <v>5.7</v>
      </c>
      <c r="F62">
        <v>2262.9</v>
      </c>
      <c r="G62">
        <v>12.1</v>
      </c>
      <c r="H62">
        <v>4000</v>
      </c>
      <c r="I62">
        <v>7031.1</v>
      </c>
      <c r="J62">
        <v>1</v>
      </c>
      <c r="K62">
        <f>J62+energy_grid_portfolio_dataset!G62</f>
        <v>13.1</v>
      </c>
      <c r="L62">
        <f>HOUR(energy_timestamp[[#This Row],[timestamp]])</f>
        <v>12</v>
      </c>
    </row>
    <row r="63" spans="1:12" x14ac:dyDescent="0.3">
      <c r="A63" s="12" t="s">
        <v>104</v>
      </c>
      <c r="B63" s="12" t="s">
        <v>10</v>
      </c>
      <c r="C63">
        <v>33.299999999999997</v>
      </c>
      <c r="D63">
        <v>15.5</v>
      </c>
      <c r="E63">
        <v>2.7</v>
      </c>
      <c r="F63">
        <v>2607.4</v>
      </c>
      <c r="G63">
        <v>1.3</v>
      </c>
      <c r="H63">
        <v>4000</v>
      </c>
      <c r="I63">
        <v>6970</v>
      </c>
      <c r="J63">
        <v>1</v>
      </c>
      <c r="K63">
        <f>J63+energy_grid_portfolio_dataset!G63</f>
        <v>2.2999999999999998</v>
      </c>
      <c r="L63">
        <f>HOUR(energy_timestamp[[#This Row],[timestamp]])</f>
        <v>13</v>
      </c>
    </row>
    <row r="64" spans="1:12" x14ac:dyDescent="0.3">
      <c r="A64" s="12" t="s">
        <v>105</v>
      </c>
      <c r="B64" s="12" t="s">
        <v>10</v>
      </c>
      <c r="C64">
        <v>33.799999999999997</v>
      </c>
      <c r="D64">
        <v>0</v>
      </c>
      <c r="E64">
        <v>5.8</v>
      </c>
      <c r="F64">
        <v>2702.9</v>
      </c>
      <c r="G64">
        <v>12.7</v>
      </c>
      <c r="H64">
        <v>4000</v>
      </c>
      <c r="I64">
        <v>7414.8</v>
      </c>
      <c r="J64">
        <v>1</v>
      </c>
      <c r="K64">
        <f>J64+energy_grid_portfolio_dataset!G64</f>
        <v>13.7</v>
      </c>
      <c r="L64">
        <f>HOUR(energy_timestamp[[#This Row],[timestamp]])</f>
        <v>14</v>
      </c>
    </row>
    <row r="65" spans="1:12" x14ac:dyDescent="0.3">
      <c r="A65" s="12" t="s">
        <v>106</v>
      </c>
      <c r="B65" s="12" t="s">
        <v>10</v>
      </c>
      <c r="C65">
        <v>33.799999999999997</v>
      </c>
      <c r="D65">
        <v>0</v>
      </c>
      <c r="E65">
        <v>3</v>
      </c>
      <c r="F65">
        <v>2345.5</v>
      </c>
      <c r="G65">
        <v>1.8</v>
      </c>
      <c r="H65">
        <v>2921</v>
      </c>
      <c r="I65">
        <v>5268.3</v>
      </c>
      <c r="J65">
        <v>0</v>
      </c>
      <c r="K65">
        <f>J65+energy_grid_portfolio_dataset!G65</f>
        <v>1.8</v>
      </c>
      <c r="L65">
        <f>HOUR(energy_timestamp[[#This Row],[timestamp]])</f>
        <v>15</v>
      </c>
    </row>
    <row r="66" spans="1:12" x14ac:dyDescent="0.3">
      <c r="A66" s="12" t="s">
        <v>107</v>
      </c>
      <c r="B66" s="12" t="s">
        <v>10</v>
      </c>
      <c r="C66">
        <v>29.9</v>
      </c>
      <c r="D66">
        <v>33.9</v>
      </c>
      <c r="E66">
        <v>5.5</v>
      </c>
      <c r="F66">
        <v>1426.9</v>
      </c>
      <c r="G66">
        <v>10.9</v>
      </c>
      <c r="H66">
        <v>3702.2</v>
      </c>
      <c r="I66">
        <v>5140</v>
      </c>
      <c r="J66">
        <v>0</v>
      </c>
      <c r="K66">
        <f>J66+energy_grid_portfolio_dataset!G66</f>
        <v>10.9</v>
      </c>
      <c r="L66">
        <f>HOUR(energy_timestamp[[#This Row],[timestamp]])</f>
        <v>16</v>
      </c>
    </row>
    <row r="67" spans="1:12" x14ac:dyDescent="0.3">
      <c r="A67" s="12" t="s">
        <v>108</v>
      </c>
      <c r="B67" s="12" t="s">
        <v>10</v>
      </c>
      <c r="C67">
        <v>29.5</v>
      </c>
      <c r="D67">
        <v>0</v>
      </c>
      <c r="E67">
        <v>2</v>
      </c>
      <c r="F67">
        <v>1301.7</v>
      </c>
      <c r="G67">
        <v>0.5</v>
      </c>
      <c r="H67">
        <v>3508.8</v>
      </c>
      <c r="I67">
        <v>4811</v>
      </c>
      <c r="J67">
        <v>0</v>
      </c>
      <c r="K67">
        <f>J67+energy_grid_portfolio_dataset!G67</f>
        <v>0.5</v>
      </c>
      <c r="L67">
        <f>HOUR(energy_timestamp[[#This Row],[timestamp]])</f>
        <v>17</v>
      </c>
    </row>
    <row r="68" spans="1:12" x14ac:dyDescent="0.3">
      <c r="A68" s="12" t="s">
        <v>109</v>
      </c>
      <c r="B68" s="12" t="s">
        <v>10</v>
      </c>
      <c r="C68">
        <v>26.1</v>
      </c>
      <c r="D68">
        <v>57.6</v>
      </c>
      <c r="E68">
        <v>1.1000000000000001</v>
      </c>
      <c r="F68">
        <v>398.2</v>
      </c>
      <c r="G68">
        <v>0.1</v>
      </c>
      <c r="H68">
        <v>4000</v>
      </c>
      <c r="I68">
        <v>7662.1</v>
      </c>
      <c r="J68">
        <v>1</v>
      </c>
      <c r="K68">
        <f>J68+energy_grid_portfolio_dataset!G68</f>
        <v>1.1000000000000001</v>
      </c>
      <c r="L68">
        <f>HOUR(energy_timestamp[[#This Row],[timestamp]])</f>
        <v>18</v>
      </c>
    </row>
    <row r="69" spans="1:12" x14ac:dyDescent="0.3">
      <c r="A69" s="12" t="s">
        <v>110</v>
      </c>
      <c r="B69" s="12" t="s">
        <v>10</v>
      </c>
      <c r="C69">
        <v>26.6</v>
      </c>
      <c r="D69">
        <v>53.8</v>
      </c>
      <c r="E69">
        <v>1.1000000000000001</v>
      </c>
      <c r="F69">
        <v>0</v>
      </c>
      <c r="G69">
        <v>0.1</v>
      </c>
      <c r="H69">
        <v>4000</v>
      </c>
      <c r="I69">
        <v>7634</v>
      </c>
      <c r="J69">
        <v>1</v>
      </c>
      <c r="K69">
        <f>J69+energy_grid_portfolio_dataset!G69</f>
        <v>1.1000000000000001</v>
      </c>
      <c r="L69">
        <f>HOUR(energy_timestamp[[#This Row],[timestamp]])</f>
        <v>19</v>
      </c>
    </row>
    <row r="70" spans="1:12" x14ac:dyDescent="0.3">
      <c r="A70" s="12" t="s">
        <v>111</v>
      </c>
      <c r="B70" s="12" t="s">
        <v>10</v>
      </c>
      <c r="C70">
        <v>25</v>
      </c>
      <c r="D70">
        <v>5.4</v>
      </c>
      <c r="E70">
        <v>4.9000000000000004</v>
      </c>
      <c r="F70">
        <v>0</v>
      </c>
      <c r="G70">
        <v>7.6</v>
      </c>
      <c r="H70">
        <v>4000</v>
      </c>
      <c r="I70">
        <v>7874.5</v>
      </c>
      <c r="J70">
        <v>1</v>
      </c>
      <c r="K70">
        <f>J70+energy_grid_portfolio_dataset!G70</f>
        <v>8.6</v>
      </c>
      <c r="L70">
        <f>HOUR(energy_timestamp[[#This Row],[timestamp]])</f>
        <v>20</v>
      </c>
    </row>
    <row r="71" spans="1:12" x14ac:dyDescent="0.3">
      <c r="A71" s="12" t="s">
        <v>112</v>
      </c>
      <c r="B71" s="12" t="s">
        <v>10</v>
      </c>
      <c r="C71">
        <v>22.9</v>
      </c>
      <c r="D71">
        <v>26.4</v>
      </c>
      <c r="E71">
        <v>3.2</v>
      </c>
      <c r="F71">
        <v>0</v>
      </c>
      <c r="G71">
        <v>2.2000000000000002</v>
      </c>
      <c r="H71">
        <v>4000</v>
      </c>
      <c r="I71">
        <v>7729.9</v>
      </c>
      <c r="J71">
        <v>1</v>
      </c>
      <c r="K71">
        <f>J71+energy_grid_portfolio_dataset!G71</f>
        <v>3.2</v>
      </c>
      <c r="L71">
        <f>HOUR(energy_timestamp[[#This Row],[timestamp]])</f>
        <v>21</v>
      </c>
    </row>
    <row r="72" spans="1:12" x14ac:dyDescent="0.3">
      <c r="A72" s="12" t="s">
        <v>113</v>
      </c>
      <c r="B72" s="12" t="s">
        <v>10</v>
      </c>
      <c r="C72">
        <v>23.8</v>
      </c>
      <c r="D72">
        <v>56.7</v>
      </c>
      <c r="E72">
        <v>1.5</v>
      </c>
      <c r="F72">
        <v>0</v>
      </c>
      <c r="G72">
        <v>0.2</v>
      </c>
      <c r="H72">
        <v>4000</v>
      </c>
      <c r="I72">
        <v>4967</v>
      </c>
      <c r="J72">
        <v>1</v>
      </c>
      <c r="K72">
        <f>J72+energy_grid_portfolio_dataset!G72</f>
        <v>1.2</v>
      </c>
      <c r="L72">
        <f>HOUR(energy_timestamp[[#This Row],[timestamp]])</f>
        <v>22</v>
      </c>
    </row>
    <row r="73" spans="1:12" x14ac:dyDescent="0.3">
      <c r="A73" s="12" t="s">
        <v>114</v>
      </c>
      <c r="B73" s="12" t="s">
        <v>10</v>
      </c>
      <c r="C73">
        <v>19.3</v>
      </c>
      <c r="D73">
        <v>22</v>
      </c>
      <c r="E73">
        <v>5.2</v>
      </c>
      <c r="F73">
        <v>0</v>
      </c>
      <c r="G73">
        <v>8.9</v>
      </c>
      <c r="H73">
        <v>4000</v>
      </c>
      <c r="I73">
        <v>5270</v>
      </c>
      <c r="J73">
        <v>1</v>
      </c>
      <c r="K73">
        <f>J73+energy_grid_portfolio_dataset!G73</f>
        <v>9.9</v>
      </c>
      <c r="L73">
        <f>HOUR(energy_timestamp[[#This Row],[timestamp]])</f>
        <v>23</v>
      </c>
    </row>
    <row r="74" spans="1:12" x14ac:dyDescent="0.3">
      <c r="A74" s="12" t="s">
        <v>115</v>
      </c>
      <c r="B74" s="12" t="s">
        <v>10</v>
      </c>
      <c r="C74">
        <v>21.1</v>
      </c>
      <c r="D74">
        <v>20.8</v>
      </c>
      <c r="E74">
        <v>3</v>
      </c>
      <c r="F74">
        <v>0</v>
      </c>
      <c r="G74">
        <v>1.8</v>
      </c>
      <c r="H74">
        <v>4000</v>
      </c>
      <c r="I74">
        <v>4992.1000000000004</v>
      </c>
      <c r="J74">
        <v>1</v>
      </c>
      <c r="K74">
        <f>J74+energy_grid_portfolio_dataset!G74</f>
        <v>2.8</v>
      </c>
      <c r="L74">
        <f>HOUR(energy_timestamp[[#This Row],[timestamp]])</f>
        <v>0</v>
      </c>
    </row>
    <row r="75" spans="1:12" x14ac:dyDescent="0.3">
      <c r="A75" s="12" t="s">
        <v>116</v>
      </c>
      <c r="B75" s="12" t="s">
        <v>10</v>
      </c>
      <c r="C75">
        <v>23.5</v>
      </c>
      <c r="D75">
        <v>32.1</v>
      </c>
      <c r="E75">
        <v>2.6</v>
      </c>
      <c r="F75">
        <v>0</v>
      </c>
      <c r="G75">
        <v>1.1000000000000001</v>
      </c>
      <c r="H75">
        <v>4000</v>
      </c>
      <c r="I75">
        <v>4861.6000000000004</v>
      </c>
      <c r="J75">
        <v>1</v>
      </c>
      <c r="K75">
        <f>J75+energy_grid_portfolio_dataset!G75</f>
        <v>2.1</v>
      </c>
      <c r="L75">
        <f>HOUR(energy_timestamp[[#This Row],[timestamp]])</f>
        <v>1</v>
      </c>
    </row>
    <row r="76" spans="1:12" x14ac:dyDescent="0.3">
      <c r="A76" s="12" t="s">
        <v>117</v>
      </c>
      <c r="B76" s="12" t="s">
        <v>10</v>
      </c>
      <c r="C76">
        <v>23.3</v>
      </c>
      <c r="D76">
        <v>41.3</v>
      </c>
      <c r="E76">
        <v>5.3</v>
      </c>
      <c r="F76">
        <v>0</v>
      </c>
      <c r="G76">
        <v>9.3000000000000007</v>
      </c>
      <c r="H76">
        <v>4000</v>
      </c>
      <c r="I76">
        <v>5084.8999999999996</v>
      </c>
      <c r="J76">
        <v>1</v>
      </c>
      <c r="K76">
        <f>J76+energy_grid_portfolio_dataset!G76</f>
        <v>10.3</v>
      </c>
      <c r="L76">
        <f>HOUR(energy_timestamp[[#This Row],[timestamp]])</f>
        <v>2</v>
      </c>
    </row>
    <row r="77" spans="1:12" x14ac:dyDescent="0.3">
      <c r="A77" s="12" t="s">
        <v>118</v>
      </c>
      <c r="B77" s="12" t="s">
        <v>10</v>
      </c>
      <c r="C77">
        <v>22.9</v>
      </c>
      <c r="D77">
        <v>39.9</v>
      </c>
      <c r="E77">
        <v>5.2</v>
      </c>
      <c r="F77">
        <v>0</v>
      </c>
      <c r="G77">
        <v>9.1</v>
      </c>
      <c r="H77">
        <v>4000</v>
      </c>
      <c r="I77">
        <v>4825.7</v>
      </c>
      <c r="J77">
        <v>1</v>
      </c>
      <c r="K77">
        <f>J77+energy_grid_portfolio_dataset!G77</f>
        <v>10.1</v>
      </c>
      <c r="L77">
        <f>HOUR(energy_timestamp[[#This Row],[timestamp]])</f>
        <v>3</v>
      </c>
    </row>
    <row r="78" spans="1:12" x14ac:dyDescent="0.3">
      <c r="A78" s="12" t="s">
        <v>119</v>
      </c>
      <c r="B78" s="12" t="s">
        <v>10</v>
      </c>
      <c r="C78">
        <v>25.2</v>
      </c>
      <c r="D78">
        <v>50.6</v>
      </c>
      <c r="E78">
        <v>2.8</v>
      </c>
      <c r="F78">
        <v>0</v>
      </c>
      <c r="G78">
        <v>1.4</v>
      </c>
      <c r="H78">
        <v>4000</v>
      </c>
      <c r="I78">
        <v>4946.8999999999996</v>
      </c>
      <c r="J78">
        <v>1</v>
      </c>
      <c r="K78">
        <f>J78+energy_grid_portfolio_dataset!G78</f>
        <v>2.4</v>
      </c>
      <c r="L78">
        <f>HOUR(energy_timestamp[[#This Row],[timestamp]])</f>
        <v>4</v>
      </c>
    </row>
    <row r="79" spans="1:12" x14ac:dyDescent="0.3">
      <c r="A79" s="12" t="s">
        <v>120</v>
      </c>
      <c r="B79" s="12" t="s">
        <v>10</v>
      </c>
      <c r="C79">
        <v>26.1</v>
      </c>
      <c r="D79">
        <v>20.6</v>
      </c>
      <c r="E79">
        <v>6.2</v>
      </c>
      <c r="F79">
        <v>0</v>
      </c>
      <c r="G79">
        <v>15.2</v>
      </c>
      <c r="H79">
        <v>4000</v>
      </c>
      <c r="I79">
        <v>5032.1000000000004</v>
      </c>
      <c r="J79">
        <v>1</v>
      </c>
      <c r="K79">
        <f>J79+energy_grid_portfolio_dataset!G79</f>
        <v>16.2</v>
      </c>
      <c r="L79">
        <f>HOUR(energy_timestamp[[#This Row],[timestamp]])</f>
        <v>5</v>
      </c>
    </row>
    <row r="80" spans="1:12" x14ac:dyDescent="0.3">
      <c r="A80" s="12" t="s">
        <v>121</v>
      </c>
      <c r="B80" s="12" t="s">
        <v>10</v>
      </c>
      <c r="C80">
        <v>29.2</v>
      </c>
      <c r="D80">
        <v>51.1</v>
      </c>
      <c r="E80">
        <v>4</v>
      </c>
      <c r="F80">
        <v>428.7</v>
      </c>
      <c r="G80">
        <v>4.2</v>
      </c>
      <c r="H80">
        <v>4000</v>
      </c>
      <c r="I80">
        <v>5073.8</v>
      </c>
      <c r="J80">
        <v>1</v>
      </c>
      <c r="K80">
        <f>J80+energy_grid_portfolio_dataset!G80</f>
        <v>5.2</v>
      </c>
      <c r="L80">
        <f>HOUR(energy_timestamp[[#This Row],[timestamp]])</f>
        <v>6</v>
      </c>
    </row>
    <row r="81" spans="1:12" x14ac:dyDescent="0.3">
      <c r="A81" s="12" t="s">
        <v>122</v>
      </c>
      <c r="B81" s="12" t="s">
        <v>10</v>
      </c>
      <c r="C81">
        <v>29.1</v>
      </c>
      <c r="D81">
        <v>31.5</v>
      </c>
      <c r="E81">
        <v>3.7</v>
      </c>
      <c r="F81">
        <v>1014.8</v>
      </c>
      <c r="G81">
        <v>3.3</v>
      </c>
      <c r="H81">
        <v>4000</v>
      </c>
      <c r="I81">
        <v>5052.3</v>
      </c>
      <c r="J81">
        <v>1</v>
      </c>
      <c r="K81">
        <f>J81+energy_grid_portfolio_dataset!G81</f>
        <v>4.3</v>
      </c>
      <c r="L81">
        <f>HOUR(energy_timestamp[[#This Row],[timestamp]])</f>
        <v>7</v>
      </c>
    </row>
    <row r="82" spans="1:12" x14ac:dyDescent="0.3">
      <c r="A82" s="12" t="s">
        <v>123</v>
      </c>
      <c r="B82" s="12" t="s">
        <v>10</v>
      </c>
      <c r="C82">
        <v>31.9</v>
      </c>
      <c r="D82">
        <v>8.6</v>
      </c>
      <c r="E82">
        <v>8.1999999999999993</v>
      </c>
      <c r="F82">
        <v>1757.4</v>
      </c>
      <c r="G82">
        <v>35.1</v>
      </c>
      <c r="H82">
        <v>3172</v>
      </c>
      <c r="I82">
        <v>4964.5</v>
      </c>
      <c r="J82">
        <v>0</v>
      </c>
      <c r="K82">
        <f>J82+energy_grid_portfolio_dataset!G82</f>
        <v>35.1</v>
      </c>
      <c r="L82">
        <f>HOUR(energy_timestamp[[#This Row],[timestamp]])</f>
        <v>8</v>
      </c>
    </row>
    <row r="83" spans="1:12" x14ac:dyDescent="0.3">
      <c r="A83" s="12" t="s">
        <v>124</v>
      </c>
      <c r="B83" s="12" t="s">
        <v>10</v>
      </c>
      <c r="C83">
        <v>30.4</v>
      </c>
      <c r="D83">
        <v>48.2</v>
      </c>
      <c r="E83">
        <v>5.6</v>
      </c>
      <c r="F83">
        <v>1554.7</v>
      </c>
      <c r="G83">
        <v>11.1</v>
      </c>
      <c r="H83">
        <v>3233.3</v>
      </c>
      <c r="I83">
        <v>4799.1000000000004</v>
      </c>
      <c r="J83">
        <v>0</v>
      </c>
      <c r="K83">
        <f>J83+energy_grid_portfolio_dataset!G83</f>
        <v>11.1</v>
      </c>
      <c r="L83">
        <f>HOUR(energy_timestamp[[#This Row],[timestamp]])</f>
        <v>9</v>
      </c>
    </row>
    <row r="84" spans="1:12" x14ac:dyDescent="0.3">
      <c r="A84" s="12" t="s">
        <v>125</v>
      </c>
      <c r="B84" s="12" t="s">
        <v>10</v>
      </c>
      <c r="C84">
        <v>34.1</v>
      </c>
      <c r="D84">
        <v>24.8</v>
      </c>
      <c r="E84">
        <v>2.2000000000000002</v>
      </c>
      <c r="F84">
        <v>2234.5</v>
      </c>
      <c r="G84">
        <v>0.7</v>
      </c>
      <c r="H84">
        <v>4000</v>
      </c>
      <c r="I84">
        <v>7243.6</v>
      </c>
      <c r="J84">
        <v>1</v>
      </c>
      <c r="K84">
        <f>J84+energy_grid_portfolio_dataset!G84</f>
        <v>1.7</v>
      </c>
      <c r="L84">
        <f>HOUR(energy_timestamp[[#This Row],[timestamp]])</f>
        <v>10</v>
      </c>
    </row>
    <row r="85" spans="1:12" x14ac:dyDescent="0.3">
      <c r="A85" s="12" t="s">
        <v>126</v>
      </c>
      <c r="B85" s="12" t="s">
        <v>10</v>
      </c>
      <c r="C85">
        <v>32.799999999999997</v>
      </c>
      <c r="D85">
        <v>44.5</v>
      </c>
      <c r="E85">
        <v>3.7</v>
      </c>
      <c r="F85">
        <v>2013.7</v>
      </c>
      <c r="G85">
        <v>3.3</v>
      </c>
      <c r="H85">
        <v>4000</v>
      </c>
      <c r="I85">
        <v>7161.4</v>
      </c>
      <c r="J85">
        <v>1</v>
      </c>
      <c r="K85">
        <f>J85+energy_grid_portfolio_dataset!G85</f>
        <v>4.3</v>
      </c>
      <c r="L85">
        <f>HOUR(energy_timestamp[[#This Row],[timestamp]])</f>
        <v>11</v>
      </c>
    </row>
    <row r="86" spans="1:12" x14ac:dyDescent="0.3">
      <c r="A86" s="12" t="s">
        <v>127</v>
      </c>
      <c r="B86" s="12" t="s">
        <v>10</v>
      </c>
      <c r="C86">
        <v>33.5</v>
      </c>
      <c r="D86">
        <v>33.299999999999997</v>
      </c>
      <c r="E86">
        <v>2.9</v>
      </c>
      <c r="F86">
        <v>2301.6</v>
      </c>
      <c r="G86">
        <v>1.5</v>
      </c>
      <c r="H86">
        <v>4000</v>
      </c>
      <c r="I86">
        <v>7026.2</v>
      </c>
      <c r="J86">
        <v>1</v>
      </c>
      <c r="K86">
        <f>J86+energy_grid_portfolio_dataset!G86</f>
        <v>2.5</v>
      </c>
      <c r="L86">
        <f>HOUR(energy_timestamp[[#This Row],[timestamp]])</f>
        <v>12</v>
      </c>
    </row>
    <row r="87" spans="1:12" x14ac:dyDescent="0.3">
      <c r="A87" s="12" t="s">
        <v>128</v>
      </c>
      <c r="B87" s="12" t="s">
        <v>10</v>
      </c>
      <c r="C87">
        <v>34.200000000000003</v>
      </c>
      <c r="D87">
        <v>29.9</v>
      </c>
      <c r="E87">
        <v>3</v>
      </c>
      <c r="F87">
        <v>2312.6</v>
      </c>
      <c r="G87">
        <v>1.7</v>
      </c>
      <c r="H87">
        <v>4000</v>
      </c>
      <c r="I87">
        <v>7026.7</v>
      </c>
      <c r="J87">
        <v>1</v>
      </c>
      <c r="K87">
        <f>J87+energy_grid_portfolio_dataset!G87</f>
        <v>2.7</v>
      </c>
      <c r="L87">
        <f>HOUR(energy_timestamp[[#This Row],[timestamp]])</f>
        <v>13</v>
      </c>
    </row>
    <row r="88" spans="1:12" x14ac:dyDescent="0.3">
      <c r="A88" s="12" t="s">
        <v>129</v>
      </c>
      <c r="B88" s="12" t="s">
        <v>10</v>
      </c>
      <c r="C88">
        <v>33.5</v>
      </c>
      <c r="D88">
        <v>0</v>
      </c>
      <c r="E88">
        <v>1.2</v>
      </c>
      <c r="F88">
        <v>2702.9</v>
      </c>
      <c r="G88">
        <v>0.1</v>
      </c>
      <c r="H88">
        <v>4000</v>
      </c>
      <c r="I88">
        <v>7079.3</v>
      </c>
      <c r="J88">
        <v>1</v>
      </c>
      <c r="K88">
        <f>J88+energy_grid_portfolio_dataset!G88</f>
        <v>1.1000000000000001</v>
      </c>
      <c r="L88">
        <f>HOUR(energy_timestamp[[#This Row],[timestamp]])</f>
        <v>14</v>
      </c>
    </row>
    <row r="89" spans="1:12" x14ac:dyDescent="0.3">
      <c r="A89" s="12" t="s">
        <v>130</v>
      </c>
      <c r="B89" s="12" t="s">
        <v>10</v>
      </c>
      <c r="C89">
        <v>31.9</v>
      </c>
      <c r="D89">
        <v>31.2</v>
      </c>
      <c r="E89">
        <v>7</v>
      </c>
      <c r="F89">
        <v>1832.9</v>
      </c>
      <c r="G89">
        <v>21.5</v>
      </c>
      <c r="H89">
        <v>2987.8</v>
      </c>
      <c r="I89">
        <v>4842.2</v>
      </c>
      <c r="J89">
        <v>0</v>
      </c>
      <c r="K89">
        <f>J89+energy_grid_portfolio_dataset!G89</f>
        <v>21.5</v>
      </c>
      <c r="L89">
        <f>HOUR(energy_timestamp[[#This Row],[timestamp]])</f>
        <v>15</v>
      </c>
    </row>
    <row r="90" spans="1:12" x14ac:dyDescent="0.3">
      <c r="A90" s="12" t="s">
        <v>131</v>
      </c>
      <c r="B90" s="12" t="s">
        <v>10</v>
      </c>
      <c r="C90">
        <v>30.8</v>
      </c>
      <c r="D90">
        <v>24.6</v>
      </c>
      <c r="E90">
        <v>2</v>
      </c>
      <c r="F90">
        <v>1548.1</v>
      </c>
      <c r="G90">
        <v>0.5</v>
      </c>
      <c r="H90">
        <v>3530</v>
      </c>
      <c r="I90">
        <v>5078.6000000000004</v>
      </c>
      <c r="J90">
        <v>0</v>
      </c>
      <c r="K90">
        <f>J90+energy_grid_portfolio_dataset!G90</f>
        <v>0.5</v>
      </c>
      <c r="L90">
        <f>HOUR(energy_timestamp[[#This Row],[timestamp]])</f>
        <v>16</v>
      </c>
    </row>
    <row r="91" spans="1:12" x14ac:dyDescent="0.3">
      <c r="A91" s="12" t="s">
        <v>132</v>
      </c>
      <c r="B91" s="12" t="s">
        <v>10</v>
      </c>
      <c r="C91">
        <v>29.1</v>
      </c>
      <c r="D91">
        <v>31.5</v>
      </c>
      <c r="E91">
        <v>2.2999999999999998</v>
      </c>
      <c r="F91">
        <v>1015.1</v>
      </c>
      <c r="G91">
        <v>0.8</v>
      </c>
      <c r="H91">
        <v>3931.3</v>
      </c>
      <c r="I91">
        <v>4947.2</v>
      </c>
      <c r="J91">
        <v>0</v>
      </c>
      <c r="K91">
        <f>J91+energy_grid_portfolio_dataset!G91</f>
        <v>0.8</v>
      </c>
      <c r="L91">
        <f>HOUR(energy_timestamp[[#This Row],[timestamp]])</f>
        <v>17</v>
      </c>
    </row>
    <row r="92" spans="1:12" x14ac:dyDescent="0.3">
      <c r="A92" s="12" t="s">
        <v>133</v>
      </c>
      <c r="B92" s="12" t="s">
        <v>10</v>
      </c>
      <c r="C92">
        <v>30.3</v>
      </c>
      <c r="D92">
        <v>22.8</v>
      </c>
      <c r="E92">
        <v>4.8</v>
      </c>
      <c r="F92">
        <v>560.9</v>
      </c>
      <c r="G92">
        <v>7.1</v>
      </c>
      <c r="H92">
        <v>4000</v>
      </c>
      <c r="I92">
        <v>7777.9</v>
      </c>
      <c r="J92">
        <v>1</v>
      </c>
      <c r="K92">
        <f>J92+energy_grid_portfolio_dataset!G92</f>
        <v>8.1</v>
      </c>
      <c r="L92">
        <f>HOUR(energy_timestamp[[#This Row],[timestamp]])</f>
        <v>18</v>
      </c>
    </row>
    <row r="93" spans="1:12" x14ac:dyDescent="0.3">
      <c r="A93" s="12" t="s">
        <v>134</v>
      </c>
      <c r="B93" s="12" t="s">
        <v>10</v>
      </c>
      <c r="C93">
        <v>25.8</v>
      </c>
      <c r="D93">
        <v>29.5</v>
      </c>
      <c r="E93">
        <v>4</v>
      </c>
      <c r="F93">
        <v>0</v>
      </c>
      <c r="G93">
        <v>4.2</v>
      </c>
      <c r="H93">
        <v>4000</v>
      </c>
      <c r="I93">
        <v>7803.5</v>
      </c>
      <c r="J93">
        <v>1</v>
      </c>
      <c r="K93">
        <f>J93+energy_grid_portfolio_dataset!G93</f>
        <v>5.2</v>
      </c>
      <c r="L93">
        <f>HOUR(energy_timestamp[[#This Row],[timestamp]])</f>
        <v>19</v>
      </c>
    </row>
    <row r="94" spans="1:12" x14ac:dyDescent="0.3">
      <c r="A94" s="12" t="s">
        <v>135</v>
      </c>
      <c r="B94" s="12" t="s">
        <v>10</v>
      </c>
      <c r="C94">
        <v>23.8</v>
      </c>
      <c r="D94">
        <v>25.5</v>
      </c>
      <c r="E94">
        <v>5</v>
      </c>
      <c r="F94">
        <v>0</v>
      </c>
      <c r="G94">
        <v>8</v>
      </c>
      <c r="H94">
        <v>4000</v>
      </c>
      <c r="I94">
        <v>7714.7</v>
      </c>
      <c r="J94">
        <v>1</v>
      </c>
      <c r="K94">
        <f>J94+energy_grid_portfolio_dataset!G94</f>
        <v>9</v>
      </c>
      <c r="L94">
        <f>HOUR(energy_timestamp[[#This Row],[timestamp]])</f>
        <v>20</v>
      </c>
    </row>
    <row r="95" spans="1:12" x14ac:dyDescent="0.3">
      <c r="A95" s="12" t="s">
        <v>136</v>
      </c>
      <c r="B95" s="12" t="s">
        <v>10</v>
      </c>
      <c r="C95">
        <v>25.2</v>
      </c>
      <c r="D95">
        <v>68.099999999999994</v>
      </c>
      <c r="E95">
        <v>2.5</v>
      </c>
      <c r="F95">
        <v>0</v>
      </c>
      <c r="G95">
        <v>1</v>
      </c>
      <c r="H95">
        <v>4000</v>
      </c>
      <c r="I95">
        <v>7917.7</v>
      </c>
      <c r="J95">
        <v>1</v>
      </c>
      <c r="K95">
        <f>J95+energy_grid_portfolio_dataset!G95</f>
        <v>2</v>
      </c>
      <c r="L95">
        <f>HOUR(energy_timestamp[[#This Row],[timestamp]])</f>
        <v>21</v>
      </c>
    </row>
    <row r="96" spans="1:12" x14ac:dyDescent="0.3">
      <c r="A96" s="12" t="s">
        <v>137</v>
      </c>
      <c r="B96" s="12" t="s">
        <v>10</v>
      </c>
      <c r="C96">
        <v>23.1</v>
      </c>
      <c r="D96">
        <v>68.8</v>
      </c>
      <c r="E96">
        <v>2.4</v>
      </c>
      <c r="F96">
        <v>0</v>
      </c>
      <c r="G96">
        <v>0.9</v>
      </c>
      <c r="H96">
        <v>4000</v>
      </c>
      <c r="I96">
        <v>5080.8</v>
      </c>
      <c r="J96">
        <v>1</v>
      </c>
      <c r="K96">
        <f>J96+energy_grid_portfolio_dataset!G96</f>
        <v>1.9</v>
      </c>
      <c r="L96">
        <f>HOUR(energy_timestamp[[#This Row],[timestamp]])</f>
        <v>22</v>
      </c>
    </row>
    <row r="97" spans="1:12" x14ac:dyDescent="0.3">
      <c r="A97" s="12" t="s">
        <v>138</v>
      </c>
      <c r="B97" s="12" t="s">
        <v>10</v>
      </c>
      <c r="C97">
        <v>21.3</v>
      </c>
      <c r="D97">
        <v>0</v>
      </c>
      <c r="E97">
        <v>2.9</v>
      </c>
      <c r="F97">
        <v>0</v>
      </c>
      <c r="G97">
        <v>1.6</v>
      </c>
      <c r="H97">
        <v>4000</v>
      </c>
      <c r="I97">
        <v>4824</v>
      </c>
      <c r="J97">
        <v>1</v>
      </c>
      <c r="K97">
        <f>J97+energy_grid_portfolio_dataset!G97</f>
        <v>2.6</v>
      </c>
      <c r="L97">
        <f>HOUR(energy_timestamp[[#This Row],[timestamp]])</f>
        <v>23</v>
      </c>
    </row>
    <row r="98" spans="1:12" x14ac:dyDescent="0.3">
      <c r="A98" s="12" t="s">
        <v>139</v>
      </c>
      <c r="B98" s="12" t="s">
        <v>10</v>
      </c>
      <c r="C98">
        <v>22.2</v>
      </c>
      <c r="D98">
        <v>31.8</v>
      </c>
      <c r="E98">
        <v>7.8</v>
      </c>
      <c r="F98">
        <v>0</v>
      </c>
      <c r="G98">
        <v>29.8</v>
      </c>
      <c r="H98">
        <v>4000</v>
      </c>
      <c r="I98">
        <v>4206.1000000000004</v>
      </c>
      <c r="J98">
        <v>1</v>
      </c>
      <c r="K98">
        <f>J98+energy_grid_portfolio_dataset!G98</f>
        <v>30.8</v>
      </c>
      <c r="L98">
        <f>HOUR(energy_timestamp[[#This Row],[timestamp]])</f>
        <v>0</v>
      </c>
    </row>
    <row r="99" spans="1:12" x14ac:dyDescent="0.3">
      <c r="A99" s="12" t="s">
        <v>140</v>
      </c>
      <c r="B99" s="12" t="s">
        <v>10</v>
      </c>
      <c r="C99">
        <v>21.3</v>
      </c>
      <c r="D99">
        <v>7</v>
      </c>
      <c r="E99">
        <v>5</v>
      </c>
      <c r="F99">
        <v>0</v>
      </c>
      <c r="G99">
        <v>7.9</v>
      </c>
      <c r="H99">
        <v>4000</v>
      </c>
      <c r="I99">
        <v>4462.6000000000004</v>
      </c>
      <c r="J99">
        <v>1</v>
      </c>
      <c r="K99">
        <f>J99+energy_grid_portfolio_dataset!G99</f>
        <v>8.9</v>
      </c>
      <c r="L99">
        <f>HOUR(energy_timestamp[[#This Row],[timestamp]])</f>
        <v>1</v>
      </c>
    </row>
    <row r="100" spans="1:12" x14ac:dyDescent="0.3">
      <c r="A100" s="12" t="s">
        <v>141</v>
      </c>
      <c r="B100" s="12" t="s">
        <v>10</v>
      </c>
      <c r="C100">
        <v>25.6</v>
      </c>
      <c r="D100">
        <v>48.6</v>
      </c>
      <c r="E100">
        <v>3.1</v>
      </c>
      <c r="F100">
        <v>0</v>
      </c>
      <c r="G100">
        <v>1.8</v>
      </c>
      <c r="H100">
        <v>4000</v>
      </c>
      <c r="I100">
        <v>4122</v>
      </c>
      <c r="J100">
        <v>1</v>
      </c>
      <c r="K100">
        <f>J100+energy_grid_portfolio_dataset!G100</f>
        <v>2.8</v>
      </c>
      <c r="L100">
        <f>HOUR(energy_timestamp[[#This Row],[timestamp]])</f>
        <v>2</v>
      </c>
    </row>
    <row r="101" spans="1:12" x14ac:dyDescent="0.3">
      <c r="A101" s="12" t="s">
        <v>142</v>
      </c>
      <c r="B101" s="12" t="s">
        <v>10</v>
      </c>
      <c r="C101">
        <v>25.8</v>
      </c>
      <c r="D101">
        <v>22.7</v>
      </c>
      <c r="E101">
        <v>6.5</v>
      </c>
      <c r="F101">
        <v>0</v>
      </c>
      <c r="G101">
        <v>17.399999999999999</v>
      </c>
      <c r="H101">
        <v>4000</v>
      </c>
      <c r="I101">
        <v>4063</v>
      </c>
      <c r="J101">
        <v>1</v>
      </c>
      <c r="K101">
        <f>J101+energy_grid_portfolio_dataset!G101</f>
        <v>18.399999999999999</v>
      </c>
      <c r="L101">
        <f>HOUR(energy_timestamp[[#This Row],[timestamp]])</f>
        <v>3</v>
      </c>
    </row>
    <row r="102" spans="1:12" x14ac:dyDescent="0.3">
      <c r="A102" s="12" t="s">
        <v>143</v>
      </c>
      <c r="B102" s="12" t="s">
        <v>10</v>
      </c>
      <c r="C102">
        <v>24.1</v>
      </c>
      <c r="D102">
        <v>25.1</v>
      </c>
      <c r="E102">
        <v>4.0999999999999996</v>
      </c>
      <c r="F102">
        <v>0</v>
      </c>
      <c r="G102">
        <v>4.4000000000000004</v>
      </c>
      <c r="H102">
        <v>4000</v>
      </c>
      <c r="I102">
        <v>4080.8</v>
      </c>
      <c r="J102">
        <v>1</v>
      </c>
      <c r="K102">
        <f>J102+energy_grid_portfolio_dataset!G102</f>
        <v>5.4</v>
      </c>
      <c r="L102">
        <f>HOUR(energy_timestamp[[#This Row],[timestamp]])</f>
        <v>4</v>
      </c>
    </row>
    <row r="103" spans="1:12" x14ac:dyDescent="0.3">
      <c r="A103" s="12" t="s">
        <v>144</v>
      </c>
      <c r="B103" s="12" t="s">
        <v>10</v>
      </c>
      <c r="C103">
        <v>27.4</v>
      </c>
      <c r="D103">
        <v>3.6</v>
      </c>
      <c r="E103">
        <v>3.7</v>
      </c>
      <c r="F103">
        <v>0</v>
      </c>
      <c r="G103">
        <v>3.3</v>
      </c>
      <c r="H103">
        <v>4000</v>
      </c>
      <c r="I103">
        <v>4252.5</v>
      </c>
      <c r="J103">
        <v>1</v>
      </c>
      <c r="K103">
        <f>J103+energy_grid_portfolio_dataset!G103</f>
        <v>4.3</v>
      </c>
      <c r="L103">
        <f>HOUR(energy_timestamp[[#This Row],[timestamp]])</f>
        <v>5</v>
      </c>
    </row>
    <row r="104" spans="1:12" x14ac:dyDescent="0.3">
      <c r="A104" s="12" t="s">
        <v>145</v>
      </c>
      <c r="B104" s="12" t="s">
        <v>10</v>
      </c>
      <c r="C104">
        <v>28.8</v>
      </c>
      <c r="D104">
        <v>39.200000000000003</v>
      </c>
      <c r="E104">
        <v>1.8</v>
      </c>
      <c r="F104">
        <v>484.2</v>
      </c>
      <c r="G104">
        <v>0.3</v>
      </c>
      <c r="H104">
        <v>3853.5</v>
      </c>
      <c r="I104">
        <v>4338</v>
      </c>
      <c r="J104">
        <v>0</v>
      </c>
      <c r="K104">
        <f>J104+energy_grid_portfolio_dataset!G104</f>
        <v>0.3</v>
      </c>
      <c r="L104">
        <f>HOUR(energy_timestamp[[#This Row],[timestamp]])</f>
        <v>6</v>
      </c>
    </row>
    <row r="105" spans="1:12" x14ac:dyDescent="0.3">
      <c r="A105" s="12" t="s">
        <v>146</v>
      </c>
      <c r="B105" s="12" t="s">
        <v>10</v>
      </c>
      <c r="C105">
        <v>31.5</v>
      </c>
      <c r="D105">
        <v>31.6</v>
      </c>
      <c r="E105">
        <v>2.5</v>
      </c>
      <c r="F105">
        <v>1013.3</v>
      </c>
      <c r="G105">
        <v>1</v>
      </c>
      <c r="H105">
        <v>3075.6</v>
      </c>
      <c r="I105">
        <v>4089.9</v>
      </c>
      <c r="J105">
        <v>0</v>
      </c>
      <c r="K105">
        <f>J105+energy_grid_portfolio_dataset!G105</f>
        <v>1</v>
      </c>
      <c r="L105">
        <f>HOUR(energy_timestamp[[#This Row],[timestamp]])</f>
        <v>7</v>
      </c>
    </row>
    <row r="106" spans="1:12" x14ac:dyDescent="0.3">
      <c r="A106" s="12" t="s">
        <v>147</v>
      </c>
      <c r="B106" s="12" t="s">
        <v>10</v>
      </c>
      <c r="C106">
        <v>31.2</v>
      </c>
      <c r="D106">
        <v>48.6</v>
      </c>
      <c r="E106">
        <v>4.0999999999999996</v>
      </c>
      <c r="F106">
        <v>1234.3</v>
      </c>
      <c r="G106">
        <v>4.5</v>
      </c>
      <c r="H106">
        <v>3313.9</v>
      </c>
      <c r="I106">
        <v>4552.7</v>
      </c>
      <c r="J106">
        <v>0</v>
      </c>
      <c r="K106">
        <f>J106+energy_grid_portfolio_dataset!G106</f>
        <v>4.5</v>
      </c>
      <c r="L106">
        <f>HOUR(energy_timestamp[[#This Row],[timestamp]])</f>
        <v>8</v>
      </c>
    </row>
    <row r="107" spans="1:12" x14ac:dyDescent="0.3">
      <c r="A107" s="12" t="s">
        <v>148</v>
      </c>
      <c r="B107" s="12" t="s">
        <v>10</v>
      </c>
      <c r="C107">
        <v>34.9</v>
      </c>
      <c r="D107">
        <v>20</v>
      </c>
      <c r="E107">
        <v>5.9</v>
      </c>
      <c r="F107">
        <v>2016.8</v>
      </c>
      <c r="G107">
        <v>13.4</v>
      </c>
      <c r="H107">
        <v>2598.9</v>
      </c>
      <c r="I107">
        <v>4629.1000000000004</v>
      </c>
      <c r="J107">
        <v>0</v>
      </c>
      <c r="K107">
        <f>J107+energy_grid_portfolio_dataset!G107</f>
        <v>13.4</v>
      </c>
      <c r="L107">
        <f>HOUR(energy_timestamp[[#This Row],[timestamp]])</f>
        <v>9</v>
      </c>
    </row>
    <row r="108" spans="1:12" x14ac:dyDescent="0.3">
      <c r="A108" s="12" t="s">
        <v>149</v>
      </c>
      <c r="B108" s="12" t="s">
        <v>10</v>
      </c>
      <c r="C108">
        <v>35.200000000000003</v>
      </c>
      <c r="D108">
        <v>5.7</v>
      </c>
      <c r="E108">
        <v>5.4</v>
      </c>
      <c r="F108">
        <v>2595</v>
      </c>
      <c r="G108">
        <v>9.9</v>
      </c>
      <c r="H108">
        <v>3731.9</v>
      </c>
      <c r="I108">
        <v>6336.8</v>
      </c>
      <c r="J108">
        <v>0</v>
      </c>
      <c r="K108">
        <f>J108+energy_grid_portfolio_dataset!G108</f>
        <v>9.9</v>
      </c>
      <c r="L108">
        <f>HOUR(energy_timestamp[[#This Row],[timestamp]])</f>
        <v>10</v>
      </c>
    </row>
    <row r="109" spans="1:12" x14ac:dyDescent="0.3">
      <c r="A109" s="12" t="s">
        <v>150</v>
      </c>
      <c r="B109" s="12" t="s">
        <v>10</v>
      </c>
      <c r="C109">
        <v>31.2</v>
      </c>
      <c r="D109">
        <v>1.3</v>
      </c>
      <c r="E109">
        <v>0</v>
      </c>
      <c r="F109">
        <v>2897.5</v>
      </c>
      <c r="G109">
        <v>0</v>
      </c>
      <c r="H109">
        <v>3501.3</v>
      </c>
      <c r="I109">
        <v>6398.8</v>
      </c>
      <c r="J109">
        <v>0</v>
      </c>
      <c r="K109">
        <f>J109+energy_grid_portfolio_dataset!G109</f>
        <v>0</v>
      </c>
      <c r="L109">
        <f>HOUR(energy_timestamp[[#This Row],[timestamp]])</f>
        <v>11</v>
      </c>
    </row>
    <row r="110" spans="1:12" x14ac:dyDescent="0.3">
      <c r="A110" s="12" t="s">
        <v>151</v>
      </c>
      <c r="B110" s="12" t="s">
        <v>10</v>
      </c>
      <c r="C110">
        <v>35.1</v>
      </c>
      <c r="D110">
        <v>55</v>
      </c>
      <c r="E110">
        <v>4.0999999999999996</v>
      </c>
      <c r="F110">
        <v>1844</v>
      </c>
      <c r="G110">
        <v>4.5999999999999996</v>
      </c>
      <c r="H110">
        <v>4000</v>
      </c>
      <c r="I110">
        <v>6199.6</v>
      </c>
      <c r="J110">
        <v>1</v>
      </c>
      <c r="K110">
        <f>J110+energy_grid_portfolio_dataset!G110</f>
        <v>5.6</v>
      </c>
      <c r="L110">
        <f>HOUR(energy_timestamp[[#This Row],[timestamp]])</f>
        <v>12</v>
      </c>
    </row>
    <row r="111" spans="1:12" x14ac:dyDescent="0.3">
      <c r="A111" s="12" t="s">
        <v>152</v>
      </c>
      <c r="B111" s="12" t="s">
        <v>10</v>
      </c>
      <c r="C111">
        <v>31.7</v>
      </c>
      <c r="D111">
        <v>0</v>
      </c>
      <c r="E111">
        <v>3.9</v>
      </c>
      <c r="F111">
        <v>2924.8</v>
      </c>
      <c r="G111">
        <v>3.8</v>
      </c>
      <c r="H111">
        <v>3555.7</v>
      </c>
      <c r="I111">
        <v>6484.3</v>
      </c>
      <c r="J111">
        <v>0</v>
      </c>
      <c r="K111">
        <f>J111+energy_grid_portfolio_dataset!G111</f>
        <v>3.8</v>
      </c>
      <c r="L111">
        <f>HOUR(energy_timestamp[[#This Row],[timestamp]])</f>
        <v>13</v>
      </c>
    </row>
    <row r="112" spans="1:12" x14ac:dyDescent="0.3">
      <c r="A112" s="12" t="s">
        <v>153</v>
      </c>
      <c r="B112" s="12" t="s">
        <v>10</v>
      </c>
      <c r="C112">
        <v>33.1</v>
      </c>
      <c r="D112">
        <v>0</v>
      </c>
      <c r="E112">
        <v>3.8</v>
      </c>
      <c r="F112">
        <v>2702.9</v>
      </c>
      <c r="G112">
        <v>3.6</v>
      </c>
      <c r="H112">
        <v>3591.1</v>
      </c>
      <c r="I112">
        <v>6297.6</v>
      </c>
      <c r="J112">
        <v>0</v>
      </c>
      <c r="K112">
        <f>J112+energy_grid_portfolio_dataset!G112</f>
        <v>3.6</v>
      </c>
      <c r="L112">
        <f>HOUR(energy_timestamp[[#This Row],[timestamp]])</f>
        <v>14</v>
      </c>
    </row>
    <row r="113" spans="1:12" x14ac:dyDescent="0.3">
      <c r="A113" s="12" t="s">
        <v>154</v>
      </c>
      <c r="B113" s="12" t="s">
        <v>10</v>
      </c>
      <c r="C113">
        <v>33.200000000000003</v>
      </c>
      <c r="D113">
        <v>32.299999999999997</v>
      </c>
      <c r="E113">
        <v>2.1</v>
      </c>
      <c r="F113">
        <v>1814.7</v>
      </c>
      <c r="G113">
        <v>0.6</v>
      </c>
      <c r="H113">
        <v>2309</v>
      </c>
      <c r="I113">
        <v>4124.3</v>
      </c>
      <c r="J113">
        <v>0</v>
      </c>
      <c r="K113">
        <f>J113+energy_grid_portfolio_dataset!G113</f>
        <v>0.6</v>
      </c>
      <c r="L113">
        <f>HOUR(energy_timestamp[[#This Row],[timestamp]])</f>
        <v>15</v>
      </c>
    </row>
    <row r="114" spans="1:12" x14ac:dyDescent="0.3">
      <c r="A114" s="12" t="s">
        <v>155</v>
      </c>
      <c r="B114" s="12" t="s">
        <v>10</v>
      </c>
      <c r="C114">
        <v>29.4</v>
      </c>
      <c r="D114">
        <v>23.7</v>
      </c>
      <c r="E114">
        <v>5.9</v>
      </c>
      <c r="F114">
        <v>1559.6</v>
      </c>
      <c r="G114">
        <v>13.2</v>
      </c>
      <c r="H114">
        <v>2670.1</v>
      </c>
      <c r="I114">
        <v>4242.8999999999996</v>
      </c>
      <c r="J114">
        <v>0</v>
      </c>
      <c r="K114">
        <f>J114+energy_grid_portfolio_dataset!G114</f>
        <v>13.2</v>
      </c>
      <c r="L114">
        <f>HOUR(energy_timestamp[[#This Row],[timestamp]])</f>
        <v>16</v>
      </c>
    </row>
    <row r="115" spans="1:12" x14ac:dyDescent="0.3">
      <c r="A115" s="12" t="s">
        <v>156</v>
      </c>
      <c r="B115" s="12" t="s">
        <v>10</v>
      </c>
      <c r="C115">
        <v>30.3</v>
      </c>
      <c r="D115">
        <v>14.4</v>
      </c>
      <c r="E115">
        <v>2.4</v>
      </c>
      <c r="F115">
        <v>1170.5</v>
      </c>
      <c r="G115">
        <v>0.9</v>
      </c>
      <c r="H115">
        <v>3000.7</v>
      </c>
      <c r="I115">
        <v>4172.1000000000004</v>
      </c>
      <c r="J115">
        <v>0</v>
      </c>
      <c r="K115">
        <f>J115+energy_grid_portfolio_dataset!G115</f>
        <v>0.9</v>
      </c>
      <c r="L115">
        <f>HOUR(energy_timestamp[[#This Row],[timestamp]])</f>
        <v>17</v>
      </c>
    </row>
    <row r="116" spans="1:12" x14ac:dyDescent="0.3">
      <c r="A116" s="12" t="s">
        <v>157</v>
      </c>
      <c r="B116" s="12" t="s">
        <v>10</v>
      </c>
      <c r="C116">
        <v>26.4</v>
      </c>
      <c r="D116">
        <v>13.9</v>
      </c>
      <c r="E116">
        <v>1.6</v>
      </c>
      <c r="F116">
        <v>602.5</v>
      </c>
      <c r="G116">
        <v>0.3</v>
      </c>
      <c r="H116">
        <v>4000</v>
      </c>
      <c r="I116">
        <v>6703.9</v>
      </c>
      <c r="J116">
        <v>1</v>
      </c>
      <c r="K116">
        <f>J116+energy_grid_portfolio_dataset!G116</f>
        <v>1.3</v>
      </c>
      <c r="L116">
        <f>HOUR(energy_timestamp[[#This Row],[timestamp]])</f>
        <v>18</v>
      </c>
    </row>
    <row r="117" spans="1:12" x14ac:dyDescent="0.3">
      <c r="A117" s="12" t="s">
        <v>158</v>
      </c>
      <c r="B117" s="12" t="s">
        <v>10</v>
      </c>
      <c r="C117">
        <v>26.5</v>
      </c>
      <c r="D117">
        <v>11</v>
      </c>
      <c r="E117">
        <v>4.4000000000000004</v>
      </c>
      <c r="F117">
        <v>0</v>
      </c>
      <c r="G117">
        <v>5.6</v>
      </c>
      <c r="H117">
        <v>4000</v>
      </c>
      <c r="I117">
        <v>7014.7</v>
      </c>
      <c r="J117">
        <v>1</v>
      </c>
      <c r="K117">
        <f>J117+energy_grid_portfolio_dataset!G117</f>
        <v>6.6</v>
      </c>
      <c r="L117">
        <f>HOUR(energy_timestamp[[#This Row],[timestamp]])</f>
        <v>19</v>
      </c>
    </row>
    <row r="118" spans="1:12" x14ac:dyDescent="0.3">
      <c r="A118" s="12" t="s">
        <v>159</v>
      </c>
      <c r="B118" s="12" t="s">
        <v>10</v>
      </c>
      <c r="C118">
        <v>24.7</v>
      </c>
      <c r="D118">
        <v>37.299999999999997</v>
      </c>
      <c r="E118">
        <v>5.5</v>
      </c>
      <c r="F118">
        <v>0</v>
      </c>
      <c r="G118">
        <v>10.7</v>
      </c>
      <c r="H118">
        <v>4000</v>
      </c>
      <c r="I118">
        <v>6703.2</v>
      </c>
      <c r="J118">
        <v>1</v>
      </c>
      <c r="K118">
        <f>J118+energy_grid_portfolio_dataset!G118</f>
        <v>11.7</v>
      </c>
      <c r="L118">
        <f>HOUR(energy_timestamp[[#This Row],[timestamp]])</f>
        <v>20</v>
      </c>
    </row>
    <row r="119" spans="1:12" x14ac:dyDescent="0.3">
      <c r="A119" s="12" t="s">
        <v>160</v>
      </c>
      <c r="B119" s="12" t="s">
        <v>10</v>
      </c>
      <c r="C119">
        <v>22.9</v>
      </c>
      <c r="D119">
        <v>19.5</v>
      </c>
      <c r="E119">
        <v>0</v>
      </c>
      <c r="F119">
        <v>0</v>
      </c>
      <c r="G119">
        <v>0</v>
      </c>
      <c r="H119">
        <v>4000</v>
      </c>
      <c r="I119">
        <v>6640.4</v>
      </c>
      <c r="J119">
        <v>1</v>
      </c>
      <c r="K119">
        <f>J119+energy_grid_portfolio_dataset!G119</f>
        <v>1</v>
      </c>
      <c r="L119">
        <f>HOUR(energy_timestamp[[#This Row],[timestamp]])</f>
        <v>21</v>
      </c>
    </row>
    <row r="120" spans="1:12" x14ac:dyDescent="0.3">
      <c r="A120" s="12" t="s">
        <v>161</v>
      </c>
      <c r="B120" s="12" t="s">
        <v>10</v>
      </c>
      <c r="C120">
        <v>24.9</v>
      </c>
      <c r="D120">
        <v>57.9</v>
      </c>
      <c r="E120">
        <v>3.5</v>
      </c>
      <c r="F120">
        <v>0</v>
      </c>
      <c r="G120">
        <v>2.7</v>
      </c>
      <c r="H120">
        <v>4000</v>
      </c>
      <c r="I120">
        <v>4092.7</v>
      </c>
      <c r="J120">
        <v>1</v>
      </c>
      <c r="K120">
        <f>J120+energy_grid_portfolio_dataset!G120</f>
        <v>3.7</v>
      </c>
      <c r="L120">
        <f>HOUR(energy_timestamp[[#This Row],[timestamp]])</f>
        <v>22</v>
      </c>
    </row>
    <row r="121" spans="1:12" x14ac:dyDescent="0.3">
      <c r="A121" s="12" t="s">
        <v>162</v>
      </c>
      <c r="B121" s="12" t="s">
        <v>10</v>
      </c>
      <c r="C121">
        <v>22.7</v>
      </c>
      <c r="D121">
        <v>86.6</v>
      </c>
      <c r="E121">
        <v>6.2</v>
      </c>
      <c r="F121">
        <v>0</v>
      </c>
      <c r="G121">
        <v>15.5</v>
      </c>
      <c r="H121">
        <v>4000</v>
      </c>
      <c r="I121">
        <v>4406.5</v>
      </c>
      <c r="J121">
        <v>1</v>
      </c>
      <c r="K121">
        <f>J121+energy_grid_portfolio_dataset!G121</f>
        <v>16.5</v>
      </c>
      <c r="L121">
        <f>HOUR(energy_timestamp[[#This Row],[timestamp]])</f>
        <v>23</v>
      </c>
    </row>
    <row r="122" spans="1:12" x14ac:dyDescent="0.3">
      <c r="A122" s="12" t="s">
        <v>163</v>
      </c>
      <c r="B122" s="12" t="s">
        <v>10</v>
      </c>
      <c r="C122">
        <v>20.6</v>
      </c>
      <c r="D122">
        <v>0</v>
      </c>
      <c r="E122">
        <v>4.4000000000000004</v>
      </c>
      <c r="F122">
        <v>0</v>
      </c>
      <c r="G122">
        <v>5.5</v>
      </c>
      <c r="H122">
        <v>4000</v>
      </c>
      <c r="I122">
        <v>4300.8</v>
      </c>
      <c r="J122">
        <v>1</v>
      </c>
      <c r="K122">
        <f>J122+energy_grid_portfolio_dataset!G122</f>
        <v>6.5</v>
      </c>
      <c r="L122">
        <f>HOUR(energy_timestamp[[#This Row],[timestamp]])</f>
        <v>0</v>
      </c>
    </row>
    <row r="123" spans="1:12" x14ac:dyDescent="0.3">
      <c r="A123" s="12" t="s">
        <v>164</v>
      </c>
      <c r="B123" s="12" t="s">
        <v>10</v>
      </c>
      <c r="C123">
        <v>20.100000000000001</v>
      </c>
      <c r="D123">
        <v>12.1</v>
      </c>
      <c r="E123">
        <v>1.8</v>
      </c>
      <c r="F123">
        <v>0</v>
      </c>
      <c r="G123">
        <v>0.4</v>
      </c>
      <c r="H123">
        <v>4000</v>
      </c>
      <c r="I123">
        <v>4206.5</v>
      </c>
      <c r="J123">
        <v>1</v>
      </c>
      <c r="K123">
        <f>J123+energy_grid_portfolio_dataset!G123</f>
        <v>1.4</v>
      </c>
      <c r="L123">
        <f>HOUR(energy_timestamp[[#This Row],[timestamp]])</f>
        <v>1</v>
      </c>
    </row>
    <row r="124" spans="1:12" x14ac:dyDescent="0.3">
      <c r="A124" s="12" t="s">
        <v>165</v>
      </c>
      <c r="B124" s="12" t="s">
        <v>10</v>
      </c>
      <c r="C124">
        <v>24.1</v>
      </c>
      <c r="D124">
        <v>24.8</v>
      </c>
      <c r="E124">
        <v>7</v>
      </c>
      <c r="F124">
        <v>0</v>
      </c>
      <c r="G124">
        <v>21.6</v>
      </c>
      <c r="H124">
        <v>4000</v>
      </c>
      <c r="I124">
        <v>4573.1000000000004</v>
      </c>
      <c r="J124">
        <v>1</v>
      </c>
      <c r="K124">
        <f>J124+energy_grid_portfolio_dataset!G124</f>
        <v>22.6</v>
      </c>
      <c r="L124">
        <f>HOUR(energy_timestamp[[#This Row],[timestamp]])</f>
        <v>2</v>
      </c>
    </row>
    <row r="125" spans="1:12" x14ac:dyDescent="0.3">
      <c r="A125" s="12" t="s">
        <v>166</v>
      </c>
      <c r="B125" s="12" t="s">
        <v>10</v>
      </c>
      <c r="C125">
        <v>22.5</v>
      </c>
      <c r="D125">
        <v>55.5</v>
      </c>
      <c r="E125">
        <v>5.0999999999999996</v>
      </c>
      <c r="F125">
        <v>0</v>
      </c>
      <c r="G125">
        <v>8.4</v>
      </c>
      <c r="H125">
        <v>4000</v>
      </c>
      <c r="I125">
        <v>4331.6000000000004</v>
      </c>
      <c r="J125">
        <v>1</v>
      </c>
      <c r="K125">
        <f>J125+energy_grid_portfolio_dataset!G125</f>
        <v>9.4</v>
      </c>
      <c r="L125">
        <f>HOUR(energy_timestamp[[#This Row],[timestamp]])</f>
        <v>3</v>
      </c>
    </row>
    <row r="126" spans="1:12" x14ac:dyDescent="0.3">
      <c r="A126" s="12" t="s">
        <v>167</v>
      </c>
      <c r="B126" s="12" t="s">
        <v>10</v>
      </c>
      <c r="C126">
        <v>24.7</v>
      </c>
      <c r="D126">
        <v>7.5</v>
      </c>
      <c r="E126">
        <v>1.2</v>
      </c>
      <c r="F126">
        <v>0</v>
      </c>
      <c r="G126">
        <v>0.1</v>
      </c>
      <c r="H126">
        <v>4000</v>
      </c>
      <c r="I126">
        <v>4164.3999999999996</v>
      </c>
      <c r="J126">
        <v>1</v>
      </c>
      <c r="K126">
        <f>J126+energy_grid_portfolio_dataset!G126</f>
        <v>1.1000000000000001</v>
      </c>
      <c r="L126">
        <f>HOUR(energy_timestamp[[#This Row],[timestamp]])</f>
        <v>4</v>
      </c>
    </row>
    <row r="127" spans="1:12" x14ac:dyDescent="0.3">
      <c r="A127" s="12" t="s">
        <v>168</v>
      </c>
      <c r="B127" s="12" t="s">
        <v>10</v>
      </c>
      <c r="C127">
        <v>29.3</v>
      </c>
      <c r="D127">
        <v>0</v>
      </c>
      <c r="E127">
        <v>5.0999999999999996</v>
      </c>
      <c r="F127">
        <v>0</v>
      </c>
      <c r="G127">
        <v>8.6</v>
      </c>
      <c r="H127">
        <v>4000</v>
      </c>
      <c r="I127">
        <v>4458.8999999999996</v>
      </c>
      <c r="J127">
        <v>1</v>
      </c>
      <c r="K127">
        <f>J127+energy_grid_portfolio_dataset!G127</f>
        <v>9.6</v>
      </c>
      <c r="L127">
        <f>HOUR(energy_timestamp[[#This Row],[timestamp]])</f>
        <v>5</v>
      </c>
    </row>
    <row r="128" spans="1:12" x14ac:dyDescent="0.3">
      <c r="A128" s="12" t="s">
        <v>169</v>
      </c>
      <c r="B128" s="12" t="s">
        <v>10</v>
      </c>
      <c r="C128">
        <v>27.3</v>
      </c>
      <c r="D128">
        <v>13.2</v>
      </c>
      <c r="E128">
        <v>2.2999999999999998</v>
      </c>
      <c r="F128">
        <v>606.1</v>
      </c>
      <c r="G128">
        <v>0.8</v>
      </c>
      <c r="H128">
        <v>3615.5</v>
      </c>
      <c r="I128">
        <v>4222.3999999999996</v>
      </c>
      <c r="J128">
        <v>0</v>
      </c>
      <c r="K128">
        <f>J128+energy_grid_portfolio_dataset!G128</f>
        <v>0.8</v>
      </c>
      <c r="L128">
        <f>HOUR(energy_timestamp[[#This Row],[timestamp]])</f>
        <v>6</v>
      </c>
    </row>
    <row r="129" spans="1:12" x14ac:dyDescent="0.3">
      <c r="A129" s="12" t="s">
        <v>170</v>
      </c>
      <c r="B129" s="12" t="s">
        <v>10</v>
      </c>
      <c r="C129">
        <v>28.3</v>
      </c>
      <c r="D129">
        <v>30.4</v>
      </c>
      <c r="E129">
        <v>3.9</v>
      </c>
      <c r="F129">
        <v>1024.5999999999999</v>
      </c>
      <c r="G129">
        <v>3.8</v>
      </c>
      <c r="H129">
        <v>3298.9</v>
      </c>
      <c r="I129">
        <v>4327.3</v>
      </c>
      <c r="J129">
        <v>0</v>
      </c>
      <c r="K129">
        <f>J129+energy_grid_portfolio_dataset!G129</f>
        <v>3.8</v>
      </c>
      <c r="L129">
        <f>HOUR(energy_timestamp[[#This Row],[timestamp]])</f>
        <v>7</v>
      </c>
    </row>
    <row r="130" spans="1:12" x14ac:dyDescent="0.3">
      <c r="A130" s="12" t="s">
        <v>171</v>
      </c>
      <c r="B130" s="12" t="s">
        <v>10</v>
      </c>
      <c r="C130">
        <v>29.6</v>
      </c>
      <c r="D130">
        <v>13.5</v>
      </c>
      <c r="E130">
        <v>5.5</v>
      </c>
      <c r="F130">
        <v>1694.2</v>
      </c>
      <c r="G130">
        <v>10.7</v>
      </c>
      <c r="H130">
        <v>2579.3000000000002</v>
      </c>
      <c r="I130">
        <v>4284.2</v>
      </c>
      <c r="J130">
        <v>0</v>
      </c>
      <c r="K130">
        <f>J130+energy_grid_portfolio_dataset!G130</f>
        <v>10.7</v>
      </c>
      <c r="L130">
        <f>HOUR(energy_timestamp[[#This Row],[timestamp]])</f>
        <v>8</v>
      </c>
    </row>
    <row r="131" spans="1:12" x14ac:dyDescent="0.3">
      <c r="A131" s="12" t="s">
        <v>172</v>
      </c>
      <c r="B131" s="12" t="s">
        <v>10</v>
      </c>
      <c r="C131">
        <v>30.8</v>
      </c>
      <c r="D131">
        <v>27</v>
      </c>
      <c r="E131">
        <v>5.5</v>
      </c>
      <c r="F131">
        <v>1902.4</v>
      </c>
      <c r="G131">
        <v>10.7</v>
      </c>
      <c r="H131">
        <v>2482</v>
      </c>
      <c r="I131">
        <v>4395.1000000000004</v>
      </c>
      <c r="J131">
        <v>0</v>
      </c>
      <c r="K131">
        <f>J131+energy_grid_portfolio_dataset!G131</f>
        <v>10.7</v>
      </c>
      <c r="L131">
        <f>HOUR(energy_timestamp[[#This Row],[timestamp]])</f>
        <v>9</v>
      </c>
    </row>
    <row r="132" spans="1:12" x14ac:dyDescent="0.3">
      <c r="A132" s="12" t="s">
        <v>173</v>
      </c>
      <c r="B132" s="12" t="s">
        <v>10</v>
      </c>
      <c r="C132">
        <v>34</v>
      </c>
      <c r="D132">
        <v>11.7</v>
      </c>
      <c r="E132">
        <v>5.0999999999999996</v>
      </c>
      <c r="F132">
        <v>2480.6</v>
      </c>
      <c r="G132">
        <v>8.6999999999999993</v>
      </c>
      <c r="H132">
        <v>3500.3</v>
      </c>
      <c r="I132">
        <v>5989.6</v>
      </c>
      <c r="J132">
        <v>0</v>
      </c>
      <c r="K132">
        <f>J132+energy_grid_portfolio_dataset!G132</f>
        <v>8.6999999999999993</v>
      </c>
      <c r="L132">
        <f>HOUR(energy_timestamp[[#This Row],[timestamp]])</f>
        <v>10</v>
      </c>
    </row>
    <row r="133" spans="1:12" x14ac:dyDescent="0.3">
      <c r="A133" s="12" t="s">
        <v>174</v>
      </c>
      <c r="B133" s="12" t="s">
        <v>10</v>
      </c>
      <c r="C133">
        <v>31.1</v>
      </c>
      <c r="D133">
        <v>0</v>
      </c>
      <c r="E133">
        <v>4.0999999999999996</v>
      </c>
      <c r="F133">
        <v>2924.8</v>
      </c>
      <c r="G133">
        <v>4.4000000000000004</v>
      </c>
      <c r="H133">
        <v>3196.3</v>
      </c>
      <c r="I133">
        <v>6125.5</v>
      </c>
      <c r="J133">
        <v>0</v>
      </c>
      <c r="K133">
        <f>J133+energy_grid_portfolio_dataset!G133</f>
        <v>4.4000000000000004</v>
      </c>
      <c r="L133">
        <f>HOUR(energy_timestamp[[#This Row],[timestamp]])</f>
        <v>11</v>
      </c>
    </row>
    <row r="134" spans="1:12" x14ac:dyDescent="0.3">
      <c r="A134" s="12" t="s">
        <v>175</v>
      </c>
      <c r="B134" s="12" t="s">
        <v>10</v>
      </c>
      <c r="C134">
        <v>32.6</v>
      </c>
      <c r="D134">
        <v>37.799999999999997</v>
      </c>
      <c r="E134">
        <v>0.7</v>
      </c>
      <c r="F134">
        <v>2206.8000000000002</v>
      </c>
      <c r="G134">
        <v>0</v>
      </c>
      <c r="H134">
        <v>4000</v>
      </c>
      <c r="I134">
        <v>6279</v>
      </c>
      <c r="J134">
        <v>1</v>
      </c>
      <c r="K134">
        <f>J134+energy_grid_portfolio_dataset!G134</f>
        <v>1</v>
      </c>
      <c r="L134">
        <f>HOUR(energy_timestamp[[#This Row],[timestamp]])</f>
        <v>12</v>
      </c>
    </row>
    <row r="135" spans="1:12" x14ac:dyDescent="0.3">
      <c r="A135" s="12" t="s">
        <v>176</v>
      </c>
      <c r="B135" s="12" t="s">
        <v>10</v>
      </c>
      <c r="C135">
        <v>32</v>
      </c>
      <c r="D135">
        <v>12</v>
      </c>
      <c r="E135">
        <v>4.0999999999999996</v>
      </c>
      <c r="F135">
        <v>2679.9</v>
      </c>
      <c r="G135">
        <v>4.4000000000000004</v>
      </c>
      <c r="H135">
        <v>3545.8</v>
      </c>
      <c r="I135">
        <v>6230.1</v>
      </c>
      <c r="J135">
        <v>0</v>
      </c>
      <c r="K135">
        <f>J135+energy_grid_portfolio_dataset!G135</f>
        <v>4.4000000000000004</v>
      </c>
      <c r="L135">
        <f>HOUR(energy_timestamp[[#This Row],[timestamp]])</f>
        <v>13</v>
      </c>
    </row>
    <row r="136" spans="1:12" x14ac:dyDescent="0.3">
      <c r="A136" s="12" t="s">
        <v>177</v>
      </c>
      <c r="B136" s="12" t="s">
        <v>10</v>
      </c>
      <c r="C136">
        <v>32.6</v>
      </c>
      <c r="D136">
        <v>45.1</v>
      </c>
      <c r="E136">
        <v>2.8</v>
      </c>
      <c r="F136">
        <v>1849.1</v>
      </c>
      <c r="G136">
        <v>1.5</v>
      </c>
      <c r="H136">
        <v>4000</v>
      </c>
      <c r="I136">
        <v>6110.9</v>
      </c>
      <c r="J136">
        <v>1</v>
      </c>
      <c r="K136">
        <f>J136+energy_grid_portfolio_dataset!G136</f>
        <v>2.5</v>
      </c>
      <c r="L136">
        <f>HOUR(energy_timestamp[[#This Row],[timestamp]])</f>
        <v>14</v>
      </c>
    </row>
    <row r="137" spans="1:12" x14ac:dyDescent="0.3">
      <c r="A137" s="12" t="s">
        <v>178</v>
      </c>
      <c r="B137" s="12" t="s">
        <v>10</v>
      </c>
      <c r="C137">
        <v>30.5</v>
      </c>
      <c r="D137">
        <v>35.6</v>
      </c>
      <c r="E137">
        <v>6.9</v>
      </c>
      <c r="F137">
        <v>1761.1</v>
      </c>
      <c r="G137">
        <v>20.9</v>
      </c>
      <c r="H137">
        <v>2663.4</v>
      </c>
      <c r="I137">
        <v>4445.3999999999996</v>
      </c>
      <c r="J137">
        <v>0</v>
      </c>
      <c r="K137">
        <f>J137+energy_grid_portfolio_dataset!G137</f>
        <v>20.9</v>
      </c>
      <c r="L137">
        <f>HOUR(energy_timestamp[[#This Row],[timestamp]])</f>
        <v>15</v>
      </c>
    </row>
    <row r="138" spans="1:12" x14ac:dyDescent="0.3">
      <c r="A138" s="12" t="s">
        <v>179</v>
      </c>
      <c r="B138" s="12" t="s">
        <v>10</v>
      </c>
      <c r="C138">
        <v>29.8</v>
      </c>
      <c r="D138">
        <v>36.5</v>
      </c>
      <c r="E138">
        <v>3.6</v>
      </c>
      <c r="F138">
        <v>1392</v>
      </c>
      <c r="G138">
        <v>3</v>
      </c>
      <c r="H138">
        <v>2554.3000000000002</v>
      </c>
      <c r="I138">
        <v>3949.3</v>
      </c>
      <c r="J138">
        <v>0</v>
      </c>
      <c r="K138">
        <f>J138+energy_grid_portfolio_dataset!G138</f>
        <v>3</v>
      </c>
      <c r="L138">
        <f>HOUR(energy_timestamp[[#This Row],[timestamp]])</f>
        <v>16</v>
      </c>
    </row>
    <row r="139" spans="1:12" x14ac:dyDescent="0.3">
      <c r="A139" s="12" t="s">
        <v>180</v>
      </c>
      <c r="B139" s="12" t="s">
        <v>10</v>
      </c>
      <c r="C139">
        <v>28.6</v>
      </c>
      <c r="D139">
        <v>26.7</v>
      </c>
      <c r="E139">
        <v>3.7</v>
      </c>
      <c r="F139">
        <v>1058.0999999999999</v>
      </c>
      <c r="G139">
        <v>3.2</v>
      </c>
      <c r="H139">
        <v>3314.4</v>
      </c>
      <c r="I139">
        <v>4375.7</v>
      </c>
      <c r="J139">
        <v>0</v>
      </c>
      <c r="K139">
        <f>J139+energy_grid_portfolio_dataset!G139</f>
        <v>3.2</v>
      </c>
      <c r="L139">
        <f>HOUR(energy_timestamp[[#This Row],[timestamp]])</f>
        <v>17</v>
      </c>
    </row>
    <row r="140" spans="1:12" x14ac:dyDescent="0.3">
      <c r="A140" s="12" t="s">
        <v>181</v>
      </c>
      <c r="B140" s="12" t="s">
        <v>10</v>
      </c>
      <c r="C140">
        <v>28.4</v>
      </c>
      <c r="D140">
        <v>31.8</v>
      </c>
      <c r="E140">
        <v>3.2</v>
      </c>
      <c r="F140">
        <v>519.20000000000005</v>
      </c>
      <c r="G140">
        <v>2.1</v>
      </c>
      <c r="H140">
        <v>4000</v>
      </c>
      <c r="I140">
        <v>6895.2</v>
      </c>
      <c r="J140">
        <v>1</v>
      </c>
      <c r="K140">
        <f>J140+energy_grid_portfolio_dataset!G140</f>
        <v>3.1</v>
      </c>
      <c r="L140">
        <f>HOUR(energy_timestamp[[#This Row],[timestamp]])</f>
        <v>18</v>
      </c>
    </row>
    <row r="141" spans="1:12" x14ac:dyDescent="0.3">
      <c r="A141" s="12" t="s">
        <v>182</v>
      </c>
      <c r="B141" s="12" t="s">
        <v>10</v>
      </c>
      <c r="C141">
        <v>25.8</v>
      </c>
      <c r="D141">
        <v>32.9</v>
      </c>
      <c r="E141">
        <v>3.2</v>
      </c>
      <c r="F141">
        <v>0</v>
      </c>
      <c r="G141">
        <v>2</v>
      </c>
      <c r="H141">
        <v>4000</v>
      </c>
      <c r="I141">
        <v>6646.9</v>
      </c>
      <c r="J141">
        <v>1</v>
      </c>
      <c r="K141">
        <f>J141+energy_grid_portfolio_dataset!G141</f>
        <v>3</v>
      </c>
      <c r="L141">
        <f>HOUR(energy_timestamp[[#This Row],[timestamp]])</f>
        <v>19</v>
      </c>
    </row>
    <row r="142" spans="1:12" x14ac:dyDescent="0.3">
      <c r="A142" s="12" t="s">
        <v>183</v>
      </c>
      <c r="B142" s="12" t="s">
        <v>10</v>
      </c>
      <c r="C142">
        <v>28.1</v>
      </c>
      <c r="D142">
        <v>42.4</v>
      </c>
      <c r="E142">
        <v>3.3</v>
      </c>
      <c r="F142">
        <v>0</v>
      </c>
      <c r="G142">
        <v>2.4</v>
      </c>
      <c r="H142">
        <v>4000</v>
      </c>
      <c r="I142">
        <v>6763.5</v>
      </c>
      <c r="J142">
        <v>1</v>
      </c>
      <c r="K142">
        <f>J142+energy_grid_portfolio_dataset!G142</f>
        <v>3.4</v>
      </c>
      <c r="L142">
        <f>HOUR(energy_timestamp[[#This Row],[timestamp]])</f>
        <v>20</v>
      </c>
    </row>
    <row r="143" spans="1:12" x14ac:dyDescent="0.3">
      <c r="A143" s="12" t="s">
        <v>184</v>
      </c>
      <c r="B143" s="12" t="s">
        <v>10</v>
      </c>
      <c r="C143">
        <v>23.1</v>
      </c>
      <c r="D143">
        <v>0</v>
      </c>
      <c r="E143">
        <v>2</v>
      </c>
      <c r="F143">
        <v>0</v>
      </c>
      <c r="G143">
        <v>0.5</v>
      </c>
      <c r="H143">
        <v>4000</v>
      </c>
      <c r="I143">
        <v>6900.2</v>
      </c>
      <c r="J143">
        <v>1</v>
      </c>
      <c r="K143">
        <f>J143+energy_grid_portfolio_dataset!G143</f>
        <v>1.5</v>
      </c>
      <c r="L143">
        <f>HOUR(energy_timestamp[[#This Row],[timestamp]])</f>
        <v>21</v>
      </c>
    </row>
    <row r="144" spans="1:12" x14ac:dyDescent="0.3">
      <c r="A144" s="12" t="s">
        <v>185</v>
      </c>
      <c r="B144" s="12" t="s">
        <v>10</v>
      </c>
      <c r="C144">
        <v>22.3</v>
      </c>
      <c r="D144">
        <v>25.4</v>
      </c>
      <c r="E144">
        <v>7.4</v>
      </c>
      <c r="F144">
        <v>0</v>
      </c>
      <c r="G144">
        <v>25.4</v>
      </c>
      <c r="H144">
        <v>4000</v>
      </c>
      <c r="I144">
        <v>4039.4</v>
      </c>
      <c r="J144">
        <v>1</v>
      </c>
      <c r="K144">
        <f>J144+energy_grid_portfolio_dataset!G144</f>
        <v>26.4</v>
      </c>
      <c r="L144">
        <f>HOUR(energy_timestamp[[#This Row],[timestamp]])</f>
        <v>22</v>
      </c>
    </row>
    <row r="145" spans="1:12" x14ac:dyDescent="0.3">
      <c r="A145" s="12" t="s">
        <v>186</v>
      </c>
      <c r="B145" s="12" t="s">
        <v>10</v>
      </c>
      <c r="C145">
        <v>21.9</v>
      </c>
      <c r="D145">
        <v>41.6</v>
      </c>
      <c r="E145">
        <v>0</v>
      </c>
      <c r="F145">
        <v>0</v>
      </c>
      <c r="G145">
        <v>0</v>
      </c>
      <c r="H145">
        <v>4000</v>
      </c>
      <c r="I145">
        <v>4369</v>
      </c>
      <c r="J145">
        <v>1</v>
      </c>
      <c r="K145">
        <f>J145+energy_grid_portfolio_dataset!G145</f>
        <v>1</v>
      </c>
      <c r="L145">
        <f>HOUR(energy_timestamp[[#This Row],[timestamp]])</f>
        <v>23</v>
      </c>
    </row>
    <row r="146" spans="1:12" x14ac:dyDescent="0.3">
      <c r="A146" s="12" t="s">
        <v>187</v>
      </c>
      <c r="B146" s="12" t="s">
        <v>10</v>
      </c>
      <c r="C146">
        <v>23.2</v>
      </c>
      <c r="D146">
        <v>0</v>
      </c>
      <c r="E146">
        <v>6.3</v>
      </c>
      <c r="F146">
        <v>0</v>
      </c>
      <c r="G146">
        <v>15.9</v>
      </c>
      <c r="H146">
        <v>4000</v>
      </c>
      <c r="I146">
        <v>4985.3</v>
      </c>
      <c r="J146">
        <v>1</v>
      </c>
      <c r="K146">
        <f>J146+energy_grid_portfolio_dataset!G146</f>
        <v>16.899999999999999</v>
      </c>
      <c r="L146">
        <f>HOUR(energy_timestamp[[#This Row],[timestamp]])</f>
        <v>0</v>
      </c>
    </row>
    <row r="147" spans="1:12" x14ac:dyDescent="0.3">
      <c r="A147" s="12" t="s">
        <v>188</v>
      </c>
      <c r="B147" s="12" t="s">
        <v>10</v>
      </c>
      <c r="C147">
        <v>21.6</v>
      </c>
      <c r="D147">
        <v>37.700000000000003</v>
      </c>
      <c r="E147">
        <v>8.5</v>
      </c>
      <c r="F147">
        <v>0</v>
      </c>
      <c r="G147">
        <v>39.9</v>
      </c>
      <c r="H147">
        <v>4000</v>
      </c>
      <c r="I147">
        <v>5000.8</v>
      </c>
      <c r="J147">
        <v>1</v>
      </c>
      <c r="K147">
        <f>J147+energy_grid_portfolio_dataset!G147</f>
        <v>40.9</v>
      </c>
      <c r="L147">
        <f>HOUR(energy_timestamp[[#This Row],[timestamp]])</f>
        <v>1</v>
      </c>
    </row>
    <row r="148" spans="1:12" x14ac:dyDescent="0.3">
      <c r="A148" s="12" t="s">
        <v>189</v>
      </c>
      <c r="B148" s="12" t="s">
        <v>10</v>
      </c>
      <c r="C148">
        <v>23.2</v>
      </c>
      <c r="D148">
        <v>15.8</v>
      </c>
      <c r="E148">
        <v>2.2999999999999998</v>
      </c>
      <c r="F148">
        <v>0</v>
      </c>
      <c r="G148">
        <v>0.8</v>
      </c>
      <c r="H148">
        <v>4000</v>
      </c>
      <c r="I148">
        <v>4977.3</v>
      </c>
      <c r="J148">
        <v>1</v>
      </c>
      <c r="K148">
        <f>J148+energy_grid_portfolio_dataset!G148</f>
        <v>1.8</v>
      </c>
      <c r="L148">
        <f>HOUR(energy_timestamp[[#This Row],[timestamp]])</f>
        <v>2</v>
      </c>
    </row>
    <row r="149" spans="1:12" x14ac:dyDescent="0.3">
      <c r="A149" s="12" t="s">
        <v>190</v>
      </c>
      <c r="B149" s="12" t="s">
        <v>10</v>
      </c>
      <c r="C149">
        <v>22.5</v>
      </c>
      <c r="D149">
        <v>26.4</v>
      </c>
      <c r="E149">
        <v>3</v>
      </c>
      <c r="F149">
        <v>0</v>
      </c>
      <c r="G149">
        <v>1.8</v>
      </c>
      <c r="H149">
        <v>4000</v>
      </c>
      <c r="I149">
        <v>5074.6000000000004</v>
      </c>
      <c r="J149">
        <v>1</v>
      </c>
      <c r="K149">
        <f>J149+energy_grid_portfolio_dataset!G149</f>
        <v>2.8</v>
      </c>
      <c r="L149">
        <f>HOUR(energy_timestamp[[#This Row],[timestamp]])</f>
        <v>3</v>
      </c>
    </row>
    <row r="150" spans="1:12" x14ac:dyDescent="0.3">
      <c r="A150" s="12" t="s">
        <v>191</v>
      </c>
      <c r="B150" s="12" t="s">
        <v>10</v>
      </c>
      <c r="C150">
        <v>25.5</v>
      </c>
      <c r="D150">
        <v>45.8</v>
      </c>
      <c r="E150">
        <v>3</v>
      </c>
      <c r="F150">
        <v>0</v>
      </c>
      <c r="G150">
        <v>1.7</v>
      </c>
      <c r="H150">
        <v>4000</v>
      </c>
      <c r="I150">
        <v>5021.8</v>
      </c>
      <c r="J150">
        <v>1</v>
      </c>
      <c r="K150">
        <f>J150+energy_grid_portfolio_dataset!G150</f>
        <v>2.7</v>
      </c>
      <c r="L150">
        <f>HOUR(energy_timestamp[[#This Row],[timestamp]])</f>
        <v>4</v>
      </c>
    </row>
    <row r="151" spans="1:12" x14ac:dyDescent="0.3">
      <c r="A151" s="12" t="s">
        <v>192</v>
      </c>
      <c r="B151" s="12" t="s">
        <v>10</v>
      </c>
      <c r="C151">
        <v>25</v>
      </c>
      <c r="D151">
        <v>16.100000000000001</v>
      </c>
      <c r="E151">
        <v>4.8</v>
      </c>
      <c r="F151">
        <v>0</v>
      </c>
      <c r="G151">
        <v>6.9</v>
      </c>
      <c r="H151">
        <v>4000</v>
      </c>
      <c r="I151">
        <v>4909.5</v>
      </c>
      <c r="J151">
        <v>1</v>
      </c>
      <c r="K151">
        <f>J151+energy_grid_portfolio_dataset!G151</f>
        <v>7.9</v>
      </c>
      <c r="L151">
        <f>HOUR(energy_timestamp[[#This Row],[timestamp]])</f>
        <v>5</v>
      </c>
    </row>
    <row r="152" spans="1:12" x14ac:dyDescent="0.3">
      <c r="A152" s="12" t="s">
        <v>193</v>
      </c>
      <c r="B152" s="12" t="s">
        <v>10</v>
      </c>
      <c r="C152">
        <v>26.6</v>
      </c>
      <c r="D152">
        <v>42.4</v>
      </c>
      <c r="E152">
        <v>6.7</v>
      </c>
      <c r="F152">
        <v>469.5</v>
      </c>
      <c r="G152">
        <v>19.3</v>
      </c>
      <c r="H152">
        <v>4000</v>
      </c>
      <c r="I152">
        <v>5063.5</v>
      </c>
      <c r="J152">
        <v>1</v>
      </c>
      <c r="K152">
        <f>J152+energy_grid_portfolio_dataset!G152</f>
        <v>20.3</v>
      </c>
      <c r="L152">
        <f>HOUR(energy_timestamp[[#This Row],[timestamp]])</f>
        <v>6</v>
      </c>
    </row>
    <row r="153" spans="1:12" x14ac:dyDescent="0.3">
      <c r="A153" s="12" t="s">
        <v>194</v>
      </c>
      <c r="B153" s="12" t="s">
        <v>10</v>
      </c>
      <c r="C153">
        <v>32.4</v>
      </c>
      <c r="D153">
        <v>9.5</v>
      </c>
      <c r="E153">
        <v>1.5</v>
      </c>
      <c r="F153">
        <v>1214.9000000000001</v>
      </c>
      <c r="G153">
        <v>0.2</v>
      </c>
      <c r="H153">
        <v>3796.9</v>
      </c>
      <c r="I153">
        <v>5012</v>
      </c>
      <c r="J153">
        <v>0</v>
      </c>
      <c r="K153">
        <f>J153+energy_grid_portfolio_dataset!G153</f>
        <v>0.2</v>
      </c>
      <c r="L153">
        <f>HOUR(energy_timestamp[[#This Row],[timestamp]])</f>
        <v>7</v>
      </c>
    </row>
    <row r="154" spans="1:12" x14ac:dyDescent="0.3">
      <c r="A154" s="12" t="s">
        <v>195</v>
      </c>
      <c r="B154" s="12" t="s">
        <v>10</v>
      </c>
      <c r="C154">
        <v>33.200000000000003</v>
      </c>
      <c r="D154">
        <v>38.1</v>
      </c>
      <c r="E154">
        <v>3.9</v>
      </c>
      <c r="F154">
        <v>1371.8</v>
      </c>
      <c r="G154">
        <v>3.8</v>
      </c>
      <c r="H154">
        <v>3307.6</v>
      </c>
      <c r="I154">
        <v>4683.2</v>
      </c>
      <c r="J154">
        <v>0</v>
      </c>
      <c r="K154">
        <f>J154+energy_grid_portfolio_dataset!G154</f>
        <v>3.8</v>
      </c>
      <c r="L154">
        <f>HOUR(energy_timestamp[[#This Row],[timestamp]])</f>
        <v>8</v>
      </c>
    </row>
    <row r="155" spans="1:12" x14ac:dyDescent="0.3">
      <c r="A155" s="12" t="s">
        <v>196</v>
      </c>
      <c r="B155" s="12" t="s">
        <v>10</v>
      </c>
      <c r="C155">
        <v>30.6</v>
      </c>
      <c r="D155">
        <v>73.900000000000006</v>
      </c>
      <c r="E155">
        <v>4.3</v>
      </c>
      <c r="F155">
        <v>1131.9000000000001</v>
      </c>
      <c r="G155">
        <v>4.9000000000000004</v>
      </c>
      <c r="H155">
        <v>3855.2</v>
      </c>
      <c r="I155">
        <v>4992</v>
      </c>
      <c r="J155">
        <v>0</v>
      </c>
      <c r="K155">
        <f>J155+energy_grid_portfolio_dataset!G155</f>
        <v>4.9000000000000004</v>
      </c>
      <c r="L155">
        <f>HOUR(energy_timestamp[[#This Row],[timestamp]])</f>
        <v>9</v>
      </c>
    </row>
    <row r="156" spans="1:12" x14ac:dyDescent="0.3">
      <c r="A156" s="12" t="s">
        <v>197</v>
      </c>
      <c r="B156" s="12" t="s">
        <v>10</v>
      </c>
      <c r="C156">
        <v>34.299999999999997</v>
      </c>
      <c r="D156">
        <v>34.6</v>
      </c>
      <c r="E156">
        <v>4.4000000000000004</v>
      </c>
      <c r="F156">
        <v>2047.9</v>
      </c>
      <c r="G156">
        <v>5.6</v>
      </c>
      <c r="H156">
        <v>4000</v>
      </c>
      <c r="I156">
        <v>7166.4</v>
      </c>
      <c r="J156">
        <v>1</v>
      </c>
      <c r="K156">
        <f>J156+energy_grid_portfolio_dataset!G156</f>
        <v>6.6</v>
      </c>
      <c r="L156">
        <f>HOUR(energy_timestamp[[#This Row],[timestamp]])</f>
        <v>10</v>
      </c>
    </row>
    <row r="157" spans="1:12" x14ac:dyDescent="0.3">
      <c r="A157" s="12" t="s">
        <v>198</v>
      </c>
      <c r="B157" s="12" t="s">
        <v>10</v>
      </c>
      <c r="C157">
        <v>34.5</v>
      </c>
      <c r="D157">
        <v>62.6</v>
      </c>
      <c r="E157">
        <v>6.7</v>
      </c>
      <c r="F157">
        <v>1642.3</v>
      </c>
      <c r="G157">
        <v>19.2</v>
      </c>
      <c r="H157">
        <v>4000</v>
      </c>
      <c r="I157">
        <v>7031.4</v>
      </c>
      <c r="J157">
        <v>1</v>
      </c>
      <c r="K157">
        <f>J157+energy_grid_portfolio_dataset!G157</f>
        <v>20.2</v>
      </c>
      <c r="L157">
        <f>HOUR(energy_timestamp[[#This Row],[timestamp]])</f>
        <v>11</v>
      </c>
    </row>
    <row r="158" spans="1:12" x14ac:dyDescent="0.3">
      <c r="A158" s="12" t="s">
        <v>199</v>
      </c>
      <c r="B158" s="12" t="s">
        <v>10</v>
      </c>
      <c r="C158">
        <v>33.200000000000003</v>
      </c>
      <c r="D158">
        <v>5.2</v>
      </c>
      <c r="E158">
        <v>3.7</v>
      </c>
      <c r="F158">
        <v>2890.6</v>
      </c>
      <c r="G158">
        <v>3.4</v>
      </c>
      <c r="H158">
        <v>4000</v>
      </c>
      <c r="I158">
        <v>7389</v>
      </c>
      <c r="J158">
        <v>1</v>
      </c>
      <c r="K158">
        <f>J158+energy_grid_portfolio_dataset!G158</f>
        <v>4.4000000000000004</v>
      </c>
      <c r="L158">
        <f>HOUR(energy_timestamp[[#This Row],[timestamp]])</f>
        <v>12</v>
      </c>
    </row>
    <row r="159" spans="1:12" x14ac:dyDescent="0.3">
      <c r="A159" s="12" t="s">
        <v>200</v>
      </c>
      <c r="B159" s="12" t="s">
        <v>10</v>
      </c>
      <c r="C159">
        <v>35.4</v>
      </c>
      <c r="D159">
        <v>0</v>
      </c>
      <c r="E159">
        <v>7.1</v>
      </c>
      <c r="F159">
        <v>2924.8</v>
      </c>
      <c r="G159">
        <v>22.5</v>
      </c>
      <c r="H159">
        <v>4000</v>
      </c>
      <c r="I159">
        <v>7158.4</v>
      </c>
      <c r="J159">
        <v>1</v>
      </c>
      <c r="K159">
        <f>J159+energy_grid_portfolio_dataset!G159</f>
        <v>23.5</v>
      </c>
      <c r="L159">
        <f>HOUR(energy_timestamp[[#This Row],[timestamp]])</f>
        <v>13</v>
      </c>
    </row>
    <row r="160" spans="1:12" x14ac:dyDescent="0.3">
      <c r="A160" s="12" t="s">
        <v>201</v>
      </c>
      <c r="B160" s="12" t="s">
        <v>10</v>
      </c>
      <c r="C160">
        <v>32.6</v>
      </c>
      <c r="D160">
        <v>4.8</v>
      </c>
      <c r="E160">
        <v>0.7</v>
      </c>
      <c r="F160">
        <v>2612.9</v>
      </c>
      <c r="G160">
        <v>0</v>
      </c>
      <c r="H160">
        <v>4000</v>
      </c>
      <c r="I160">
        <v>7126.3</v>
      </c>
      <c r="J160">
        <v>1</v>
      </c>
      <c r="K160">
        <f>J160+energy_grid_portfolio_dataset!G160</f>
        <v>1</v>
      </c>
      <c r="L160">
        <f>HOUR(energy_timestamp[[#This Row],[timestamp]])</f>
        <v>14</v>
      </c>
    </row>
    <row r="161" spans="1:12" x14ac:dyDescent="0.3">
      <c r="A161" s="12" t="s">
        <v>202</v>
      </c>
      <c r="B161" s="12" t="s">
        <v>10</v>
      </c>
      <c r="C161">
        <v>32.4</v>
      </c>
      <c r="D161">
        <v>0</v>
      </c>
      <c r="E161">
        <v>1.4</v>
      </c>
      <c r="F161">
        <v>2345.5</v>
      </c>
      <c r="G161">
        <v>0.2</v>
      </c>
      <c r="H161">
        <v>2727.8</v>
      </c>
      <c r="I161">
        <v>5073.5</v>
      </c>
      <c r="J161">
        <v>0</v>
      </c>
      <c r="K161">
        <f>J161+energy_grid_portfolio_dataset!G161</f>
        <v>0.2</v>
      </c>
      <c r="L161">
        <f>HOUR(energy_timestamp[[#This Row],[timestamp]])</f>
        <v>15</v>
      </c>
    </row>
    <row r="162" spans="1:12" x14ac:dyDescent="0.3">
      <c r="A162" s="12" t="s">
        <v>203</v>
      </c>
      <c r="B162" s="12" t="s">
        <v>10</v>
      </c>
      <c r="C162">
        <v>33.5</v>
      </c>
      <c r="D162">
        <v>19.8</v>
      </c>
      <c r="E162">
        <v>1</v>
      </c>
      <c r="F162">
        <v>1611.1</v>
      </c>
      <c r="G162">
        <v>0.1</v>
      </c>
      <c r="H162">
        <v>3288.4</v>
      </c>
      <c r="I162">
        <v>4899.6000000000004</v>
      </c>
      <c r="J162">
        <v>0</v>
      </c>
      <c r="K162">
        <f>J162+energy_grid_portfolio_dataset!G162</f>
        <v>0.1</v>
      </c>
      <c r="L162">
        <f>HOUR(energy_timestamp[[#This Row],[timestamp]])</f>
        <v>16</v>
      </c>
    </row>
    <row r="163" spans="1:12" x14ac:dyDescent="0.3">
      <c r="A163" s="12" t="s">
        <v>204</v>
      </c>
      <c r="B163" s="12" t="s">
        <v>10</v>
      </c>
      <c r="C163">
        <v>29.1</v>
      </c>
      <c r="D163">
        <v>0</v>
      </c>
      <c r="E163">
        <v>3.9</v>
      </c>
      <c r="F163">
        <v>1301.7</v>
      </c>
      <c r="G163">
        <v>3.8</v>
      </c>
      <c r="H163">
        <v>3607.6</v>
      </c>
      <c r="I163">
        <v>4913.1000000000004</v>
      </c>
      <c r="J163">
        <v>0</v>
      </c>
      <c r="K163">
        <f>J163+energy_grid_portfolio_dataset!G163</f>
        <v>3.8</v>
      </c>
      <c r="L163">
        <f>HOUR(energy_timestamp[[#This Row],[timestamp]])</f>
        <v>17</v>
      </c>
    </row>
    <row r="164" spans="1:12" x14ac:dyDescent="0.3">
      <c r="A164" s="12" t="s">
        <v>205</v>
      </c>
      <c r="B164" s="12" t="s">
        <v>10</v>
      </c>
      <c r="C164">
        <v>29</v>
      </c>
      <c r="D164">
        <v>62</v>
      </c>
      <c r="E164">
        <v>6.3</v>
      </c>
      <c r="F164">
        <v>377.9</v>
      </c>
      <c r="G164">
        <v>15.6</v>
      </c>
      <c r="H164">
        <v>4000</v>
      </c>
      <c r="I164">
        <v>7665.4</v>
      </c>
      <c r="J164">
        <v>1</v>
      </c>
      <c r="K164">
        <f>J164+energy_grid_portfolio_dataset!G164</f>
        <v>16.600000000000001</v>
      </c>
      <c r="L164">
        <f>HOUR(energy_timestamp[[#This Row],[timestamp]])</f>
        <v>18</v>
      </c>
    </row>
    <row r="165" spans="1:12" x14ac:dyDescent="0.3">
      <c r="A165" s="12" t="s">
        <v>206</v>
      </c>
      <c r="B165" s="12" t="s">
        <v>10</v>
      </c>
      <c r="C165">
        <v>24.8</v>
      </c>
      <c r="D165">
        <v>76.5</v>
      </c>
      <c r="E165">
        <v>4.0999999999999996</v>
      </c>
      <c r="F165">
        <v>0</v>
      </c>
      <c r="G165">
        <v>4.5</v>
      </c>
      <c r="H165">
        <v>4000</v>
      </c>
      <c r="I165">
        <v>7659.7</v>
      </c>
      <c r="J165">
        <v>1</v>
      </c>
      <c r="K165">
        <f>J165+energy_grid_portfolio_dataset!G165</f>
        <v>5.5</v>
      </c>
      <c r="L165">
        <f>HOUR(energy_timestamp[[#This Row],[timestamp]])</f>
        <v>19</v>
      </c>
    </row>
    <row r="166" spans="1:12" x14ac:dyDescent="0.3">
      <c r="A166" s="12" t="s">
        <v>207</v>
      </c>
      <c r="B166" s="12" t="s">
        <v>10</v>
      </c>
      <c r="C166">
        <v>25</v>
      </c>
      <c r="D166">
        <v>29</v>
      </c>
      <c r="E166">
        <v>3.7</v>
      </c>
      <c r="F166">
        <v>0</v>
      </c>
      <c r="G166">
        <v>3.3</v>
      </c>
      <c r="H166">
        <v>4000</v>
      </c>
      <c r="I166">
        <v>7702.1</v>
      </c>
      <c r="J166">
        <v>1</v>
      </c>
      <c r="K166">
        <f>J166+energy_grid_portfolio_dataset!G166</f>
        <v>4.3</v>
      </c>
      <c r="L166">
        <f>HOUR(energy_timestamp[[#This Row],[timestamp]])</f>
        <v>20</v>
      </c>
    </row>
    <row r="167" spans="1:12" x14ac:dyDescent="0.3">
      <c r="A167" s="12" t="s">
        <v>208</v>
      </c>
      <c r="B167" s="12" t="s">
        <v>10</v>
      </c>
      <c r="C167">
        <v>22.9</v>
      </c>
      <c r="D167">
        <v>24.3</v>
      </c>
      <c r="E167">
        <v>2.9</v>
      </c>
      <c r="F167">
        <v>0</v>
      </c>
      <c r="G167">
        <v>1.6</v>
      </c>
      <c r="H167">
        <v>4000</v>
      </c>
      <c r="I167">
        <v>7614</v>
      </c>
      <c r="J167">
        <v>1</v>
      </c>
      <c r="K167">
        <f>J167+energy_grid_portfolio_dataset!G167</f>
        <v>2.6</v>
      </c>
      <c r="L167">
        <f>HOUR(energy_timestamp[[#This Row],[timestamp]])</f>
        <v>21</v>
      </c>
    </row>
    <row r="168" spans="1:12" x14ac:dyDescent="0.3">
      <c r="A168" s="12" t="s">
        <v>209</v>
      </c>
      <c r="B168" s="12" t="s">
        <v>10</v>
      </c>
      <c r="C168">
        <v>23</v>
      </c>
      <c r="D168">
        <v>19.899999999999999</v>
      </c>
      <c r="E168">
        <v>7</v>
      </c>
      <c r="F168">
        <v>0</v>
      </c>
      <c r="G168">
        <v>22</v>
      </c>
      <c r="H168">
        <v>4000</v>
      </c>
      <c r="I168">
        <v>4843.1000000000004</v>
      </c>
      <c r="J168">
        <v>1</v>
      </c>
      <c r="K168">
        <f>J168+energy_grid_portfolio_dataset!G168</f>
        <v>23</v>
      </c>
      <c r="L168">
        <f>HOUR(energy_timestamp[[#This Row],[timestamp]])</f>
        <v>22</v>
      </c>
    </row>
    <row r="169" spans="1:12" x14ac:dyDescent="0.3">
      <c r="A169" s="12" t="s">
        <v>210</v>
      </c>
      <c r="B169" s="12" t="s">
        <v>10</v>
      </c>
      <c r="C169">
        <v>23.8</v>
      </c>
      <c r="D169">
        <v>49.9</v>
      </c>
      <c r="E169">
        <v>0</v>
      </c>
      <c r="F169">
        <v>0</v>
      </c>
      <c r="G169">
        <v>0</v>
      </c>
      <c r="H169">
        <v>4000</v>
      </c>
      <c r="I169">
        <v>4552.3999999999996</v>
      </c>
      <c r="J169">
        <v>1</v>
      </c>
      <c r="K169">
        <f>J169+energy_grid_portfolio_dataset!G169</f>
        <v>1</v>
      </c>
      <c r="L169">
        <f>HOUR(energy_timestamp[[#This Row],[timestamp]])</f>
        <v>23</v>
      </c>
    </row>
    <row r="170" spans="1:12" x14ac:dyDescent="0.3">
      <c r="A170" s="12" t="s">
        <v>211</v>
      </c>
      <c r="B170" s="12" t="s">
        <v>10</v>
      </c>
      <c r="C170">
        <v>21.4</v>
      </c>
      <c r="D170">
        <v>0</v>
      </c>
      <c r="E170">
        <v>2.4</v>
      </c>
      <c r="F170">
        <v>0</v>
      </c>
      <c r="G170">
        <v>0.9</v>
      </c>
      <c r="H170">
        <v>4000</v>
      </c>
      <c r="I170">
        <v>4898.6000000000004</v>
      </c>
      <c r="J170">
        <v>1</v>
      </c>
      <c r="K170">
        <f>J170+energy_grid_portfolio_dataset!G170</f>
        <v>1.9</v>
      </c>
      <c r="L170">
        <f>HOUR(energy_timestamp[[#This Row],[timestamp]])</f>
        <v>0</v>
      </c>
    </row>
    <row r="171" spans="1:12" x14ac:dyDescent="0.3">
      <c r="A171" s="12" t="s">
        <v>212</v>
      </c>
      <c r="B171" s="12" t="s">
        <v>10</v>
      </c>
      <c r="C171">
        <v>24.8</v>
      </c>
      <c r="D171">
        <v>43.7</v>
      </c>
      <c r="E171">
        <v>6.5</v>
      </c>
      <c r="F171">
        <v>0</v>
      </c>
      <c r="G171">
        <v>17.899999999999999</v>
      </c>
      <c r="H171">
        <v>4000</v>
      </c>
      <c r="I171">
        <v>4783.3999999999996</v>
      </c>
      <c r="J171">
        <v>1</v>
      </c>
      <c r="K171">
        <f>J171+energy_grid_portfolio_dataset!G171</f>
        <v>18.899999999999999</v>
      </c>
      <c r="L171">
        <f>HOUR(energy_timestamp[[#This Row],[timestamp]])</f>
        <v>1</v>
      </c>
    </row>
    <row r="172" spans="1:12" x14ac:dyDescent="0.3">
      <c r="A172" s="12" t="s">
        <v>213</v>
      </c>
      <c r="B172" s="12" t="s">
        <v>10</v>
      </c>
      <c r="C172">
        <v>21.1</v>
      </c>
      <c r="D172">
        <v>14.5</v>
      </c>
      <c r="E172">
        <v>5</v>
      </c>
      <c r="F172">
        <v>0</v>
      </c>
      <c r="G172">
        <v>7.9</v>
      </c>
      <c r="H172">
        <v>4000</v>
      </c>
      <c r="I172">
        <v>5058.3</v>
      </c>
      <c r="J172">
        <v>1</v>
      </c>
      <c r="K172">
        <f>J172+energy_grid_portfolio_dataset!G172</f>
        <v>8.9</v>
      </c>
      <c r="L172">
        <f>HOUR(energy_timestamp[[#This Row],[timestamp]])</f>
        <v>2</v>
      </c>
    </row>
    <row r="173" spans="1:12" x14ac:dyDescent="0.3">
      <c r="A173" s="12" t="s">
        <v>214</v>
      </c>
      <c r="B173" s="12" t="s">
        <v>10</v>
      </c>
      <c r="C173">
        <v>24.8</v>
      </c>
      <c r="D173">
        <v>20.2</v>
      </c>
      <c r="E173">
        <v>3.3</v>
      </c>
      <c r="F173">
        <v>0</v>
      </c>
      <c r="G173">
        <v>2.2000000000000002</v>
      </c>
      <c r="H173">
        <v>4000</v>
      </c>
      <c r="I173">
        <v>4766.7</v>
      </c>
      <c r="J173">
        <v>1</v>
      </c>
      <c r="K173">
        <f>J173+energy_grid_portfolio_dataset!G173</f>
        <v>3.2</v>
      </c>
      <c r="L173">
        <f>HOUR(energy_timestamp[[#This Row],[timestamp]])</f>
        <v>3</v>
      </c>
    </row>
    <row r="174" spans="1:12" x14ac:dyDescent="0.3">
      <c r="A174" s="12" t="s">
        <v>215</v>
      </c>
      <c r="B174" s="12" t="s">
        <v>10</v>
      </c>
      <c r="C174">
        <v>25.7</v>
      </c>
      <c r="D174">
        <v>17.8</v>
      </c>
      <c r="E174">
        <v>6.3</v>
      </c>
      <c r="F174">
        <v>0</v>
      </c>
      <c r="G174">
        <v>16.100000000000001</v>
      </c>
      <c r="H174">
        <v>4000</v>
      </c>
      <c r="I174">
        <v>5056.6000000000004</v>
      </c>
      <c r="J174">
        <v>1</v>
      </c>
      <c r="K174">
        <f>J174+energy_grid_portfolio_dataset!G174</f>
        <v>17.100000000000001</v>
      </c>
      <c r="L174">
        <f>HOUR(energy_timestamp[[#This Row],[timestamp]])</f>
        <v>4</v>
      </c>
    </row>
    <row r="175" spans="1:12" x14ac:dyDescent="0.3">
      <c r="A175" s="12" t="s">
        <v>216</v>
      </c>
      <c r="B175" s="12" t="s">
        <v>10</v>
      </c>
      <c r="C175">
        <v>27.4</v>
      </c>
      <c r="D175">
        <v>36.9</v>
      </c>
      <c r="E175">
        <v>3.4</v>
      </c>
      <c r="F175">
        <v>0</v>
      </c>
      <c r="G175">
        <v>2.5</v>
      </c>
      <c r="H175">
        <v>4000</v>
      </c>
      <c r="I175">
        <v>4787.8</v>
      </c>
      <c r="J175">
        <v>1</v>
      </c>
      <c r="K175">
        <f>J175+energy_grid_portfolio_dataset!G175</f>
        <v>3.5</v>
      </c>
      <c r="L175">
        <f>HOUR(energy_timestamp[[#This Row],[timestamp]])</f>
        <v>5</v>
      </c>
    </row>
    <row r="176" spans="1:12" x14ac:dyDescent="0.3">
      <c r="A176" s="12" t="s">
        <v>217</v>
      </c>
      <c r="B176" s="12" t="s">
        <v>10</v>
      </c>
      <c r="C176">
        <v>26.1</v>
      </c>
      <c r="D176">
        <v>43.5</v>
      </c>
      <c r="E176">
        <v>3.6</v>
      </c>
      <c r="F176">
        <v>464.4</v>
      </c>
      <c r="G176">
        <v>3.1</v>
      </c>
      <c r="H176">
        <v>4000</v>
      </c>
      <c r="I176">
        <v>4998.8999999999996</v>
      </c>
      <c r="J176">
        <v>1</v>
      </c>
      <c r="K176">
        <f>J176+energy_grid_portfolio_dataset!G176</f>
        <v>4.0999999999999996</v>
      </c>
      <c r="L176">
        <f>HOUR(energy_timestamp[[#This Row],[timestamp]])</f>
        <v>6</v>
      </c>
    </row>
    <row r="177" spans="1:12" x14ac:dyDescent="0.3">
      <c r="A177" s="12" t="s">
        <v>218</v>
      </c>
      <c r="B177" s="12" t="s">
        <v>10</v>
      </c>
      <c r="C177">
        <v>31.1</v>
      </c>
      <c r="D177">
        <v>10.9</v>
      </c>
      <c r="E177">
        <v>1.2</v>
      </c>
      <c r="F177">
        <v>1202.2</v>
      </c>
      <c r="G177">
        <v>0.1</v>
      </c>
      <c r="H177">
        <v>3669.3</v>
      </c>
      <c r="I177">
        <v>4871.6000000000004</v>
      </c>
      <c r="J177">
        <v>0</v>
      </c>
      <c r="K177">
        <f>J177+energy_grid_portfolio_dataset!G177</f>
        <v>0.1</v>
      </c>
      <c r="L177">
        <f>HOUR(energy_timestamp[[#This Row],[timestamp]])</f>
        <v>7</v>
      </c>
    </row>
    <row r="178" spans="1:12" x14ac:dyDescent="0.3">
      <c r="A178" s="12" t="s">
        <v>219</v>
      </c>
      <c r="B178" s="12" t="s">
        <v>10</v>
      </c>
      <c r="C178">
        <v>31.9</v>
      </c>
      <c r="D178">
        <v>0</v>
      </c>
      <c r="E178">
        <v>7.5</v>
      </c>
      <c r="F178">
        <v>1870.5</v>
      </c>
      <c r="G178">
        <v>27.1</v>
      </c>
      <c r="H178">
        <v>2818.9</v>
      </c>
      <c r="I178">
        <v>4716.5</v>
      </c>
      <c r="J178">
        <v>0</v>
      </c>
      <c r="K178">
        <f>J178+energy_grid_portfolio_dataset!G178</f>
        <v>27.1</v>
      </c>
      <c r="L178">
        <f>HOUR(energy_timestamp[[#This Row],[timestamp]])</f>
        <v>8</v>
      </c>
    </row>
    <row r="179" spans="1:12" x14ac:dyDescent="0.3">
      <c r="A179" s="12" t="s">
        <v>220</v>
      </c>
      <c r="B179" s="12" t="s">
        <v>10</v>
      </c>
      <c r="C179">
        <v>34.799999999999997</v>
      </c>
      <c r="D179">
        <v>29.2</v>
      </c>
      <c r="E179">
        <v>3.8</v>
      </c>
      <c r="F179">
        <v>1865.7</v>
      </c>
      <c r="G179">
        <v>3.5</v>
      </c>
      <c r="H179">
        <v>2768.5</v>
      </c>
      <c r="I179">
        <v>4637.7</v>
      </c>
      <c r="J179">
        <v>0</v>
      </c>
      <c r="K179">
        <f>J179+energy_grid_portfolio_dataset!G179</f>
        <v>3.5</v>
      </c>
      <c r="L179">
        <f>HOUR(energy_timestamp[[#This Row],[timestamp]])</f>
        <v>9</v>
      </c>
    </row>
    <row r="180" spans="1:12" x14ac:dyDescent="0.3">
      <c r="A180" s="12" t="s">
        <v>221</v>
      </c>
      <c r="B180" s="12" t="s">
        <v>10</v>
      </c>
      <c r="C180">
        <v>33.799999999999997</v>
      </c>
      <c r="D180">
        <v>24.2</v>
      </c>
      <c r="E180">
        <v>6.2</v>
      </c>
      <c r="F180">
        <v>2244.1</v>
      </c>
      <c r="G180">
        <v>15.3</v>
      </c>
      <c r="H180">
        <v>4000</v>
      </c>
      <c r="I180">
        <v>7068.3</v>
      </c>
      <c r="J180">
        <v>1</v>
      </c>
      <c r="K180">
        <f>J180+energy_grid_portfolio_dataset!G180</f>
        <v>16.3</v>
      </c>
      <c r="L180">
        <f>HOUR(energy_timestamp[[#This Row],[timestamp]])</f>
        <v>10</v>
      </c>
    </row>
    <row r="181" spans="1:12" x14ac:dyDescent="0.3">
      <c r="A181" s="12" t="s">
        <v>222</v>
      </c>
      <c r="B181" s="12" t="s">
        <v>10</v>
      </c>
      <c r="C181">
        <v>34</v>
      </c>
      <c r="D181">
        <v>17.7</v>
      </c>
      <c r="E181">
        <v>3.9</v>
      </c>
      <c r="F181">
        <v>2561.8000000000002</v>
      </c>
      <c r="G181">
        <v>3.8</v>
      </c>
      <c r="H181">
        <v>4000</v>
      </c>
      <c r="I181">
        <v>7167.1</v>
      </c>
      <c r="J181">
        <v>1</v>
      </c>
      <c r="K181">
        <f>J181+energy_grid_portfolio_dataset!G181</f>
        <v>4.8</v>
      </c>
      <c r="L181">
        <f>HOUR(energy_timestamp[[#This Row],[timestamp]])</f>
        <v>11</v>
      </c>
    </row>
    <row r="182" spans="1:12" x14ac:dyDescent="0.3">
      <c r="A182" s="12" t="s">
        <v>223</v>
      </c>
      <c r="B182" s="12" t="s">
        <v>10</v>
      </c>
      <c r="C182">
        <v>31.4</v>
      </c>
      <c r="D182">
        <v>0</v>
      </c>
      <c r="E182">
        <v>5.5</v>
      </c>
      <c r="F182">
        <v>3000</v>
      </c>
      <c r="G182">
        <v>10.6</v>
      </c>
      <c r="H182">
        <v>4000</v>
      </c>
      <c r="I182">
        <v>7196.2</v>
      </c>
      <c r="J182">
        <v>1</v>
      </c>
      <c r="K182">
        <f>J182+energy_grid_portfolio_dataset!G182</f>
        <v>11.6</v>
      </c>
      <c r="L182">
        <f>HOUR(energy_timestamp[[#This Row],[timestamp]])</f>
        <v>12</v>
      </c>
    </row>
    <row r="183" spans="1:12" x14ac:dyDescent="0.3">
      <c r="A183" s="12" t="s">
        <v>224</v>
      </c>
      <c r="B183" s="12" t="s">
        <v>10</v>
      </c>
      <c r="C183">
        <v>33.5</v>
      </c>
      <c r="D183">
        <v>25.4</v>
      </c>
      <c r="E183">
        <v>4.7</v>
      </c>
      <c r="F183">
        <v>2405.4</v>
      </c>
      <c r="G183">
        <v>6.6</v>
      </c>
      <c r="H183">
        <v>4000</v>
      </c>
      <c r="I183">
        <v>7175.6</v>
      </c>
      <c r="J183">
        <v>1</v>
      </c>
      <c r="K183">
        <f>J183+energy_grid_portfolio_dataset!G183</f>
        <v>7.6</v>
      </c>
      <c r="L183">
        <f>HOUR(energy_timestamp[[#This Row],[timestamp]])</f>
        <v>13</v>
      </c>
    </row>
    <row r="184" spans="1:12" x14ac:dyDescent="0.3">
      <c r="A184" s="12" t="s">
        <v>225</v>
      </c>
      <c r="B184" s="12" t="s">
        <v>10</v>
      </c>
      <c r="C184">
        <v>32</v>
      </c>
      <c r="D184">
        <v>28.9</v>
      </c>
      <c r="E184">
        <v>2</v>
      </c>
      <c r="F184">
        <v>2155.8000000000002</v>
      </c>
      <c r="G184">
        <v>0.5</v>
      </c>
      <c r="H184">
        <v>4000</v>
      </c>
      <c r="I184">
        <v>7069</v>
      </c>
      <c r="J184">
        <v>1</v>
      </c>
      <c r="K184">
        <f>J184+energy_grid_portfolio_dataset!G184</f>
        <v>1.5</v>
      </c>
      <c r="L184">
        <f>HOUR(energy_timestamp[[#This Row],[timestamp]])</f>
        <v>14</v>
      </c>
    </row>
    <row r="185" spans="1:12" x14ac:dyDescent="0.3">
      <c r="A185" s="12" t="s">
        <v>226</v>
      </c>
      <c r="B185" s="12" t="s">
        <v>10</v>
      </c>
      <c r="C185">
        <v>29.7</v>
      </c>
      <c r="D185">
        <v>45.6</v>
      </c>
      <c r="E185">
        <v>4.9000000000000004</v>
      </c>
      <c r="F185">
        <v>1597.1</v>
      </c>
      <c r="G185">
        <v>7.7</v>
      </c>
      <c r="H185">
        <v>3406.4</v>
      </c>
      <c r="I185">
        <v>5011.2</v>
      </c>
      <c r="J185">
        <v>0</v>
      </c>
      <c r="K185">
        <f>J185+energy_grid_portfolio_dataset!G185</f>
        <v>7.7</v>
      </c>
      <c r="L185">
        <f>HOUR(energy_timestamp[[#This Row],[timestamp]])</f>
        <v>15</v>
      </c>
    </row>
    <row r="186" spans="1:12" x14ac:dyDescent="0.3">
      <c r="A186" s="12" t="s">
        <v>227</v>
      </c>
      <c r="B186" s="12" t="s">
        <v>10</v>
      </c>
      <c r="C186">
        <v>32.5</v>
      </c>
      <c r="D186">
        <v>58.3</v>
      </c>
      <c r="E186">
        <v>6</v>
      </c>
      <c r="F186">
        <v>1107</v>
      </c>
      <c r="G186">
        <v>14</v>
      </c>
      <c r="H186">
        <v>3867.4</v>
      </c>
      <c r="I186">
        <v>4988.3999999999996</v>
      </c>
      <c r="J186">
        <v>0</v>
      </c>
      <c r="K186">
        <f>J186+energy_grid_portfolio_dataset!G186</f>
        <v>14</v>
      </c>
      <c r="L186">
        <f>HOUR(energy_timestamp[[#This Row],[timestamp]])</f>
        <v>16</v>
      </c>
    </row>
    <row r="187" spans="1:12" x14ac:dyDescent="0.3">
      <c r="A187" s="12" t="s">
        <v>228</v>
      </c>
      <c r="B187" s="12" t="s">
        <v>10</v>
      </c>
      <c r="C187">
        <v>27.6</v>
      </c>
      <c r="D187">
        <v>12.5</v>
      </c>
      <c r="E187">
        <v>4.0999999999999996</v>
      </c>
      <c r="F187">
        <v>1187.7</v>
      </c>
      <c r="G187">
        <v>4.3</v>
      </c>
      <c r="H187">
        <v>3481.9</v>
      </c>
      <c r="I187">
        <v>4673.8999999999996</v>
      </c>
      <c r="J187">
        <v>0</v>
      </c>
      <c r="K187">
        <f>J187+energy_grid_portfolio_dataset!G187</f>
        <v>4.3</v>
      </c>
      <c r="L187">
        <f>HOUR(energy_timestamp[[#This Row],[timestamp]])</f>
        <v>17</v>
      </c>
    </row>
    <row r="188" spans="1:12" x14ac:dyDescent="0.3">
      <c r="A188" s="12" t="s">
        <v>229</v>
      </c>
      <c r="B188" s="12" t="s">
        <v>10</v>
      </c>
      <c r="C188">
        <v>26.9</v>
      </c>
      <c r="D188">
        <v>28.7</v>
      </c>
      <c r="E188">
        <v>2.5</v>
      </c>
      <c r="F188">
        <v>533.29999999999995</v>
      </c>
      <c r="G188">
        <v>1</v>
      </c>
      <c r="H188">
        <v>4000</v>
      </c>
      <c r="I188">
        <v>7777.6</v>
      </c>
      <c r="J188">
        <v>1</v>
      </c>
      <c r="K188">
        <f>J188+energy_grid_portfolio_dataset!G188</f>
        <v>2</v>
      </c>
      <c r="L188">
        <f>HOUR(energy_timestamp[[#This Row],[timestamp]])</f>
        <v>18</v>
      </c>
    </row>
    <row r="189" spans="1:12" x14ac:dyDescent="0.3">
      <c r="A189" s="12" t="s">
        <v>230</v>
      </c>
      <c r="B189" s="12" t="s">
        <v>10</v>
      </c>
      <c r="C189">
        <v>24.3</v>
      </c>
      <c r="D189">
        <v>6.5</v>
      </c>
      <c r="E189">
        <v>1.3</v>
      </c>
      <c r="F189">
        <v>0</v>
      </c>
      <c r="G189">
        <v>0.1</v>
      </c>
      <c r="H189">
        <v>4000</v>
      </c>
      <c r="I189">
        <v>7608.3</v>
      </c>
      <c r="J189">
        <v>1</v>
      </c>
      <c r="K189">
        <f>J189+energy_grid_portfolio_dataset!G189</f>
        <v>1.1000000000000001</v>
      </c>
      <c r="L189">
        <f>HOUR(energy_timestamp[[#This Row],[timestamp]])</f>
        <v>19</v>
      </c>
    </row>
    <row r="190" spans="1:12" x14ac:dyDescent="0.3">
      <c r="A190" s="12" t="s">
        <v>231</v>
      </c>
      <c r="B190" s="12" t="s">
        <v>10</v>
      </c>
      <c r="C190">
        <v>26.6</v>
      </c>
      <c r="D190">
        <v>6</v>
      </c>
      <c r="E190">
        <v>9.3000000000000007</v>
      </c>
      <c r="F190">
        <v>0</v>
      </c>
      <c r="G190">
        <v>50.9</v>
      </c>
      <c r="H190">
        <v>4000</v>
      </c>
      <c r="I190">
        <v>7553.6</v>
      </c>
      <c r="J190">
        <v>1</v>
      </c>
      <c r="K190">
        <f>J190+energy_grid_portfolio_dataset!G190</f>
        <v>51.9</v>
      </c>
      <c r="L190">
        <f>HOUR(energy_timestamp[[#This Row],[timestamp]])</f>
        <v>20</v>
      </c>
    </row>
    <row r="191" spans="1:12" x14ac:dyDescent="0.3">
      <c r="A191" s="12" t="s">
        <v>232</v>
      </c>
      <c r="B191" s="12" t="s">
        <v>10</v>
      </c>
      <c r="C191">
        <v>24</v>
      </c>
      <c r="D191">
        <v>7.8</v>
      </c>
      <c r="E191">
        <v>5.4</v>
      </c>
      <c r="F191">
        <v>0</v>
      </c>
      <c r="G191">
        <v>10.1</v>
      </c>
      <c r="H191">
        <v>4000</v>
      </c>
      <c r="I191">
        <v>7774</v>
      </c>
      <c r="J191">
        <v>1</v>
      </c>
      <c r="K191">
        <f>J191+energy_grid_portfolio_dataset!G191</f>
        <v>11.1</v>
      </c>
      <c r="L191">
        <f>HOUR(energy_timestamp[[#This Row],[timestamp]])</f>
        <v>21</v>
      </c>
    </row>
    <row r="192" spans="1:12" x14ac:dyDescent="0.3">
      <c r="A192" s="12" t="s">
        <v>233</v>
      </c>
      <c r="B192" s="12" t="s">
        <v>10</v>
      </c>
      <c r="C192">
        <v>23</v>
      </c>
      <c r="D192">
        <v>76.2</v>
      </c>
      <c r="E192">
        <v>3.8</v>
      </c>
      <c r="F192">
        <v>0</v>
      </c>
      <c r="G192">
        <v>3.5</v>
      </c>
      <c r="H192">
        <v>4000</v>
      </c>
      <c r="I192">
        <v>4863.7</v>
      </c>
      <c r="J192">
        <v>1</v>
      </c>
      <c r="K192">
        <f>J192+energy_grid_portfolio_dataset!G192</f>
        <v>4.5</v>
      </c>
      <c r="L192">
        <f>HOUR(energy_timestamp[[#This Row],[timestamp]])</f>
        <v>22</v>
      </c>
    </row>
    <row r="193" spans="1:12" x14ac:dyDescent="0.3">
      <c r="A193" s="12" t="s">
        <v>234</v>
      </c>
      <c r="B193" s="12" t="s">
        <v>10</v>
      </c>
      <c r="C193">
        <v>21.1</v>
      </c>
      <c r="D193">
        <v>24.3</v>
      </c>
      <c r="E193">
        <v>7.5</v>
      </c>
      <c r="F193">
        <v>0</v>
      </c>
      <c r="G193">
        <v>27.5</v>
      </c>
      <c r="H193">
        <v>4000</v>
      </c>
      <c r="I193">
        <v>5122.3999999999996</v>
      </c>
      <c r="J193">
        <v>1</v>
      </c>
      <c r="K193">
        <f>J193+energy_grid_portfolio_dataset!G193</f>
        <v>28.5</v>
      </c>
      <c r="L193">
        <f>HOUR(energy_timestamp[[#This Row],[timestamp]])</f>
        <v>23</v>
      </c>
    </row>
    <row r="194" spans="1:12" x14ac:dyDescent="0.3">
      <c r="A194" s="12" t="s">
        <v>235</v>
      </c>
      <c r="B194" s="12" t="s">
        <v>10</v>
      </c>
      <c r="C194">
        <v>24.7</v>
      </c>
      <c r="D194">
        <v>39.200000000000003</v>
      </c>
      <c r="E194">
        <v>2.9</v>
      </c>
      <c r="F194">
        <v>0</v>
      </c>
      <c r="G194">
        <v>1.5</v>
      </c>
      <c r="H194">
        <v>4000</v>
      </c>
      <c r="I194">
        <v>4856</v>
      </c>
      <c r="J194">
        <v>1</v>
      </c>
      <c r="K194">
        <f>J194+energy_grid_portfolio_dataset!G194</f>
        <v>2.5</v>
      </c>
      <c r="L194">
        <f>HOUR(energy_timestamp[[#This Row],[timestamp]])</f>
        <v>0</v>
      </c>
    </row>
    <row r="195" spans="1:12" x14ac:dyDescent="0.3">
      <c r="A195" s="12" t="s">
        <v>236</v>
      </c>
      <c r="B195" s="12" t="s">
        <v>10</v>
      </c>
      <c r="C195">
        <v>23.7</v>
      </c>
      <c r="D195">
        <v>37.4</v>
      </c>
      <c r="E195">
        <v>0.9</v>
      </c>
      <c r="F195">
        <v>0</v>
      </c>
      <c r="G195">
        <v>0</v>
      </c>
      <c r="H195">
        <v>4000</v>
      </c>
      <c r="I195">
        <v>5044.8999999999996</v>
      </c>
      <c r="J195">
        <v>1</v>
      </c>
      <c r="K195">
        <f>J195+energy_grid_portfolio_dataset!G195</f>
        <v>1</v>
      </c>
      <c r="L195">
        <f>HOUR(energy_timestamp[[#This Row],[timestamp]])</f>
        <v>1</v>
      </c>
    </row>
    <row r="196" spans="1:12" x14ac:dyDescent="0.3">
      <c r="A196" s="12" t="s">
        <v>237</v>
      </c>
      <c r="B196" s="12" t="s">
        <v>10</v>
      </c>
      <c r="C196">
        <v>22.4</v>
      </c>
      <c r="D196">
        <v>23.5</v>
      </c>
      <c r="E196">
        <v>5.2</v>
      </c>
      <c r="F196">
        <v>0</v>
      </c>
      <c r="G196">
        <v>9.1999999999999993</v>
      </c>
      <c r="H196">
        <v>4000</v>
      </c>
      <c r="I196">
        <v>4840.8999999999996</v>
      </c>
      <c r="J196">
        <v>1</v>
      </c>
      <c r="K196">
        <f>J196+energy_grid_portfolio_dataset!G196</f>
        <v>10.199999999999999</v>
      </c>
      <c r="L196">
        <f>HOUR(energy_timestamp[[#This Row],[timestamp]])</f>
        <v>2</v>
      </c>
    </row>
    <row r="197" spans="1:12" x14ac:dyDescent="0.3">
      <c r="A197" s="12" t="s">
        <v>238</v>
      </c>
      <c r="B197" s="12" t="s">
        <v>10</v>
      </c>
      <c r="C197">
        <v>21.8</v>
      </c>
      <c r="D197">
        <v>32.6</v>
      </c>
      <c r="E197">
        <v>5.2</v>
      </c>
      <c r="F197">
        <v>0</v>
      </c>
      <c r="G197">
        <v>9.1</v>
      </c>
      <c r="H197">
        <v>4000</v>
      </c>
      <c r="I197">
        <v>4976.7</v>
      </c>
      <c r="J197">
        <v>1</v>
      </c>
      <c r="K197">
        <f>J197+energy_grid_portfolio_dataset!G197</f>
        <v>10.1</v>
      </c>
      <c r="L197">
        <f>HOUR(energy_timestamp[[#This Row],[timestamp]])</f>
        <v>3</v>
      </c>
    </row>
    <row r="198" spans="1:12" x14ac:dyDescent="0.3">
      <c r="A198" s="12" t="s">
        <v>239</v>
      </c>
      <c r="B198" s="12" t="s">
        <v>10</v>
      </c>
      <c r="C198">
        <v>26.6</v>
      </c>
      <c r="D198">
        <v>41.7</v>
      </c>
      <c r="E198">
        <v>4.9000000000000004</v>
      </c>
      <c r="F198">
        <v>0</v>
      </c>
      <c r="G198">
        <v>7.6</v>
      </c>
      <c r="H198">
        <v>4000</v>
      </c>
      <c r="I198">
        <v>5034</v>
      </c>
      <c r="J198">
        <v>1</v>
      </c>
      <c r="K198">
        <f>J198+energy_grid_portfolio_dataset!G198</f>
        <v>8.6</v>
      </c>
      <c r="L198">
        <f>HOUR(energy_timestamp[[#This Row],[timestamp]])</f>
        <v>4</v>
      </c>
    </row>
    <row r="199" spans="1:12" x14ac:dyDescent="0.3">
      <c r="A199" s="12" t="s">
        <v>240</v>
      </c>
      <c r="B199" s="12" t="s">
        <v>10</v>
      </c>
      <c r="C199">
        <v>24</v>
      </c>
      <c r="D199">
        <v>33.6</v>
      </c>
      <c r="E199">
        <v>4.4000000000000004</v>
      </c>
      <c r="F199">
        <v>0</v>
      </c>
      <c r="G199">
        <v>5.5</v>
      </c>
      <c r="H199">
        <v>4000</v>
      </c>
      <c r="I199">
        <v>4939.5</v>
      </c>
      <c r="J199">
        <v>1</v>
      </c>
      <c r="K199">
        <f>J199+energy_grid_portfolio_dataset!G199</f>
        <v>6.5</v>
      </c>
      <c r="L199">
        <f>HOUR(energy_timestamp[[#This Row],[timestamp]])</f>
        <v>5</v>
      </c>
    </row>
    <row r="200" spans="1:12" x14ac:dyDescent="0.3">
      <c r="A200" s="12" t="s">
        <v>241</v>
      </c>
      <c r="B200" s="12" t="s">
        <v>10</v>
      </c>
      <c r="C200">
        <v>26.1</v>
      </c>
      <c r="D200">
        <v>3.4</v>
      </c>
      <c r="E200">
        <v>6.1</v>
      </c>
      <c r="F200">
        <v>651.79999999999995</v>
      </c>
      <c r="G200">
        <v>14.6</v>
      </c>
      <c r="H200">
        <v>4000</v>
      </c>
      <c r="I200">
        <v>4990.7</v>
      </c>
      <c r="J200">
        <v>1</v>
      </c>
      <c r="K200">
        <f>J200+energy_grid_portfolio_dataset!G200</f>
        <v>15.6</v>
      </c>
      <c r="L200">
        <f>HOUR(energy_timestamp[[#This Row],[timestamp]])</f>
        <v>6</v>
      </c>
    </row>
    <row r="201" spans="1:12" x14ac:dyDescent="0.3">
      <c r="A201" s="12" t="s">
        <v>242</v>
      </c>
      <c r="B201" s="12" t="s">
        <v>10</v>
      </c>
      <c r="C201">
        <v>30.6</v>
      </c>
      <c r="D201">
        <v>25.6</v>
      </c>
      <c r="E201">
        <v>4.0999999999999996</v>
      </c>
      <c r="F201">
        <v>1068.7</v>
      </c>
      <c r="G201">
        <v>4.3</v>
      </c>
      <c r="H201">
        <v>3871.1</v>
      </c>
      <c r="I201">
        <v>4944.1000000000004</v>
      </c>
      <c r="J201">
        <v>0</v>
      </c>
      <c r="K201">
        <f>J201+energy_grid_portfolio_dataset!G201</f>
        <v>4.3</v>
      </c>
      <c r="L201">
        <f>HOUR(energy_timestamp[[#This Row],[timestamp]])</f>
        <v>7</v>
      </c>
    </row>
    <row r="202" spans="1:12" x14ac:dyDescent="0.3">
      <c r="A202" s="12" t="s">
        <v>243</v>
      </c>
      <c r="B202" s="12" t="s">
        <v>10</v>
      </c>
      <c r="C202">
        <v>30.2</v>
      </c>
      <c r="D202">
        <v>26.9</v>
      </c>
      <c r="E202">
        <v>3.1</v>
      </c>
      <c r="F202">
        <v>1518</v>
      </c>
      <c r="G202">
        <v>1.9</v>
      </c>
      <c r="H202">
        <v>3570.8</v>
      </c>
      <c r="I202">
        <v>5090.7</v>
      </c>
      <c r="J202">
        <v>0</v>
      </c>
      <c r="K202">
        <f>J202+energy_grid_portfolio_dataset!G202</f>
        <v>1.9</v>
      </c>
      <c r="L202">
        <f>HOUR(energy_timestamp[[#This Row],[timestamp]])</f>
        <v>8</v>
      </c>
    </row>
    <row r="203" spans="1:12" x14ac:dyDescent="0.3">
      <c r="A203" s="12" t="s">
        <v>244</v>
      </c>
      <c r="B203" s="12" t="s">
        <v>10</v>
      </c>
      <c r="C203">
        <v>31.8</v>
      </c>
      <c r="D203">
        <v>29.4</v>
      </c>
      <c r="E203">
        <v>3</v>
      </c>
      <c r="F203">
        <v>1862.1</v>
      </c>
      <c r="G203">
        <v>1.8</v>
      </c>
      <c r="H203">
        <v>3020.9</v>
      </c>
      <c r="I203">
        <v>4884.8</v>
      </c>
      <c r="J203">
        <v>0</v>
      </c>
      <c r="K203">
        <f>J203+energy_grid_portfolio_dataset!G203</f>
        <v>1.8</v>
      </c>
      <c r="L203">
        <f>HOUR(energy_timestamp[[#This Row],[timestamp]])</f>
        <v>9</v>
      </c>
    </row>
    <row r="204" spans="1:12" x14ac:dyDescent="0.3">
      <c r="A204" s="12" t="s">
        <v>245</v>
      </c>
      <c r="B204" s="12" t="s">
        <v>10</v>
      </c>
      <c r="C204">
        <v>31.9</v>
      </c>
      <c r="D204">
        <v>21.3</v>
      </c>
      <c r="E204">
        <v>3.1</v>
      </c>
      <c r="F204">
        <v>2300.6</v>
      </c>
      <c r="G204">
        <v>1.9</v>
      </c>
      <c r="H204">
        <v>4000</v>
      </c>
      <c r="I204">
        <v>7338.4</v>
      </c>
      <c r="J204">
        <v>1</v>
      </c>
      <c r="K204">
        <f>J204+energy_grid_portfolio_dataset!G204</f>
        <v>2.9</v>
      </c>
      <c r="L204">
        <f>HOUR(energy_timestamp[[#This Row],[timestamp]])</f>
        <v>10</v>
      </c>
    </row>
    <row r="205" spans="1:12" x14ac:dyDescent="0.3">
      <c r="A205" s="12" t="s">
        <v>246</v>
      </c>
      <c r="B205" s="12" t="s">
        <v>10</v>
      </c>
      <c r="C205">
        <v>34.1</v>
      </c>
      <c r="D205">
        <v>45.6</v>
      </c>
      <c r="E205">
        <v>1</v>
      </c>
      <c r="F205">
        <v>1990.4</v>
      </c>
      <c r="G205">
        <v>0.1</v>
      </c>
      <c r="H205">
        <v>4000</v>
      </c>
      <c r="I205">
        <v>7367</v>
      </c>
      <c r="J205">
        <v>1</v>
      </c>
      <c r="K205">
        <f>J205+energy_grid_portfolio_dataset!G205</f>
        <v>1.1000000000000001</v>
      </c>
      <c r="L205">
        <f>HOUR(energy_timestamp[[#This Row],[timestamp]])</f>
        <v>11</v>
      </c>
    </row>
    <row r="206" spans="1:12" x14ac:dyDescent="0.3">
      <c r="A206" s="12" t="s">
        <v>247</v>
      </c>
      <c r="B206" s="12" t="s">
        <v>10</v>
      </c>
      <c r="C206">
        <v>35.299999999999997</v>
      </c>
      <c r="D206">
        <v>26.6</v>
      </c>
      <c r="E206">
        <v>6.1</v>
      </c>
      <c r="F206">
        <v>2440.4</v>
      </c>
      <c r="G206">
        <v>14.7</v>
      </c>
      <c r="H206">
        <v>4000</v>
      </c>
      <c r="I206">
        <v>7190.1</v>
      </c>
      <c r="J206">
        <v>1</v>
      </c>
      <c r="K206">
        <f>J206+energy_grid_portfolio_dataset!G206</f>
        <v>15.7</v>
      </c>
      <c r="L206">
        <f>HOUR(energy_timestamp[[#This Row],[timestamp]])</f>
        <v>12</v>
      </c>
    </row>
    <row r="207" spans="1:12" x14ac:dyDescent="0.3">
      <c r="A207" s="12" t="s">
        <v>248</v>
      </c>
      <c r="B207" s="12" t="s">
        <v>10</v>
      </c>
      <c r="C207">
        <v>35.9</v>
      </c>
      <c r="D207">
        <v>71</v>
      </c>
      <c r="E207">
        <v>3.3</v>
      </c>
      <c r="F207">
        <v>1471.6</v>
      </c>
      <c r="G207">
        <v>2.2000000000000002</v>
      </c>
      <c r="H207">
        <v>4000</v>
      </c>
      <c r="I207">
        <v>7072.4</v>
      </c>
      <c r="J207">
        <v>1</v>
      </c>
      <c r="K207">
        <f>J207+energy_grid_portfolio_dataset!G207</f>
        <v>3.2</v>
      </c>
      <c r="L207">
        <f>HOUR(energy_timestamp[[#This Row],[timestamp]])</f>
        <v>13</v>
      </c>
    </row>
    <row r="208" spans="1:12" x14ac:dyDescent="0.3">
      <c r="A208" s="12" t="s">
        <v>249</v>
      </c>
      <c r="B208" s="12" t="s">
        <v>10</v>
      </c>
      <c r="C208">
        <v>35.4</v>
      </c>
      <c r="D208">
        <v>56.6</v>
      </c>
      <c r="E208">
        <v>3</v>
      </c>
      <c r="F208">
        <v>1632.2</v>
      </c>
      <c r="G208">
        <v>1.7</v>
      </c>
      <c r="H208">
        <v>4000</v>
      </c>
      <c r="I208">
        <v>7083.2</v>
      </c>
      <c r="J208">
        <v>1</v>
      </c>
      <c r="K208">
        <f>J208+energy_grid_portfolio_dataset!G208</f>
        <v>2.7</v>
      </c>
      <c r="L208">
        <f>HOUR(energy_timestamp[[#This Row],[timestamp]])</f>
        <v>14</v>
      </c>
    </row>
    <row r="209" spans="1:12" x14ac:dyDescent="0.3">
      <c r="A209" s="12" t="s">
        <v>250</v>
      </c>
      <c r="B209" s="12" t="s">
        <v>10</v>
      </c>
      <c r="C209">
        <v>31.8</v>
      </c>
      <c r="D209">
        <v>0</v>
      </c>
      <c r="E209">
        <v>2.2000000000000002</v>
      </c>
      <c r="F209">
        <v>2345.5</v>
      </c>
      <c r="G209">
        <v>0.6</v>
      </c>
      <c r="H209">
        <v>2540.9</v>
      </c>
      <c r="I209">
        <v>4887</v>
      </c>
      <c r="J209">
        <v>0</v>
      </c>
      <c r="K209">
        <f>J209+energy_grid_portfolio_dataset!G209</f>
        <v>0.6</v>
      </c>
      <c r="L209">
        <f>HOUR(energy_timestamp[[#This Row],[timestamp]])</f>
        <v>15</v>
      </c>
    </row>
    <row r="210" spans="1:12" x14ac:dyDescent="0.3">
      <c r="A210" s="12" t="s">
        <v>251</v>
      </c>
      <c r="B210" s="12" t="s">
        <v>10</v>
      </c>
      <c r="C210">
        <v>29.8</v>
      </c>
      <c r="D210">
        <v>24.3</v>
      </c>
      <c r="E210">
        <v>4.5</v>
      </c>
      <c r="F210">
        <v>1552.2</v>
      </c>
      <c r="G210">
        <v>5.7</v>
      </c>
      <c r="H210">
        <v>3241.5</v>
      </c>
      <c r="I210">
        <v>4799.3999999999996</v>
      </c>
      <c r="J210">
        <v>0</v>
      </c>
      <c r="K210">
        <f>J210+energy_grid_portfolio_dataset!G210</f>
        <v>5.7</v>
      </c>
      <c r="L210">
        <f>HOUR(energy_timestamp[[#This Row],[timestamp]])</f>
        <v>16</v>
      </c>
    </row>
    <row r="211" spans="1:12" x14ac:dyDescent="0.3">
      <c r="A211" s="12" t="s">
        <v>252</v>
      </c>
      <c r="B211" s="12" t="s">
        <v>10</v>
      </c>
      <c r="C211">
        <v>28.1</v>
      </c>
      <c r="D211">
        <v>44.7</v>
      </c>
      <c r="E211">
        <v>3.6</v>
      </c>
      <c r="F211">
        <v>894.5</v>
      </c>
      <c r="G211">
        <v>2.9</v>
      </c>
      <c r="H211">
        <v>4000</v>
      </c>
      <c r="I211">
        <v>5182.6000000000004</v>
      </c>
      <c r="J211">
        <v>1</v>
      </c>
      <c r="K211">
        <f>J211+energy_grid_portfolio_dataset!G211</f>
        <v>3.9</v>
      </c>
      <c r="L211">
        <f>HOUR(energy_timestamp[[#This Row],[timestamp]])</f>
        <v>17</v>
      </c>
    </row>
    <row r="212" spans="1:12" x14ac:dyDescent="0.3">
      <c r="A212" s="12" t="s">
        <v>253</v>
      </c>
      <c r="B212" s="12" t="s">
        <v>10</v>
      </c>
      <c r="C212">
        <v>29</v>
      </c>
      <c r="D212">
        <v>2.5</v>
      </c>
      <c r="E212">
        <v>4.8</v>
      </c>
      <c r="F212">
        <v>655.7</v>
      </c>
      <c r="G212">
        <v>6.9</v>
      </c>
      <c r="H212">
        <v>4000</v>
      </c>
      <c r="I212">
        <v>7692.6</v>
      </c>
      <c r="J212">
        <v>1</v>
      </c>
      <c r="K212">
        <f>J212+energy_grid_portfolio_dataset!G212</f>
        <v>7.9</v>
      </c>
      <c r="L212">
        <f>HOUR(energy_timestamp[[#This Row],[timestamp]])</f>
        <v>18</v>
      </c>
    </row>
    <row r="213" spans="1:12" x14ac:dyDescent="0.3">
      <c r="A213" s="12" t="s">
        <v>254</v>
      </c>
      <c r="B213" s="12" t="s">
        <v>10</v>
      </c>
      <c r="C213">
        <v>27.2</v>
      </c>
      <c r="D213">
        <v>30.8</v>
      </c>
      <c r="E213">
        <v>8.9</v>
      </c>
      <c r="F213">
        <v>0</v>
      </c>
      <c r="G213">
        <v>45.3</v>
      </c>
      <c r="H213">
        <v>4000</v>
      </c>
      <c r="I213">
        <v>7725</v>
      </c>
      <c r="J213">
        <v>1</v>
      </c>
      <c r="K213">
        <f>J213+energy_grid_portfolio_dataset!G213</f>
        <v>46.3</v>
      </c>
      <c r="L213">
        <f>HOUR(energy_timestamp[[#This Row],[timestamp]])</f>
        <v>19</v>
      </c>
    </row>
    <row r="214" spans="1:12" x14ac:dyDescent="0.3">
      <c r="A214" s="12" t="s">
        <v>255</v>
      </c>
      <c r="B214" s="12" t="s">
        <v>10</v>
      </c>
      <c r="C214">
        <v>24.2</v>
      </c>
      <c r="D214">
        <v>12.5</v>
      </c>
      <c r="E214">
        <v>2.9</v>
      </c>
      <c r="F214">
        <v>0</v>
      </c>
      <c r="G214">
        <v>1.5</v>
      </c>
      <c r="H214">
        <v>4000</v>
      </c>
      <c r="I214">
        <v>7604.3</v>
      </c>
      <c r="J214">
        <v>1</v>
      </c>
      <c r="K214">
        <f>J214+energy_grid_portfolio_dataset!G214</f>
        <v>2.5</v>
      </c>
      <c r="L214">
        <f>HOUR(energy_timestamp[[#This Row],[timestamp]])</f>
        <v>20</v>
      </c>
    </row>
    <row r="215" spans="1:12" x14ac:dyDescent="0.3">
      <c r="A215" s="12" t="s">
        <v>256</v>
      </c>
      <c r="B215" s="12" t="s">
        <v>10</v>
      </c>
      <c r="C215">
        <v>25.5</v>
      </c>
      <c r="D215">
        <v>53.4</v>
      </c>
      <c r="E215">
        <v>2.9</v>
      </c>
      <c r="F215">
        <v>0</v>
      </c>
      <c r="G215">
        <v>1.5</v>
      </c>
      <c r="H215">
        <v>4000</v>
      </c>
      <c r="I215">
        <v>7604.4</v>
      </c>
      <c r="J215">
        <v>1</v>
      </c>
      <c r="K215">
        <f>J215+energy_grid_portfolio_dataset!G215</f>
        <v>2.5</v>
      </c>
      <c r="L215">
        <f>HOUR(energy_timestamp[[#This Row],[timestamp]])</f>
        <v>21</v>
      </c>
    </row>
    <row r="216" spans="1:12" x14ac:dyDescent="0.3">
      <c r="A216" s="12" t="s">
        <v>257</v>
      </c>
      <c r="B216" s="12" t="s">
        <v>10</v>
      </c>
      <c r="C216">
        <v>23.5</v>
      </c>
      <c r="D216">
        <v>14</v>
      </c>
      <c r="E216">
        <v>5.3</v>
      </c>
      <c r="F216">
        <v>0</v>
      </c>
      <c r="G216">
        <v>9.3000000000000007</v>
      </c>
      <c r="H216">
        <v>4000</v>
      </c>
      <c r="I216">
        <v>4825.1000000000004</v>
      </c>
      <c r="J216">
        <v>1</v>
      </c>
      <c r="K216">
        <f>J216+energy_grid_portfolio_dataset!G216</f>
        <v>10.3</v>
      </c>
      <c r="L216">
        <f>HOUR(energy_timestamp[[#This Row],[timestamp]])</f>
        <v>22</v>
      </c>
    </row>
    <row r="217" spans="1:12" x14ac:dyDescent="0.3">
      <c r="A217" s="12" t="s">
        <v>258</v>
      </c>
      <c r="B217" s="12" t="s">
        <v>10</v>
      </c>
      <c r="C217">
        <v>19.899999999999999</v>
      </c>
      <c r="D217">
        <v>56</v>
      </c>
      <c r="E217">
        <v>7.6</v>
      </c>
      <c r="F217">
        <v>0</v>
      </c>
      <c r="G217">
        <v>28</v>
      </c>
      <c r="H217">
        <v>4000</v>
      </c>
      <c r="I217">
        <v>4980.3999999999996</v>
      </c>
      <c r="J217">
        <v>1</v>
      </c>
      <c r="K217">
        <f>J217+energy_grid_portfolio_dataset!G217</f>
        <v>29</v>
      </c>
      <c r="L217">
        <f>HOUR(energy_timestamp[[#This Row],[timestamp]])</f>
        <v>23</v>
      </c>
    </row>
    <row r="218" spans="1:12" x14ac:dyDescent="0.3">
      <c r="A218" s="12" t="s">
        <v>259</v>
      </c>
      <c r="B218" s="12" t="s">
        <v>10</v>
      </c>
      <c r="C218">
        <v>21.4</v>
      </c>
      <c r="D218">
        <v>30.7</v>
      </c>
      <c r="E218">
        <v>4.7</v>
      </c>
      <c r="F218">
        <v>0</v>
      </c>
      <c r="G218">
        <v>6.5</v>
      </c>
      <c r="H218">
        <v>4000</v>
      </c>
      <c r="I218">
        <v>4858.1000000000004</v>
      </c>
      <c r="J218">
        <v>1</v>
      </c>
      <c r="K218">
        <f>J218+energy_grid_portfolio_dataset!G218</f>
        <v>7.5</v>
      </c>
      <c r="L218">
        <f>HOUR(energy_timestamp[[#This Row],[timestamp]])</f>
        <v>0</v>
      </c>
    </row>
    <row r="219" spans="1:12" x14ac:dyDescent="0.3">
      <c r="A219" s="12" t="s">
        <v>260</v>
      </c>
      <c r="B219" s="12" t="s">
        <v>10</v>
      </c>
      <c r="C219">
        <v>25.2</v>
      </c>
      <c r="D219">
        <v>21.5</v>
      </c>
      <c r="E219">
        <v>2.4</v>
      </c>
      <c r="F219">
        <v>0</v>
      </c>
      <c r="G219">
        <v>0.9</v>
      </c>
      <c r="H219">
        <v>4000</v>
      </c>
      <c r="I219">
        <v>5048.8</v>
      </c>
      <c r="J219">
        <v>1</v>
      </c>
      <c r="K219">
        <f>J219+energy_grid_portfolio_dataset!G219</f>
        <v>1.9</v>
      </c>
      <c r="L219">
        <f>HOUR(energy_timestamp[[#This Row],[timestamp]])</f>
        <v>1</v>
      </c>
    </row>
    <row r="220" spans="1:12" x14ac:dyDescent="0.3">
      <c r="A220" s="12" t="s">
        <v>261</v>
      </c>
      <c r="B220" s="12" t="s">
        <v>10</v>
      </c>
      <c r="C220">
        <v>21.7</v>
      </c>
      <c r="D220">
        <v>24.3</v>
      </c>
      <c r="E220">
        <v>7.6</v>
      </c>
      <c r="F220">
        <v>0</v>
      </c>
      <c r="G220">
        <v>28</v>
      </c>
      <c r="H220">
        <v>4000</v>
      </c>
      <c r="I220">
        <v>4743.1000000000004</v>
      </c>
      <c r="J220">
        <v>1</v>
      </c>
      <c r="K220">
        <f>J220+energy_grid_portfolio_dataset!G220</f>
        <v>29</v>
      </c>
      <c r="L220">
        <f>HOUR(energy_timestamp[[#This Row],[timestamp]])</f>
        <v>2</v>
      </c>
    </row>
    <row r="221" spans="1:12" x14ac:dyDescent="0.3">
      <c r="A221" s="12" t="s">
        <v>262</v>
      </c>
      <c r="B221" s="12" t="s">
        <v>10</v>
      </c>
      <c r="C221">
        <v>24.1</v>
      </c>
      <c r="D221">
        <v>24.7</v>
      </c>
      <c r="E221">
        <v>6.4</v>
      </c>
      <c r="F221">
        <v>0</v>
      </c>
      <c r="G221">
        <v>16.600000000000001</v>
      </c>
      <c r="H221">
        <v>4000</v>
      </c>
      <c r="I221">
        <v>4872.3999999999996</v>
      </c>
      <c r="J221">
        <v>1</v>
      </c>
      <c r="K221">
        <f>J221+energy_grid_portfolio_dataset!G221</f>
        <v>17.600000000000001</v>
      </c>
      <c r="L221">
        <f>HOUR(energy_timestamp[[#This Row],[timestamp]])</f>
        <v>3</v>
      </c>
    </row>
    <row r="222" spans="1:12" x14ac:dyDescent="0.3">
      <c r="A222" s="12" t="s">
        <v>263</v>
      </c>
      <c r="B222" s="12" t="s">
        <v>10</v>
      </c>
      <c r="C222">
        <v>24.2</v>
      </c>
      <c r="D222">
        <v>15.2</v>
      </c>
      <c r="E222">
        <v>6.1</v>
      </c>
      <c r="F222">
        <v>0</v>
      </c>
      <c r="G222">
        <v>14.4</v>
      </c>
      <c r="H222">
        <v>4000</v>
      </c>
      <c r="I222">
        <v>5329</v>
      </c>
      <c r="J222">
        <v>1</v>
      </c>
      <c r="K222">
        <f>J222+energy_grid_portfolio_dataset!G222</f>
        <v>15.4</v>
      </c>
      <c r="L222">
        <f>HOUR(energy_timestamp[[#This Row],[timestamp]])</f>
        <v>4</v>
      </c>
    </row>
    <row r="223" spans="1:12" x14ac:dyDescent="0.3">
      <c r="A223" s="12" t="s">
        <v>264</v>
      </c>
      <c r="B223" s="12" t="s">
        <v>10</v>
      </c>
      <c r="C223">
        <v>29.2</v>
      </c>
      <c r="D223">
        <v>36.700000000000003</v>
      </c>
      <c r="E223">
        <v>3.3</v>
      </c>
      <c r="F223">
        <v>0</v>
      </c>
      <c r="G223">
        <v>2.2999999999999998</v>
      </c>
      <c r="H223">
        <v>4000</v>
      </c>
      <c r="I223">
        <v>5052.3</v>
      </c>
      <c r="J223">
        <v>1</v>
      </c>
      <c r="K223">
        <f>J223+energy_grid_portfolio_dataset!G223</f>
        <v>3.3</v>
      </c>
      <c r="L223">
        <f>HOUR(energy_timestamp[[#This Row],[timestamp]])</f>
        <v>5</v>
      </c>
    </row>
    <row r="224" spans="1:12" x14ac:dyDescent="0.3">
      <c r="A224" s="12" t="s">
        <v>265</v>
      </c>
      <c r="B224" s="12" t="s">
        <v>10</v>
      </c>
      <c r="C224">
        <v>29.7</v>
      </c>
      <c r="D224">
        <v>41.4</v>
      </c>
      <c r="E224">
        <v>5</v>
      </c>
      <c r="F224">
        <v>474.1</v>
      </c>
      <c r="G224">
        <v>8.1</v>
      </c>
      <c r="H224">
        <v>4000</v>
      </c>
      <c r="I224">
        <v>5038.6000000000004</v>
      </c>
      <c r="J224">
        <v>1</v>
      </c>
      <c r="K224">
        <f>J224+energy_grid_portfolio_dataset!G224</f>
        <v>9.1</v>
      </c>
      <c r="L224">
        <f>HOUR(energy_timestamp[[#This Row],[timestamp]])</f>
        <v>6</v>
      </c>
    </row>
    <row r="225" spans="1:12" x14ac:dyDescent="0.3">
      <c r="A225" s="12" t="s">
        <v>266</v>
      </c>
      <c r="B225" s="12" t="s">
        <v>10</v>
      </c>
      <c r="C225">
        <v>31.3</v>
      </c>
      <c r="D225">
        <v>52.6</v>
      </c>
      <c r="E225">
        <v>5.3</v>
      </c>
      <c r="F225">
        <v>822</v>
      </c>
      <c r="G225">
        <v>9.5</v>
      </c>
      <c r="H225">
        <v>4000</v>
      </c>
      <c r="I225">
        <v>5110</v>
      </c>
      <c r="J225">
        <v>1</v>
      </c>
      <c r="K225">
        <f>J225+energy_grid_portfolio_dataset!G225</f>
        <v>10.5</v>
      </c>
      <c r="L225">
        <f>HOUR(energy_timestamp[[#This Row],[timestamp]])</f>
        <v>7</v>
      </c>
    </row>
    <row r="226" spans="1:12" x14ac:dyDescent="0.3">
      <c r="A226" s="12" t="s">
        <v>267</v>
      </c>
      <c r="B226" s="12" t="s">
        <v>10</v>
      </c>
      <c r="C226">
        <v>31.2</v>
      </c>
      <c r="D226">
        <v>49.1</v>
      </c>
      <c r="E226">
        <v>2.4</v>
      </c>
      <c r="F226">
        <v>1227.2</v>
      </c>
      <c r="G226">
        <v>0.8</v>
      </c>
      <c r="H226">
        <v>3696.9</v>
      </c>
      <c r="I226">
        <v>4924.8999999999996</v>
      </c>
      <c r="J226">
        <v>0</v>
      </c>
      <c r="K226">
        <f>J226+energy_grid_portfolio_dataset!G226</f>
        <v>0.8</v>
      </c>
      <c r="L226">
        <f>HOUR(energy_timestamp[[#This Row],[timestamp]])</f>
        <v>8</v>
      </c>
    </row>
    <row r="227" spans="1:12" x14ac:dyDescent="0.3">
      <c r="A227" s="12" t="s">
        <v>268</v>
      </c>
      <c r="B227" s="12" t="s">
        <v>10</v>
      </c>
      <c r="C227">
        <v>31.7</v>
      </c>
      <c r="D227">
        <v>25.6</v>
      </c>
      <c r="E227">
        <v>6.6</v>
      </c>
      <c r="F227">
        <v>1925.6</v>
      </c>
      <c r="G227">
        <v>18</v>
      </c>
      <c r="H227">
        <v>3061.7</v>
      </c>
      <c r="I227">
        <v>5005.3</v>
      </c>
      <c r="J227">
        <v>0</v>
      </c>
      <c r="K227">
        <f>J227+energy_grid_portfolio_dataset!G227</f>
        <v>18</v>
      </c>
      <c r="L227">
        <f>HOUR(energy_timestamp[[#This Row],[timestamp]])</f>
        <v>9</v>
      </c>
    </row>
    <row r="228" spans="1:12" x14ac:dyDescent="0.3">
      <c r="A228" s="12" t="s">
        <v>269</v>
      </c>
      <c r="B228" s="12" t="s">
        <v>10</v>
      </c>
      <c r="C228">
        <v>33.299999999999997</v>
      </c>
      <c r="D228">
        <v>0</v>
      </c>
      <c r="E228">
        <v>5.5</v>
      </c>
      <c r="F228">
        <v>2702.9</v>
      </c>
      <c r="G228">
        <v>10.6</v>
      </c>
      <c r="H228">
        <v>4000</v>
      </c>
      <c r="I228">
        <v>7178.7</v>
      </c>
      <c r="J228">
        <v>1</v>
      </c>
      <c r="K228">
        <f>J228+energy_grid_portfolio_dataset!G228</f>
        <v>11.6</v>
      </c>
      <c r="L228">
        <f>HOUR(energy_timestamp[[#This Row],[timestamp]])</f>
        <v>10</v>
      </c>
    </row>
    <row r="229" spans="1:12" x14ac:dyDescent="0.3">
      <c r="A229" s="12" t="s">
        <v>270</v>
      </c>
      <c r="B229" s="12" t="s">
        <v>10</v>
      </c>
      <c r="C229">
        <v>37</v>
      </c>
      <c r="D229">
        <v>18.8</v>
      </c>
      <c r="E229">
        <v>4.4000000000000004</v>
      </c>
      <c r="F229">
        <v>2539</v>
      </c>
      <c r="G229">
        <v>5.6</v>
      </c>
      <c r="H229">
        <v>4000</v>
      </c>
      <c r="I229">
        <v>7246.8</v>
      </c>
      <c r="J229">
        <v>1</v>
      </c>
      <c r="K229">
        <f>J229+energy_grid_portfolio_dataset!G229</f>
        <v>6.6</v>
      </c>
      <c r="L229">
        <f>HOUR(energy_timestamp[[#This Row],[timestamp]])</f>
        <v>11</v>
      </c>
    </row>
    <row r="230" spans="1:12" x14ac:dyDescent="0.3">
      <c r="A230" s="12" t="s">
        <v>271</v>
      </c>
      <c r="B230" s="12" t="s">
        <v>10</v>
      </c>
      <c r="C230">
        <v>36.4</v>
      </c>
      <c r="D230">
        <v>23.1</v>
      </c>
      <c r="E230">
        <v>4.5999999999999996</v>
      </c>
      <c r="F230">
        <v>2515</v>
      </c>
      <c r="G230">
        <v>6.1</v>
      </c>
      <c r="H230">
        <v>4000</v>
      </c>
      <c r="I230">
        <v>7187.4</v>
      </c>
      <c r="J230">
        <v>1</v>
      </c>
      <c r="K230">
        <f>J230+energy_grid_portfolio_dataset!G230</f>
        <v>7.1</v>
      </c>
      <c r="L230">
        <f>HOUR(energy_timestamp[[#This Row],[timestamp]])</f>
        <v>12</v>
      </c>
    </row>
    <row r="231" spans="1:12" x14ac:dyDescent="0.3">
      <c r="A231" s="12" t="s">
        <v>272</v>
      </c>
      <c r="B231" s="12" t="s">
        <v>10</v>
      </c>
      <c r="C231">
        <v>34.1</v>
      </c>
      <c r="D231">
        <v>16.100000000000001</v>
      </c>
      <c r="E231">
        <v>4.4000000000000004</v>
      </c>
      <c r="F231">
        <v>2595.6999999999998</v>
      </c>
      <c r="G231">
        <v>5.4</v>
      </c>
      <c r="H231">
        <v>4000</v>
      </c>
      <c r="I231">
        <v>7241.2</v>
      </c>
      <c r="J231">
        <v>1</v>
      </c>
      <c r="K231">
        <f>J231+energy_grid_portfolio_dataset!G231</f>
        <v>6.4</v>
      </c>
      <c r="L231">
        <f>HOUR(energy_timestamp[[#This Row],[timestamp]])</f>
        <v>13</v>
      </c>
    </row>
    <row r="232" spans="1:12" x14ac:dyDescent="0.3">
      <c r="A232" s="12" t="s">
        <v>273</v>
      </c>
      <c r="B232" s="12" t="s">
        <v>10</v>
      </c>
      <c r="C232">
        <v>31.7</v>
      </c>
      <c r="D232">
        <v>27.7</v>
      </c>
      <c r="E232">
        <v>2.6</v>
      </c>
      <c r="F232">
        <v>2179.6</v>
      </c>
      <c r="G232">
        <v>1.1000000000000001</v>
      </c>
      <c r="H232">
        <v>4000</v>
      </c>
      <c r="I232">
        <v>7311</v>
      </c>
      <c r="J232">
        <v>1</v>
      </c>
      <c r="K232">
        <f>J232+energy_grid_portfolio_dataset!G232</f>
        <v>2.1</v>
      </c>
      <c r="L232">
        <f>HOUR(energy_timestamp[[#This Row],[timestamp]])</f>
        <v>14</v>
      </c>
    </row>
    <row r="233" spans="1:12" x14ac:dyDescent="0.3">
      <c r="A233" s="12" t="s">
        <v>274</v>
      </c>
      <c r="B233" s="12" t="s">
        <v>10</v>
      </c>
      <c r="C233">
        <v>30</v>
      </c>
      <c r="D233">
        <v>13.8</v>
      </c>
      <c r="E233">
        <v>4.8</v>
      </c>
      <c r="F233">
        <v>2118.6</v>
      </c>
      <c r="G233">
        <v>6.9</v>
      </c>
      <c r="H233">
        <v>3003.8</v>
      </c>
      <c r="I233">
        <v>5129.3</v>
      </c>
      <c r="J233">
        <v>0</v>
      </c>
      <c r="K233">
        <f>J233+energy_grid_portfolio_dataset!G233</f>
        <v>6.9</v>
      </c>
      <c r="L233">
        <f>HOUR(energy_timestamp[[#This Row],[timestamp]])</f>
        <v>15</v>
      </c>
    </row>
    <row r="234" spans="1:12" x14ac:dyDescent="0.3">
      <c r="A234" s="12" t="s">
        <v>275</v>
      </c>
      <c r="B234" s="12" t="s">
        <v>10</v>
      </c>
      <c r="C234">
        <v>30.9</v>
      </c>
      <c r="D234">
        <v>13.9</v>
      </c>
      <c r="E234">
        <v>7.8</v>
      </c>
      <c r="F234">
        <v>1688.5</v>
      </c>
      <c r="G234">
        <v>29.9</v>
      </c>
      <c r="H234">
        <v>3466.4</v>
      </c>
      <c r="I234">
        <v>5184.8</v>
      </c>
      <c r="J234">
        <v>0</v>
      </c>
      <c r="K234">
        <f>J234+energy_grid_portfolio_dataset!G234</f>
        <v>29.9</v>
      </c>
      <c r="L234">
        <f>HOUR(energy_timestamp[[#This Row],[timestamp]])</f>
        <v>16</v>
      </c>
    </row>
    <row r="235" spans="1:12" x14ac:dyDescent="0.3">
      <c r="A235" s="12" t="s">
        <v>276</v>
      </c>
      <c r="B235" s="12" t="s">
        <v>10</v>
      </c>
      <c r="C235">
        <v>26.3</v>
      </c>
      <c r="D235">
        <v>33.799999999999997</v>
      </c>
      <c r="E235">
        <v>3</v>
      </c>
      <c r="F235">
        <v>993.7</v>
      </c>
      <c r="G235">
        <v>1.7</v>
      </c>
      <c r="H235">
        <v>3737.4</v>
      </c>
      <c r="I235">
        <v>4732.8</v>
      </c>
      <c r="J235">
        <v>0</v>
      </c>
      <c r="K235">
        <f>J235+energy_grid_portfolio_dataset!G235</f>
        <v>1.7</v>
      </c>
      <c r="L235">
        <f>HOUR(energy_timestamp[[#This Row],[timestamp]])</f>
        <v>17</v>
      </c>
    </row>
    <row r="236" spans="1:12" x14ac:dyDescent="0.3">
      <c r="A236" s="12" t="s">
        <v>277</v>
      </c>
      <c r="B236" s="12" t="s">
        <v>10</v>
      </c>
      <c r="C236">
        <v>29.1</v>
      </c>
      <c r="D236">
        <v>29.9</v>
      </c>
      <c r="E236">
        <v>2.9</v>
      </c>
      <c r="F236">
        <v>528</v>
      </c>
      <c r="G236">
        <v>1.5</v>
      </c>
      <c r="H236">
        <v>4000</v>
      </c>
      <c r="I236">
        <v>7546.8</v>
      </c>
      <c r="J236">
        <v>1</v>
      </c>
      <c r="K236">
        <f>J236+energy_grid_portfolio_dataset!G236</f>
        <v>2.5</v>
      </c>
      <c r="L236">
        <f>HOUR(energy_timestamp[[#This Row],[timestamp]])</f>
        <v>18</v>
      </c>
    </row>
    <row r="237" spans="1:12" x14ac:dyDescent="0.3">
      <c r="A237" s="12" t="s">
        <v>278</v>
      </c>
      <c r="B237" s="12" t="s">
        <v>10</v>
      </c>
      <c r="C237">
        <v>27.8</v>
      </c>
      <c r="D237">
        <v>38</v>
      </c>
      <c r="E237">
        <v>3.8</v>
      </c>
      <c r="F237">
        <v>0</v>
      </c>
      <c r="G237">
        <v>3.5</v>
      </c>
      <c r="H237">
        <v>4000</v>
      </c>
      <c r="I237">
        <v>7508</v>
      </c>
      <c r="J237">
        <v>1</v>
      </c>
      <c r="K237">
        <f>J237+energy_grid_portfolio_dataset!G237</f>
        <v>4.5</v>
      </c>
      <c r="L237">
        <f>HOUR(energy_timestamp[[#This Row],[timestamp]])</f>
        <v>19</v>
      </c>
    </row>
    <row r="238" spans="1:12" x14ac:dyDescent="0.3">
      <c r="A238" s="12" t="s">
        <v>279</v>
      </c>
      <c r="B238" s="12" t="s">
        <v>10</v>
      </c>
      <c r="C238">
        <v>23.4</v>
      </c>
      <c r="D238">
        <v>0</v>
      </c>
      <c r="E238">
        <v>2.6</v>
      </c>
      <c r="F238">
        <v>0</v>
      </c>
      <c r="G238">
        <v>1.1000000000000001</v>
      </c>
      <c r="H238">
        <v>4000</v>
      </c>
      <c r="I238">
        <v>7977</v>
      </c>
      <c r="J238">
        <v>1</v>
      </c>
      <c r="K238">
        <f>J238+energy_grid_portfolio_dataset!G238</f>
        <v>2.1</v>
      </c>
      <c r="L238">
        <f>HOUR(energy_timestamp[[#This Row],[timestamp]])</f>
        <v>20</v>
      </c>
    </row>
    <row r="239" spans="1:12" x14ac:dyDescent="0.3">
      <c r="A239" s="12" t="s">
        <v>280</v>
      </c>
      <c r="B239" s="12" t="s">
        <v>10</v>
      </c>
      <c r="C239">
        <v>24.1</v>
      </c>
      <c r="D239">
        <v>20.2</v>
      </c>
      <c r="E239">
        <v>4.7</v>
      </c>
      <c r="F239">
        <v>0</v>
      </c>
      <c r="G239">
        <v>6.7</v>
      </c>
      <c r="H239">
        <v>4000</v>
      </c>
      <c r="I239">
        <v>7693.2</v>
      </c>
      <c r="J239">
        <v>1</v>
      </c>
      <c r="K239">
        <f>J239+energy_grid_portfolio_dataset!G239</f>
        <v>7.7</v>
      </c>
      <c r="L239">
        <f>HOUR(energy_timestamp[[#This Row],[timestamp]])</f>
        <v>21</v>
      </c>
    </row>
    <row r="240" spans="1:12" x14ac:dyDescent="0.3">
      <c r="A240" s="12" t="s">
        <v>281</v>
      </c>
      <c r="B240" s="12" t="s">
        <v>10</v>
      </c>
      <c r="C240">
        <v>25</v>
      </c>
      <c r="D240">
        <v>23.4</v>
      </c>
      <c r="E240">
        <v>6.2</v>
      </c>
      <c r="F240">
        <v>0</v>
      </c>
      <c r="G240">
        <v>15.5</v>
      </c>
      <c r="H240">
        <v>4000</v>
      </c>
      <c r="I240">
        <v>4762.3</v>
      </c>
      <c r="J240">
        <v>1</v>
      </c>
      <c r="K240">
        <f>J240+energy_grid_portfolio_dataset!G240</f>
        <v>16.5</v>
      </c>
      <c r="L240">
        <f>HOUR(energy_timestamp[[#This Row],[timestamp]])</f>
        <v>22</v>
      </c>
    </row>
    <row r="241" spans="1:12" x14ac:dyDescent="0.3">
      <c r="A241" s="12" t="s">
        <v>282</v>
      </c>
      <c r="B241" s="12" t="s">
        <v>10</v>
      </c>
      <c r="C241">
        <v>22.9</v>
      </c>
      <c r="D241">
        <v>36.4</v>
      </c>
      <c r="E241">
        <v>4.9000000000000004</v>
      </c>
      <c r="F241">
        <v>0</v>
      </c>
      <c r="G241">
        <v>7.5</v>
      </c>
      <c r="H241">
        <v>4000</v>
      </c>
      <c r="I241">
        <v>5001.3999999999996</v>
      </c>
      <c r="J241">
        <v>1</v>
      </c>
      <c r="K241">
        <f>J241+energy_grid_portfolio_dataset!G241</f>
        <v>8.5</v>
      </c>
      <c r="L241">
        <f>HOUR(energy_timestamp[[#This Row],[timestamp]])</f>
        <v>23</v>
      </c>
    </row>
    <row r="242" spans="1:12" x14ac:dyDescent="0.3">
      <c r="A242" s="12" t="s">
        <v>283</v>
      </c>
      <c r="B242" s="12" t="s">
        <v>10</v>
      </c>
      <c r="C242">
        <v>24</v>
      </c>
      <c r="D242">
        <v>28.9</v>
      </c>
      <c r="E242">
        <v>5.4</v>
      </c>
      <c r="F242">
        <v>0</v>
      </c>
      <c r="G242">
        <v>10.199999999999999</v>
      </c>
      <c r="H242">
        <v>4000</v>
      </c>
      <c r="I242">
        <v>5046.3999999999996</v>
      </c>
      <c r="J242">
        <v>1</v>
      </c>
      <c r="K242">
        <f>J242+energy_grid_portfolio_dataset!G242</f>
        <v>11.2</v>
      </c>
      <c r="L242">
        <f>HOUR(energy_timestamp[[#This Row],[timestamp]])</f>
        <v>0</v>
      </c>
    </row>
    <row r="243" spans="1:12" x14ac:dyDescent="0.3">
      <c r="A243" s="12" t="s">
        <v>284</v>
      </c>
      <c r="B243" s="12" t="s">
        <v>10</v>
      </c>
      <c r="C243">
        <v>24.4</v>
      </c>
      <c r="D243">
        <v>11.5</v>
      </c>
      <c r="E243">
        <v>7.6</v>
      </c>
      <c r="F243">
        <v>0</v>
      </c>
      <c r="G243">
        <v>28.1</v>
      </c>
      <c r="H243">
        <v>4000</v>
      </c>
      <c r="I243">
        <v>4936.5</v>
      </c>
      <c r="J243">
        <v>1</v>
      </c>
      <c r="K243">
        <f>J243+energy_grid_portfolio_dataset!G243</f>
        <v>29.1</v>
      </c>
      <c r="L243">
        <f>HOUR(energy_timestamp[[#This Row],[timestamp]])</f>
        <v>1</v>
      </c>
    </row>
    <row r="244" spans="1:12" x14ac:dyDescent="0.3">
      <c r="A244" s="12" t="s">
        <v>285</v>
      </c>
      <c r="B244" s="12" t="s">
        <v>10</v>
      </c>
      <c r="C244">
        <v>20.7</v>
      </c>
      <c r="D244">
        <v>27.6</v>
      </c>
      <c r="E244">
        <v>2.6</v>
      </c>
      <c r="F244">
        <v>0</v>
      </c>
      <c r="G244">
        <v>1.2</v>
      </c>
      <c r="H244">
        <v>4000</v>
      </c>
      <c r="I244">
        <v>4944</v>
      </c>
      <c r="J244">
        <v>1</v>
      </c>
      <c r="K244">
        <f>J244+energy_grid_portfolio_dataset!G244</f>
        <v>2.2000000000000002</v>
      </c>
      <c r="L244">
        <f>HOUR(energy_timestamp[[#This Row],[timestamp]])</f>
        <v>2</v>
      </c>
    </row>
    <row r="245" spans="1:12" x14ac:dyDescent="0.3">
      <c r="A245" s="12" t="s">
        <v>286</v>
      </c>
      <c r="B245" s="12" t="s">
        <v>10</v>
      </c>
      <c r="C245">
        <v>22.8</v>
      </c>
      <c r="D245">
        <v>16.100000000000001</v>
      </c>
      <c r="E245">
        <v>0.2</v>
      </c>
      <c r="F245">
        <v>0</v>
      </c>
      <c r="G245">
        <v>0</v>
      </c>
      <c r="H245">
        <v>4000</v>
      </c>
      <c r="I245">
        <v>5076.1000000000004</v>
      </c>
      <c r="J245">
        <v>1</v>
      </c>
      <c r="K245">
        <f>J245+energy_grid_portfolio_dataset!G245</f>
        <v>1</v>
      </c>
      <c r="L245">
        <f>HOUR(energy_timestamp[[#This Row],[timestamp]])</f>
        <v>3</v>
      </c>
    </row>
    <row r="246" spans="1:12" x14ac:dyDescent="0.3">
      <c r="A246" s="12" t="s">
        <v>287</v>
      </c>
      <c r="B246" s="12" t="s">
        <v>10</v>
      </c>
      <c r="C246">
        <v>21.4</v>
      </c>
      <c r="D246">
        <v>0</v>
      </c>
      <c r="E246">
        <v>5.5</v>
      </c>
      <c r="F246">
        <v>0</v>
      </c>
      <c r="G246">
        <v>10.8</v>
      </c>
      <c r="H246">
        <v>4000</v>
      </c>
      <c r="I246">
        <v>4882.2</v>
      </c>
      <c r="J246">
        <v>1</v>
      </c>
      <c r="K246">
        <f>J246+energy_grid_portfolio_dataset!G246</f>
        <v>11.8</v>
      </c>
      <c r="L246">
        <f>HOUR(energy_timestamp[[#This Row],[timestamp]])</f>
        <v>4</v>
      </c>
    </row>
    <row r="247" spans="1:12" x14ac:dyDescent="0.3">
      <c r="A247" s="12" t="s">
        <v>288</v>
      </c>
      <c r="B247" s="12" t="s">
        <v>10</v>
      </c>
      <c r="C247">
        <v>27.1</v>
      </c>
      <c r="D247">
        <v>5.7</v>
      </c>
      <c r="E247">
        <v>3.9</v>
      </c>
      <c r="F247">
        <v>0</v>
      </c>
      <c r="G247">
        <v>3.8</v>
      </c>
      <c r="H247">
        <v>4000</v>
      </c>
      <c r="I247">
        <v>5067.8999999999996</v>
      </c>
      <c r="J247">
        <v>1</v>
      </c>
      <c r="K247">
        <f>J247+energy_grid_portfolio_dataset!G247</f>
        <v>4.8</v>
      </c>
      <c r="L247">
        <f>HOUR(energy_timestamp[[#This Row],[timestamp]])</f>
        <v>5</v>
      </c>
    </row>
    <row r="248" spans="1:12" x14ac:dyDescent="0.3">
      <c r="A248" s="12" t="s">
        <v>289</v>
      </c>
      <c r="B248" s="12" t="s">
        <v>10</v>
      </c>
      <c r="C248">
        <v>26.3</v>
      </c>
      <c r="D248">
        <v>55.1</v>
      </c>
      <c r="E248">
        <v>5.8</v>
      </c>
      <c r="F248">
        <v>410.2</v>
      </c>
      <c r="G248">
        <v>12.2</v>
      </c>
      <c r="H248">
        <v>4000</v>
      </c>
      <c r="I248">
        <v>4949.5</v>
      </c>
      <c r="J248">
        <v>1</v>
      </c>
      <c r="K248">
        <f>J248+energy_grid_portfolio_dataset!G248</f>
        <v>13.2</v>
      </c>
      <c r="L248">
        <f>HOUR(energy_timestamp[[#This Row],[timestamp]])</f>
        <v>6</v>
      </c>
    </row>
    <row r="249" spans="1:12" x14ac:dyDescent="0.3">
      <c r="A249" s="12" t="s">
        <v>290</v>
      </c>
      <c r="B249" s="12" t="s">
        <v>10</v>
      </c>
      <c r="C249">
        <v>29.6</v>
      </c>
      <c r="D249">
        <v>29.2</v>
      </c>
      <c r="E249">
        <v>0</v>
      </c>
      <c r="F249">
        <v>1035.9000000000001</v>
      </c>
      <c r="G249">
        <v>0</v>
      </c>
      <c r="H249">
        <v>3881</v>
      </c>
      <c r="I249">
        <v>4916.8999999999996</v>
      </c>
      <c r="J249">
        <v>0</v>
      </c>
      <c r="K249">
        <f>J249+energy_grid_portfolio_dataset!G249</f>
        <v>0</v>
      </c>
      <c r="L249">
        <f>HOUR(energy_timestamp[[#This Row],[timestamp]])</f>
        <v>7</v>
      </c>
    </row>
    <row r="250" spans="1:12" x14ac:dyDescent="0.3">
      <c r="A250" s="12" t="s">
        <v>291</v>
      </c>
      <c r="B250" s="12" t="s">
        <v>10</v>
      </c>
      <c r="C250">
        <v>30</v>
      </c>
      <c r="D250">
        <v>5</v>
      </c>
      <c r="E250">
        <v>3.4</v>
      </c>
      <c r="F250">
        <v>1805.4</v>
      </c>
      <c r="G250">
        <v>2.6</v>
      </c>
      <c r="H250">
        <v>3104.9</v>
      </c>
      <c r="I250">
        <v>4912.8999999999996</v>
      </c>
      <c r="J250">
        <v>0</v>
      </c>
      <c r="K250">
        <f>J250+energy_grid_portfolio_dataset!G250</f>
        <v>2.6</v>
      </c>
      <c r="L250">
        <f>HOUR(energy_timestamp[[#This Row],[timestamp]])</f>
        <v>8</v>
      </c>
    </row>
    <row r="251" spans="1:12" x14ac:dyDescent="0.3">
      <c r="A251" s="12" t="s">
        <v>292</v>
      </c>
      <c r="B251" s="12" t="s">
        <v>10</v>
      </c>
      <c r="C251">
        <v>33.200000000000003</v>
      </c>
      <c r="D251">
        <v>13.6</v>
      </c>
      <c r="E251">
        <v>5.0999999999999996</v>
      </c>
      <c r="F251">
        <v>2122.6</v>
      </c>
      <c r="G251">
        <v>8.6999999999999993</v>
      </c>
      <c r="H251">
        <v>3088.4</v>
      </c>
      <c r="I251">
        <v>5219.7</v>
      </c>
      <c r="J251">
        <v>0</v>
      </c>
      <c r="K251">
        <f>J251+energy_grid_portfolio_dataset!G251</f>
        <v>8.6999999999999993</v>
      </c>
      <c r="L251">
        <f>HOUR(energy_timestamp[[#This Row],[timestamp]])</f>
        <v>9</v>
      </c>
    </row>
    <row r="252" spans="1:12" x14ac:dyDescent="0.3">
      <c r="A252" s="12" t="s">
        <v>293</v>
      </c>
      <c r="B252" s="12" t="s">
        <v>10</v>
      </c>
      <c r="C252">
        <v>34.6</v>
      </c>
      <c r="D252">
        <v>26.2</v>
      </c>
      <c r="E252">
        <v>2.7</v>
      </c>
      <c r="F252">
        <v>2207.3000000000002</v>
      </c>
      <c r="G252">
        <v>1.3</v>
      </c>
      <c r="H252">
        <v>4000</v>
      </c>
      <c r="I252">
        <v>7359.9</v>
      </c>
      <c r="J252">
        <v>1</v>
      </c>
      <c r="K252">
        <f>J252+energy_grid_portfolio_dataset!G252</f>
        <v>2.2999999999999998</v>
      </c>
      <c r="L252">
        <f>HOUR(energy_timestamp[[#This Row],[timestamp]])</f>
        <v>10</v>
      </c>
    </row>
    <row r="253" spans="1:12" x14ac:dyDescent="0.3">
      <c r="A253" s="12" t="s">
        <v>294</v>
      </c>
      <c r="B253" s="12" t="s">
        <v>10</v>
      </c>
      <c r="C253">
        <v>34.4</v>
      </c>
      <c r="D253">
        <v>42.9</v>
      </c>
      <c r="E253">
        <v>5.3</v>
      </c>
      <c r="F253">
        <v>2046.4</v>
      </c>
      <c r="G253">
        <v>9.4</v>
      </c>
      <c r="H253">
        <v>4000</v>
      </c>
      <c r="I253">
        <v>7254.7</v>
      </c>
      <c r="J253">
        <v>1</v>
      </c>
      <c r="K253">
        <f>J253+energy_grid_portfolio_dataset!G253</f>
        <v>10.4</v>
      </c>
      <c r="L253">
        <f>HOUR(energy_timestamp[[#This Row],[timestamp]])</f>
        <v>11</v>
      </c>
    </row>
    <row r="254" spans="1:12" x14ac:dyDescent="0.3">
      <c r="A254" s="12" t="s">
        <v>295</v>
      </c>
      <c r="B254" s="12" t="s">
        <v>10</v>
      </c>
      <c r="C254">
        <v>33.200000000000003</v>
      </c>
      <c r="D254">
        <v>51.3</v>
      </c>
      <c r="E254">
        <v>4.4000000000000004</v>
      </c>
      <c r="F254">
        <v>1921.7</v>
      </c>
      <c r="G254">
        <v>5.4</v>
      </c>
      <c r="H254">
        <v>4000</v>
      </c>
      <c r="I254">
        <v>7307.4</v>
      </c>
      <c r="J254">
        <v>1</v>
      </c>
      <c r="K254">
        <f>J254+energy_grid_portfolio_dataset!G254</f>
        <v>6.4</v>
      </c>
      <c r="L254">
        <f>HOUR(energy_timestamp[[#This Row],[timestamp]])</f>
        <v>12</v>
      </c>
    </row>
    <row r="255" spans="1:12" x14ac:dyDescent="0.3">
      <c r="A255" s="12" t="s">
        <v>296</v>
      </c>
      <c r="B255" s="12" t="s">
        <v>10</v>
      </c>
      <c r="C255">
        <v>32.799999999999997</v>
      </c>
      <c r="D255">
        <v>59.7</v>
      </c>
      <c r="E255">
        <v>4.4000000000000004</v>
      </c>
      <c r="F255">
        <v>1702.1</v>
      </c>
      <c r="G255">
        <v>5.4</v>
      </c>
      <c r="H255">
        <v>4000</v>
      </c>
      <c r="I255">
        <v>7461.3</v>
      </c>
      <c r="J255">
        <v>1</v>
      </c>
      <c r="K255">
        <f>J255+energy_grid_portfolio_dataset!G255</f>
        <v>6.4</v>
      </c>
      <c r="L255">
        <f>HOUR(energy_timestamp[[#This Row],[timestamp]])</f>
        <v>13</v>
      </c>
    </row>
    <row r="256" spans="1:12" x14ac:dyDescent="0.3">
      <c r="A256" s="12" t="s">
        <v>297</v>
      </c>
      <c r="B256" s="12" t="s">
        <v>10</v>
      </c>
      <c r="C256">
        <v>32.5</v>
      </c>
      <c r="D256">
        <v>18.600000000000001</v>
      </c>
      <c r="E256">
        <v>4.8</v>
      </c>
      <c r="F256">
        <v>2351.1</v>
      </c>
      <c r="G256">
        <v>7.3</v>
      </c>
      <c r="H256">
        <v>4000</v>
      </c>
      <c r="I256">
        <v>7052.3</v>
      </c>
      <c r="J256">
        <v>1</v>
      </c>
      <c r="K256">
        <f>J256+energy_grid_portfolio_dataset!G256</f>
        <v>8.3000000000000007</v>
      </c>
      <c r="L256">
        <f>HOUR(energy_timestamp[[#This Row],[timestamp]])</f>
        <v>14</v>
      </c>
    </row>
    <row r="257" spans="1:12" x14ac:dyDescent="0.3">
      <c r="A257" s="12" t="s">
        <v>298</v>
      </c>
      <c r="B257" s="12" t="s">
        <v>10</v>
      </c>
      <c r="C257">
        <v>31.4</v>
      </c>
      <c r="D257">
        <v>24.5</v>
      </c>
      <c r="E257">
        <v>8.3000000000000007</v>
      </c>
      <c r="F257">
        <v>1943</v>
      </c>
      <c r="G257">
        <v>36.4</v>
      </c>
      <c r="H257">
        <v>3049</v>
      </c>
      <c r="I257">
        <v>5028.3999999999996</v>
      </c>
      <c r="J257">
        <v>0</v>
      </c>
      <c r="K257">
        <f>J257+energy_grid_portfolio_dataset!G257</f>
        <v>36.4</v>
      </c>
      <c r="L257">
        <f>HOUR(energy_timestamp[[#This Row],[timestamp]])</f>
        <v>15</v>
      </c>
    </row>
    <row r="258" spans="1:12" x14ac:dyDescent="0.3">
      <c r="A258" s="12" t="s">
        <v>299</v>
      </c>
      <c r="B258" s="12" t="s">
        <v>10</v>
      </c>
      <c r="C258">
        <v>31.7</v>
      </c>
      <c r="D258">
        <v>25.8</v>
      </c>
      <c r="E258">
        <v>4.2</v>
      </c>
      <c r="F258">
        <v>1533.2</v>
      </c>
      <c r="G258">
        <v>4.9000000000000004</v>
      </c>
      <c r="H258">
        <v>3671</v>
      </c>
      <c r="I258">
        <v>5209.1000000000004</v>
      </c>
      <c r="J258">
        <v>0</v>
      </c>
      <c r="K258">
        <f>J258+energy_grid_portfolio_dataset!G258</f>
        <v>4.9000000000000004</v>
      </c>
      <c r="L258">
        <f>HOUR(energy_timestamp[[#This Row],[timestamp]])</f>
        <v>16</v>
      </c>
    </row>
    <row r="259" spans="1:12" x14ac:dyDescent="0.3">
      <c r="A259" s="12" t="s">
        <v>300</v>
      </c>
      <c r="B259" s="12" t="s">
        <v>10</v>
      </c>
      <c r="C259">
        <v>28</v>
      </c>
      <c r="D259">
        <v>19.899999999999999</v>
      </c>
      <c r="E259">
        <v>0.7</v>
      </c>
      <c r="F259">
        <v>1120.8</v>
      </c>
      <c r="G259">
        <v>0</v>
      </c>
      <c r="H259">
        <v>3921.2</v>
      </c>
      <c r="I259">
        <v>5042</v>
      </c>
      <c r="J259">
        <v>0</v>
      </c>
      <c r="K259">
        <f>J259+energy_grid_portfolio_dataset!G259</f>
        <v>0</v>
      </c>
      <c r="L259">
        <f>HOUR(energy_timestamp[[#This Row],[timestamp]])</f>
        <v>17</v>
      </c>
    </row>
    <row r="260" spans="1:12" x14ac:dyDescent="0.3">
      <c r="A260" s="12" t="s">
        <v>301</v>
      </c>
      <c r="B260" s="12" t="s">
        <v>10</v>
      </c>
      <c r="C260">
        <v>29</v>
      </c>
      <c r="D260">
        <v>15.3</v>
      </c>
      <c r="E260">
        <v>7.1</v>
      </c>
      <c r="F260">
        <v>595.9</v>
      </c>
      <c r="G260">
        <v>23.4</v>
      </c>
      <c r="H260">
        <v>4000</v>
      </c>
      <c r="I260">
        <v>7759.9</v>
      </c>
      <c r="J260">
        <v>1</v>
      </c>
      <c r="K260">
        <f>J260+energy_grid_portfolio_dataset!G260</f>
        <v>24.4</v>
      </c>
      <c r="L260">
        <f>HOUR(energy_timestamp[[#This Row],[timestamp]])</f>
        <v>18</v>
      </c>
    </row>
    <row r="261" spans="1:12" x14ac:dyDescent="0.3">
      <c r="A261" s="12" t="s">
        <v>302</v>
      </c>
      <c r="B261" s="12" t="s">
        <v>10</v>
      </c>
      <c r="C261">
        <v>24.3</v>
      </c>
      <c r="D261">
        <v>29.5</v>
      </c>
      <c r="E261">
        <v>6.1</v>
      </c>
      <c r="F261">
        <v>0</v>
      </c>
      <c r="G261">
        <v>14.5</v>
      </c>
      <c r="H261">
        <v>4000</v>
      </c>
      <c r="I261">
        <v>7516.1</v>
      </c>
      <c r="J261">
        <v>1</v>
      </c>
      <c r="K261">
        <f>J261+energy_grid_portfolio_dataset!G261</f>
        <v>15.5</v>
      </c>
      <c r="L261">
        <f>HOUR(energy_timestamp[[#This Row],[timestamp]])</f>
        <v>19</v>
      </c>
    </row>
    <row r="262" spans="1:12" x14ac:dyDescent="0.3">
      <c r="A262" s="12" t="s">
        <v>303</v>
      </c>
      <c r="B262" s="12" t="s">
        <v>10</v>
      </c>
      <c r="C262">
        <v>24.3</v>
      </c>
      <c r="D262">
        <v>46.6</v>
      </c>
      <c r="E262">
        <v>3.9</v>
      </c>
      <c r="F262">
        <v>0</v>
      </c>
      <c r="G262">
        <v>3.9</v>
      </c>
      <c r="H262">
        <v>4000</v>
      </c>
      <c r="I262">
        <v>7952.6</v>
      </c>
      <c r="J262">
        <v>1</v>
      </c>
      <c r="K262">
        <f>J262+energy_grid_portfolio_dataset!G262</f>
        <v>4.9000000000000004</v>
      </c>
      <c r="L262">
        <f>HOUR(energy_timestamp[[#This Row],[timestamp]])</f>
        <v>20</v>
      </c>
    </row>
    <row r="263" spans="1:12" x14ac:dyDescent="0.3">
      <c r="A263" s="12" t="s">
        <v>304</v>
      </c>
      <c r="B263" s="12" t="s">
        <v>10</v>
      </c>
      <c r="C263">
        <v>25.1</v>
      </c>
      <c r="D263">
        <v>38</v>
      </c>
      <c r="E263">
        <v>0.8</v>
      </c>
      <c r="F263">
        <v>0</v>
      </c>
      <c r="G263">
        <v>0</v>
      </c>
      <c r="H263">
        <v>4000</v>
      </c>
      <c r="I263">
        <v>7674.1</v>
      </c>
      <c r="J263">
        <v>1</v>
      </c>
      <c r="K263">
        <f>J263+energy_grid_portfolio_dataset!G263</f>
        <v>1</v>
      </c>
      <c r="L263">
        <f>HOUR(energy_timestamp[[#This Row],[timestamp]])</f>
        <v>21</v>
      </c>
    </row>
    <row r="264" spans="1:12" x14ac:dyDescent="0.3">
      <c r="A264" s="12" t="s">
        <v>305</v>
      </c>
      <c r="B264" s="12" t="s">
        <v>10</v>
      </c>
      <c r="C264">
        <v>24.9</v>
      </c>
      <c r="D264">
        <v>12.5</v>
      </c>
      <c r="E264">
        <v>4.8</v>
      </c>
      <c r="F264">
        <v>0</v>
      </c>
      <c r="G264">
        <v>7</v>
      </c>
      <c r="H264">
        <v>4000</v>
      </c>
      <c r="I264">
        <v>5171.5</v>
      </c>
      <c r="J264">
        <v>1</v>
      </c>
      <c r="K264">
        <f>J264+energy_grid_portfolio_dataset!G264</f>
        <v>8</v>
      </c>
      <c r="L264">
        <f>HOUR(energy_timestamp[[#This Row],[timestamp]])</f>
        <v>22</v>
      </c>
    </row>
    <row r="265" spans="1:12" x14ac:dyDescent="0.3">
      <c r="A265" s="12" t="s">
        <v>306</v>
      </c>
      <c r="B265" s="12" t="s">
        <v>10</v>
      </c>
      <c r="C265">
        <v>22.6</v>
      </c>
      <c r="D265">
        <v>14</v>
      </c>
      <c r="E265">
        <v>2.7</v>
      </c>
      <c r="F265">
        <v>0</v>
      </c>
      <c r="G265">
        <v>1.2</v>
      </c>
      <c r="H265">
        <v>4000</v>
      </c>
      <c r="I265">
        <v>5024.1000000000004</v>
      </c>
      <c r="J265">
        <v>1</v>
      </c>
      <c r="K265">
        <f>J265+energy_grid_portfolio_dataset!G265</f>
        <v>2.2000000000000002</v>
      </c>
      <c r="L265">
        <f>HOUR(energy_timestamp[[#This Row],[timestamp]])</f>
        <v>23</v>
      </c>
    </row>
    <row r="266" spans="1:12" x14ac:dyDescent="0.3">
      <c r="A266" s="12" t="s">
        <v>307</v>
      </c>
      <c r="B266" s="12" t="s">
        <v>10</v>
      </c>
      <c r="C266">
        <v>23.8</v>
      </c>
      <c r="D266">
        <v>35.9</v>
      </c>
      <c r="E266">
        <v>3.3</v>
      </c>
      <c r="F266">
        <v>0</v>
      </c>
      <c r="G266">
        <v>2.2000000000000002</v>
      </c>
      <c r="H266">
        <v>4000</v>
      </c>
      <c r="I266">
        <v>4316.2</v>
      </c>
      <c r="J266">
        <v>1</v>
      </c>
      <c r="K266">
        <f>J266+energy_grid_portfolio_dataset!G266</f>
        <v>3.2</v>
      </c>
      <c r="L266">
        <f>HOUR(energy_timestamp[[#This Row],[timestamp]])</f>
        <v>0</v>
      </c>
    </row>
    <row r="267" spans="1:12" x14ac:dyDescent="0.3">
      <c r="A267" s="12" t="s">
        <v>308</v>
      </c>
      <c r="B267" s="12" t="s">
        <v>10</v>
      </c>
      <c r="C267">
        <v>17.899999999999999</v>
      </c>
      <c r="D267">
        <v>48</v>
      </c>
      <c r="E267">
        <v>0.5</v>
      </c>
      <c r="F267">
        <v>0</v>
      </c>
      <c r="G267">
        <v>0</v>
      </c>
      <c r="H267">
        <v>4000</v>
      </c>
      <c r="I267">
        <v>4435.8</v>
      </c>
      <c r="J267">
        <v>1</v>
      </c>
      <c r="K267">
        <f>J267+energy_grid_portfolio_dataset!G267</f>
        <v>1</v>
      </c>
      <c r="L267">
        <f>HOUR(energy_timestamp[[#This Row],[timestamp]])</f>
        <v>1</v>
      </c>
    </row>
    <row r="268" spans="1:12" x14ac:dyDescent="0.3">
      <c r="A268" s="12" t="s">
        <v>309</v>
      </c>
      <c r="B268" s="12" t="s">
        <v>10</v>
      </c>
      <c r="C268">
        <v>21.1</v>
      </c>
      <c r="D268">
        <v>0</v>
      </c>
      <c r="E268">
        <v>6.3</v>
      </c>
      <c r="F268">
        <v>0</v>
      </c>
      <c r="G268">
        <v>16.2</v>
      </c>
      <c r="H268">
        <v>4000</v>
      </c>
      <c r="I268">
        <v>4265.6000000000004</v>
      </c>
      <c r="J268">
        <v>1</v>
      </c>
      <c r="K268">
        <f>J268+energy_grid_portfolio_dataset!G268</f>
        <v>17.2</v>
      </c>
      <c r="L268">
        <f>HOUR(energy_timestamp[[#This Row],[timestamp]])</f>
        <v>2</v>
      </c>
    </row>
    <row r="269" spans="1:12" x14ac:dyDescent="0.3">
      <c r="A269" s="12" t="s">
        <v>310</v>
      </c>
      <c r="B269" s="12" t="s">
        <v>10</v>
      </c>
      <c r="C269">
        <v>24.3</v>
      </c>
      <c r="D269">
        <v>24.1</v>
      </c>
      <c r="E269">
        <v>5</v>
      </c>
      <c r="F269">
        <v>0</v>
      </c>
      <c r="G269">
        <v>7.8</v>
      </c>
      <c r="H269">
        <v>4000</v>
      </c>
      <c r="I269">
        <v>4249.8</v>
      </c>
      <c r="J269">
        <v>1</v>
      </c>
      <c r="K269">
        <f>J269+energy_grid_portfolio_dataset!G269</f>
        <v>8.8000000000000007</v>
      </c>
      <c r="L269">
        <f>HOUR(energy_timestamp[[#This Row],[timestamp]])</f>
        <v>3</v>
      </c>
    </row>
    <row r="270" spans="1:12" x14ac:dyDescent="0.3">
      <c r="A270" s="12" t="s">
        <v>311</v>
      </c>
      <c r="B270" s="12" t="s">
        <v>10</v>
      </c>
      <c r="C270">
        <v>23.1</v>
      </c>
      <c r="D270">
        <v>44.9</v>
      </c>
      <c r="E270">
        <v>3</v>
      </c>
      <c r="F270">
        <v>0</v>
      </c>
      <c r="G270">
        <v>1.7</v>
      </c>
      <c r="H270">
        <v>4000</v>
      </c>
      <c r="I270">
        <v>4331.5</v>
      </c>
      <c r="J270">
        <v>1</v>
      </c>
      <c r="K270">
        <f>J270+energy_grid_portfolio_dataset!G270</f>
        <v>2.7</v>
      </c>
      <c r="L270">
        <f>HOUR(energy_timestamp[[#This Row],[timestamp]])</f>
        <v>4</v>
      </c>
    </row>
    <row r="271" spans="1:12" x14ac:dyDescent="0.3">
      <c r="A271" s="12" t="s">
        <v>312</v>
      </c>
      <c r="B271" s="12" t="s">
        <v>10</v>
      </c>
      <c r="C271">
        <v>25.8</v>
      </c>
      <c r="D271">
        <v>55</v>
      </c>
      <c r="E271">
        <v>5.7</v>
      </c>
      <c r="F271">
        <v>0</v>
      </c>
      <c r="G271">
        <v>11.9</v>
      </c>
      <c r="H271">
        <v>4000</v>
      </c>
      <c r="I271">
        <v>4086.5</v>
      </c>
      <c r="J271">
        <v>1</v>
      </c>
      <c r="K271">
        <f>J271+energy_grid_portfolio_dataset!G271</f>
        <v>12.9</v>
      </c>
      <c r="L271">
        <f>HOUR(energy_timestamp[[#This Row],[timestamp]])</f>
        <v>5</v>
      </c>
    </row>
    <row r="272" spans="1:12" x14ac:dyDescent="0.3">
      <c r="A272" s="12" t="s">
        <v>313</v>
      </c>
      <c r="B272" s="12" t="s">
        <v>10</v>
      </c>
      <c r="C272">
        <v>27.5</v>
      </c>
      <c r="D272">
        <v>18.600000000000001</v>
      </c>
      <c r="E272">
        <v>8.1999999999999993</v>
      </c>
      <c r="F272">
        <v>580.79999999999995</v>
      </c>
      <c r="G272">
        <v>34.700000000000003</v>
      </c>
      <c r="H272">
        <v>3652.2</v>
      </c>
      <c r="I272">
        <v>4267.7</v>
      </c>
      <c r="J272">
        <v>0</v>
      </c>
      <c r="K272">
        <f>J272+energy_grid_portfolio_dataset!G272</f>
        <v>34.700000000000003</v>
      </c>
      <c r="L272">
        <f>HOUR(energy_timestamp[[#This Row],[timestamp]])</f>
        <v>6</v>
      </c>
    </row>
    <row r="273" spans="1:12" x14ac:dyDescent="0.3">
      <c r="A273" s="12" t="s">
        <v>314</v>
      </c>
      <c r="B273" s="12" t="s">
        <v>10</v>
      </c>
      <c r="C273">
        <v>30.2</v>
      </c>
      <c r="D273">
        <v>45.6</v>
      </c>
      <c r="E273">
        <v>4.5</v>
      </c>
      <c r="F273">
        <v>886.1</v>
      </c>
      <c r="G273">
        <v>5.7</v>
      </c>
      <c r="H273">
        <v>3485.5</v>
      </c>
      <c r="I273">
        <v>4377.3</v>
      </c>
      <c r="J273">
        <v>0</v>
      </c>
      <c r="K273">
        <f>J273+energy_grid_portfolio_dataset!G273</f>
        <v>5.7</v>
      </c>
      <c r="L273">
        <f>HOUR(energy_timestamp[[#This Row],[timestamp]])</f>
        <v>7</v>
      </c>
    </row>
    <row r="274" spans="1:12" x14ac:dyDescent="0.3">
      <c r="A274" s="12" t="s">
        <v>315</v>
      </c>
      <c r="B274" s="12" t="s">
        <v>10</v>
      </c>
      <c r="C274">
        <v>30.7</v>
      </c>
      <c r="D274">
        <v>23.6</v>
      </c>
      <c r="E274">
        <v>3.9</v>
      </c>
      <c r="F274">
        <v>1561.9</v>
      </c>
      <c r="G274">
        <v>3.9</v>
      </c>
      <c r="H274">
        <v>2715.3</v>
      </c>
      <c r="I274">
        <v>4281.1000000000004</v>
      </c>
      <c r="J274">
        <v>0</v>
      </c>
      <c r="K274">
        <f>J274+energy_grid_portfolio_dataset!G274</f>
        <v>3.9</v>
      </c>
      <c r="L274">
        <f>HOUR(energy_timestamp[[#This Row],[timestamp]])</f>
        <v>8</v>
      </c>
    </row>
    <row r="275" spans="1:12" x14ac:dyDescent="0.3">
      <c r="A275" s="12" t="s">
        <v>316</v>
      </c>
      <c r="B275" s="12" t="s">
        <v>10</v>
      </c>
      <c r="C275">
        <v>32.299999999999997</v>
      </c>
      <c r="D275">
        <v>39.700000000000003</v>
      </c>
      <c r="E275">
        <v>3.8</v>
      </c>
      <c r="F275">
        <v>1694.5</v>
      </c>
      <c r="G275">
        <v>3.6</v>
      </c>
      <c r="H275">
        <v>2731</v>
      </c>
      <c r="I275">
        <v>4429.1000000000004</v>
      </c>
      <c r="J275">
        <v>0</v>
      </c>
      <c r="K275">
        <f>J275+energy_grid_portfolio_dataset!G275</f>
        <v>3.6</v>
      </c>
      <c r="L275">
        <f>HOUR(energy_timestamp[[#This Row],[timestamp]])</f>
        <v>9</v>
      </c>
    </row>
    <row r="276" spans="1:12" x14ac:dyDescent="0.3">
      <c r="A276" s="12" t="s">
        <v>317</v>
      </c>
      <c r="B276" s="12" t="s">
        <v>10</v>
      </c>
      <c r="C276">
        <v>30.2</v>
      </c>
      <c r="D276">
        <v>43.3</v>
      </c>
      <c r="E276">
        <v>4.7</v>
      </c>
      <c r="F276">
        <v>1883.2</v>
      </c>
      <c r="G276">
        <v>6.6</v>
      </c>
      <c r="H276">
        <v>4000</v>
      </c>
      <c r="I276">
        <v>6251.8</v>
      </c>
      <c r="J276">
        <v>1</v>
      </c>
      <c r="K276">
        <f>J276+energy_grid_portfolio_dataset!G276</f>
        <v>7.6</v>
      </c>
      <c r="L276">
        <f>HOUR(energy_timestamp[[#This Row],[timestamp]])</f>
        <v>10</v>
      </c>
    </row>
    <row r="277" spans="1:12" x14ac:dyDescent="0.3">
      <c r="A277" s="12" t="s">
        <v>318</v>
      </c>
      <c r="B277" s="12" t="s">
        <v>10</v>
      </c>
      <c r="C277">
        <v>29.5</v>
      </c>
      <c r="D277">
        <v>66.8</v>
      </c>
      <c r="E277">
        <v>3.7</v>
      </c>
      <c r="F277">
        <v>1557.8</v>
      </c>
      <c r="G277">
        <v>3.3</v>
      </c>
      <c r="H277">
        <v>4000</v>
      </c>
      <c r="I277">
        <v>6389.7</v>
      </c>
      <c r="J277">
        <v>1</v>
      </c>
      <c r="K277">
        <f>J277+energy_grid_portfolio_dataset!G277</f>
        <v>4.3</v>
      </c>
      <c r="L277">
        <f>HOUR(energy_timestamp[[#This Row],[timestamp]])</f>
        <v>11</v>
      </c>
    </row>
    <row r="278" spans="1:12" x14ac:dyDescent="0.3">
      <c r="A278" s="12" t="s">
        <v>319</v>
      </c>
      <c r="B278" s="12" t="s">
        <v>10</v>
      </c>
      <c r="C278">
        <v>32.4</v>
      </c>
      <c r="D278">
        <v>37.299999999999997</v>
      </c>
      <c r="E278">
        <v>1.9</v>
      </c>
      <c r="F278">
        <v>2217.6</v>
      </c>
      <c r="G278">
        <v>0.4</v>
      </c>
      <c r="H278">
        <v>4000</v>
      </c>
      <c r="I278">
        <v>6406.2</v>
      </c>
      <c r="J278">
        <v>1</v>
      </c>
      <c r="K278">
        <f>J278+energy_grid_portfolio_dataset!G278</f>
        <v>1.4</v>
      </c>
      <c r="L278">
        <f>HOUR(energy_timestamp[[#This Row],[timestamp]])</f>
        <v>12</v>
      </c>
    </row>
    <row r="279" spans="1:12" x14ac:dyDescent="0.3">
      <c r="A279" s="12" t="s">
        <v>320</v>
      </c>
      <c r="B279" s="12" t="s">
        <v>10</v>
      </c>
      <c r="C279">
        <v>36.700000000000003</v>
      </c>
      <c r="D279">
        <v>21.2</v>
      </c>
      <c r="E279">
        <v>4.4000000000000004</v>
      </c>
      <c r="F279">
        <v>2491</v>
      </c>
      <c r="G279">
        <v>5.6</v>
      </c>
      <c r="H279">
        <v>3649.8</v>
      </c>
      <c r="I279">
        <v>6146.4</v>
      </c>
      <c r="J279">
        <v>0</v>
      </c>
      <c r="K279">
        <f>J279+energy_grid_portfolio_dataset!G279</f>
        <v>5.6</v>
      </c>
      <c r="L279">
        <f>HOUR(energy_timestamp[[#This Row],[timestamp]])</f>
        <v>13</v>
      </c>
    </row>
    <row r="280" spans="1:12" x14ac:dyDescent="0.3">
      <c r="A280" s="12" t="s">
        <v>321</v>
      </c>
      <c r="B280" s="12" t="s">
        <v>10</v>
      </c>
      <c r="C280">
        <v>33.9</v>
      </c>
      <c r="D280">
        <v>28</v>
      </c>
      <c r="E280">
        <v>4.7</v>
      </c>
      <c r="F280">
        <v>2173</v>
      </c>
      <c r="G280">
        <v>6.8</v>
      </c>
      <c r="H280">
        <v>4000</v>
      </c>
      <c r="I280">
        <v>6370.5</v>
      </c>
      <c r="J280">
        <v>1</v>
      </c>
      <c r="K280">
        <f>J280+energy_grid_portfolio_dataset!G280</f>
        <v>7.8</v>
      </c>
      <c r="L280">
        <f>HOUR(energy_timestamp[[#This Row],[timestamp]])</f>
        <v>14</v>
      </c>
    </row>
    <row r="281" spans="1:12" x14ac:dyDescent="0.3">
      <c r="A281" s="12" t="s">
        <v>322</v>
      </c>
      <c r="B281" s="12" t="s">
        <v>10</v>
      </c>
      <c r="C281">
        <v>32.200000000000003</v>
      </c>
      <c r="D281">
        <v>29</v>
      </c>
      <c r="E281">
        <v>6.1</v>
      </c>
      <c r="F281">
        <v>1869</v>
      </c>
      <c r="G281">
        <v>14.5</v>
      </c>
      <c r="H281">
        <v>2797</v>
      </c>
      <c r="I281">
        <v>4680.5</v>
      </c>
      <c r="J281">
        <v>0</v>
      </c>
      <c r="K281">
        <f>J281+energy_grid_portfolio_dataset!G281</f>
        <v>14.5</v>
      </c>
      <c r="L281">
        <f>HOUR(energy_timestamp[[#This Row],[timestamp]])</f>
        <v>15</v>
      </c>
    </row>
    <row r="282" spans="1:12" x14ac:dyDescent="0.3">
      <c r="A282" s="12" t="s">
        <v>323</v>
      </c>
      <c r="B282" s="12" t="s">
        <v>10</v>
      </c>
      <c r="C282">
        <v>32.799999999999997</v>
      </c>
      <c r="D282">
        <v>37.799999999999997</v>
      </c>
      <c r="E282">
        <v>1.7</v>
      </c>
      <c r="F282">
        <v>1375.9</v>
      </c>
      <c r="G282">
        <v>0.3</v>
      </c>
      <c r="H282">
        <v>3109.6</v>
      </c>
      <c r="I282">
        <v>4485.8</v>
      </c>
      <c r="J282">
        <v>0</v>
      </c>
      <c r="K282">
        <f>J282+energy_grid_portfolio_dataset!G282</f>
        <v>0.3</v>
      </c>
      <c r="L282">
        <f>HOUR(energy_timestamp[[#This Row],[timestamp]])</f>
        <v>16</v>
      </c>
    </row>
    <row r="283" spans="1:12" x14ac:dyDescent="0.3">
      <c r="A283" s="12" t="s">
        <v>324</v>
      </c>
      <c r="B283" s="12" t="s">
        <v>10</v>
      </c>
      <c r="C283">
        <v>27.8</v>
      </c>
      <c r="D283">
        <v>31.1</v>
      </c>
      <c r="E283">
        <v>2.5</v>
      </c>
      <c r="F283">
        <v>1018.7</v>
      </c>
      <c r="G283">
        <v>1</v>
      </c>
      <c r="H283">
        <v>3545.3</v>
      </c>
      <c r="I283">
        <v>4565</v>
      </c>
      <c r="J283">
        <v>0</v>
      </c>
      <c r="K283">
        <f>J283+energy_grid_portfolio_dataset!G283</f>
        <v>1</v>
      </c>
      <c r="L283">
        <f>HOUR(energy_timestamp[[#This Row],[timestamp]])</f>
        <v>17</v>
      </c>
    </row>
    <row r="284" spans="1:12" x14ac:dyDescent="0.3">
      <c r="A284" s="12" t="s">
        <v>325</v>
      </c>
      <c r="B284" s="12" t="s">
        <v>10</v>
      </c>
      <c r="C284">
        <v>28.5</v>
      </c>
      <c r="D284">
        <v>31.4</v>
      </c>
      <c r="E284">
        <v>4.8</v>
      </c>
      <c r="F284">
        <v>520.70000000000005</v>
      </c>
      <c r="G284">
        <v>7.3</v>
      </c>
      <c r="H284">
        <v>4000</v>
      </c>
      <c r="I284">
        <v>6710.4</v>
      </c>
      <c r="J284">
        <v>1</v>
      </c>
      <c r="K284">
        <f>J284+energy_grid_portfolio_dataset!G284</f>
        <v>8.3000000000000007</v>
      </c>
      <c r="L284">
        <f>HOUR(energy_timestamp[[#This Row],[timestamp]])</f>
        <v>18</v>
      </c>
    </row>
    <row r="285" spans="1:12" x14ac:dyDescent="0.3">
      <c r="A285" s="12" t="s">
        <v>326</v>
      </c>
      <c r="B285" s="12" t="s">
        <v>10</v>
      </c>
      <c r="C285">
        <v>27.1</v>
      </c>
      <c r="D285">
        <v>20.100000000000001</v>
      </c>
      <c r="E285">
        <v>5.9</v>
      </c>
      <c r="F285">
        <v>0</v>
      </c>
      <c r="G285">
        <v>13.3</v>
      </c>
      <c r="H285">
        <v>4000</v>
      </c>
      <c r="I285">
        <v>6962.1</v>
      </c>
      <c r="J285">
        <v>1</v>
      </c>
      <c r="K285">
        <f>J285+energy_grid_portfolio_dataset!G285</f>
        <v>14.3</v>
      </c>
      <c r="L285">
        <f>HOUR(energy_timestamp[[#This Row],[timestamp]])</f>
        <v>19</v>
      </c>
    </row>
    <row r="286" spans="1:12" x14ac:dyDescent="0.3">
      <c r="A286" s="12" t="s">
        <v>327</v>
      </c>
      <c r="B286" s="12" t="s">
        <v>10</v>
      </c>
      <c r="C286">
        <v>23.2</v>
      </c>
      <c r="D286">
        <v>36.9</v>
      </c>
      <c r="E286">
        <v>5.4</v>
      </c>
      <c r="F286">
        <v>0</v>
      </c>
      <c r="G286">
        <v>10.1</v>
      </c>
      <c r="H286">
        <v>4000</v>
      </c>
      <c r="I286">
        <v>6898.4</v>
      </c>
      <c r="J286">
        <v>1</v>
      </c>
      <c r="K286">
        <f>J286+energy_grid_portfolio_dataset!G286</f>
        <v>11.1</v>
      </c>
      <c r="L286">
        <f>HOUR(energy_timestamp[[#This Row],[timestamp]])</f>
        <v>20</v>
      </c>
    </row>
    <row r="287" spans="1:12" x14ac:dyDescent="0.3">
      <c r="A287" s="12" t="s">
        <v>328</v>
      </c>
      <c r="B287" s="12" t="s">
        <v>10</v>
      </c>
      <c r="C287">
        <v>25.8</v>
      </c>
      <c r="D287">
        <v>22</v>
      </c>
      <c r="E287">
        <v>4.3</v>
      </c>
      <c r="F287">
        <v>0</v>
      </c>
      <c r="G287">
        <v>4.9000000000000004</v>
      </c>
      <c r="H287">
        <v>4000</v>
      </c>
      <c r="I287">
        <v>6675.4</v>
      </c>
      <c r="J287">
        <v>1</v>
      </c>
      <c r="K287">
        <f>J287+energy_grid_portfolio_dataset!G287</f>
        <v>5.9</v>
      </c>
      <c r="L287">
        <f>HOUR(energy_timestamp[[#This Row],[timestamp]])</f>
        <v>21</v>
      </c>
    </row>
    <row r="288" spans="1:12" x14ac:dyDescent="0.3">
      <c r="A288" s="12" t="s">
        <v>329</v>
      </c>
      <c r="B288" s="12" t="s">
        <v>10</v>
      </c>
      <c r="C288">
        <v>22.8</v>
      </c>
      <c r="D288">
        <v>3.1</v>
      </c>
      <c r="E288">
        <v>1.1000000000000001</v>
      </c>
      <c r="F288">
        <v>0</v>
      </c>
      <c r="G288">
        <v>0.1</v>
      </c>
      <c r="H288">
        <v>4000</v>
      </c>
      <c r="I288">
        <v>4294</v>
      </c>
      <c r="J288">
        <v>1</v>
      </c>
      <c r="K288">
        <f>J288+energy_grid_portfolio_dataset!G288</f>
        <v>1.1000000000000001</v>
      </c>
      <c r="L288">
        <f>HOUR(energy_timestamp[[#This Row],[timestamp]])</f>
        <v>22</v>
      </c>
    </row>
    <row r="289" spans="1:12" x14ac:dyDescent="0.3">
      <c r="A289" s="12" t="s">
        <v>330</v>
      </c>
      <c r="B289" s="12" t="s">
        <v>10</v>
      </c>
      <c r="C289">
        <v>20.9</v>
      </c>
      <c r="D289">
        <v>5.2</v>
      </c>
      <c r="E289">
        <v>0</v>
      </c>
      <c r="F289">
        <v>0</v>
      </c>
      <c r="G289">
        <v>0</v>
      </c>
      <c r="H289">
        <v>4000</v>
      </c>
      <c r="I289">
        <v>4559.2</v>
      </c>
      <c r="J289">
        <v>1</v>
      </c>
      <c r="K289">
        <f>J289+energy_grid_portfolio_dataset!G289</f>
        <v>1</v>
      </c>
      <c r="L289">
        <f>HOUR(energy_timestamp[[#This Row],[timestamp]])</f>
        <v>23</v>
      </c>
    </row>
    <row r="290" spans="1:12" x14ac:dyDescent="0.3">
      <c r="A290" s="12" t="s">
        <v>331</v>
      </c>
      <c r="B290" s="12" t="s">
        <v>10</v>
      </c>
      <c r="C290">
        <v>20</v>
      </c>
      <c r="D290">
        <v>57.8</v>
      </c>
      <c r="E290">
        <v>6</v>
      </c>
      <c r="F290">
        <v>0</v>
      </c>
      <c r="G290">
        <v>14</v>
      </c>
      <c r="H290">
        <v>4000</v>
      </c>
      <c r="I290">
        <v>4224.2</v>
      </c>
      <c r="J290">
        <v>1</v>
      </c>
      <c r="K290">
        <f>J290+energy_grid_portfolio_dataset!G290</f>
        <v>15</v>
      </c>
      <c r="L290">
        <f>HOUR(energy_timestamp[[#This Row],[timestamp]])</f>
        <v>0</v>
      </c>
    </row>
    <row r="291" spans="1:12" x14ac:dyDescent="0.3">
      <c r="A291" s="12" t="s">
        <v>332</v>
      </c>
      <c r="B291" s="12" t="s">
        <v>10</v>
      </c>
      <c r="C291">
        <v>25.6</v>
      </c>
      <c r="D291">
        <v>44.6</v>
      </c>
      <c r="E291">
        <v>3.4</v>
      </c>
      <c r="F291">
        <v>0</v>
      </c>
      <c r="G291">
        <v>2.4</v>
      </c>
      <c r="H291">
        <v>4000</v>
      </c>
      <c r="I291">
        <v>4216.8</v>
      </c>
      <c r="J291">
        <v>1</v>
      </c>
      <c r="K291">
        <f>J291+energy_grid_portfolio_dataset!G291</f>
        <v>3.4</v>
      </c>
      <c r="L291">
        <f>HOUR(energy_timestamp[[#This Row],[timestamp]])</f>
        <v>1</v>
      </c>
    </row>
    <row r="292" spans="1:12" x14ac:dyDescent="0.3">
      <c r="A292" s="12" t="s">
        <v>333</v>
      </c>
      <c r="B292" s="12" t="s">
        <v>10</v>
      </c>
      <c r="C292">
        <v>26.2</v>
      </c>
      <c r="D292">
        <v>0</v>
      </c>
      <c r="E292">
        <v>0.7</v>
      </c>
      <c r="F292">
        <v>0</v>
      </c>
      <c r="G292">
        <v>0</v>
      </c>
      <c r="H292">
        <v>3945.1</v>
      </c>
      <c r="I292">
        <v>3945.1</v>
      </c>
      <c r="J292">
        <v>0</v>
      </c>
      <c r="K292">
        <f>J292+energy_grid_portfolio_dataset!G292</f>
        <v>0</v>
      </c>
      <c r="L292">
        <f>HOUR(energy_timestamp[[#This Row],[timestamp]])</f>
        <v>2</v>
      </c>
    </row>
    <row r="293" spans="1:12" x14ac:dyDescent="0.3">
      <c r="A293" s="12" t="s">
        <v>334</v>
      </c>
      <c r="B293" s="12" t="s">
        <v>10</v>
      </c>
      <c r="C293">
        <v>27.4</v>
      </c>
      <c r="D293">
        <v>52.7</v>
      </c>
      <c r="E293">
        <v>5.0999999999999996</v>
      </c>
      <c r="F293">
        <v>0</v>
      </c>
      <c r="G293">
        <v>8.6</v>
      </c>
      <c r="H293">
        <v>4000</v>
      </c>
      <c r="I293">
        <v>4473.3999999999996</v>
      </c>
      <c r="J293">
        <v>1</v>
      </c>
      <c r="K293">
        <f>J293+energy_grid_portfolio_dataset!G293</f>
        <v>9.6</v>
      </c>
      <c r="L293">
        <f>HOUR(energy_timestamp[[#This Row],[timestamp]])</f>
        <v>3</v>
      </c>
    </row>
    <row r="294" spans="1:12" x14ac:dyDescent="0.3">
      <c r="A294" s="12" t="s">
        <v>335</v>
      </c>
      <c r="B294" s="12" t="s">
        <v>10</v>
      </c>
      <c r="C294">
        <v>26.3</v>
      </c>
      <c r="D294">
        <v>40.200000000000003</v>
      </c>
      <c r="E294">
        <v>4.5999999999999996</v>
      </c>
      <c r="F294">
        <v>0</v>
      </c>
      <c r="G294">
        <v>6.1</v>
      </c>
      <c r="H294">
        <v>4000</v>
      </c>
      <c r="I294">
        <v>4409.2</v>
      </c>
      <c r="J294">
        <v>1</v>
      </c>
      <c r="K294">
        <f>J294+energy_grid_portfolio_dataset!G294</f>
        <v>7.1</v>
      </c>
      <c r="L294">
        <f>HOUR(energy_timestamp[[#This Row],[timestamp]])</f>
        <v>4</v>
      </c>
    </row>
    <row r="295" spans="1:12" x14ac:dyDescent="0.3">
      <c r="A295" s="12" t="s">
        <v>336</v>
      </c>
      <c r="B295" s="12" t="s">
        <v>10</v>
      </c>
      <c r="C295">
        <v>26.4</v>
      </c>
      <c r="D295">
        <v>9.9</v>
      </c>
      <c r="E295">
        <v>3.4</v>
      </c>
      <c r="F295">
        <v>0</v>
      </c>
      <c r="G295">
        <v>2.6</v>
      </c>
      <c r="H295">
        <v>4000</v>
      </c>
      <c r="I295">
        <v>4335.6000000000004</v>
      </c>
      <c r="J295">
        <v>1</v>
      </c>
      <c r="K295">
        <f>J295+energy_grid_portfolio_dataset!G295</f>
        <v>3.6</v>
      </c>
      <c r="L295">
        <f>HOUR(energy_timestamp[[#This Row],[timestamp]])</f>
        <v>5</v>
      </c>
    </row>
    <row r="296" spans="1:12" x14ac:dyDescent="0.3">
      <c r="A296" s="12" t="s">
        <v>337</v>
      </c>
      <c r="B296" s="12" t="s">
        <v>10</v>
      </c>
      <c r="C296">
        <v>27.9</v>
      </c>
      <c r="D296">
        <v>5.2</v>
      </c>
      <c r="E296">
        <v>1.8</v>
      </c>
      <c r="F296">
        <v>643.1</v>
      </c>
      <c r="G296">
        <v>0.4</v>
      </c>
      <c r="H296">
        <v>3422.6</v>
      </c>
      <c r="I296">
        <v>4066.1</v>
      </c>
      <c r="J296">
        <v>0</v>
      </c>
      <c r="K296">
        <f>J296+energy_grid_portfolio_dataset!G296</f>
        <v>0.4</v>
      </c>
      <c r="L296">
        <f>HOUR(energy_timestamp[[#This Row],[timestamp]])</f>
        <v>6</v>
      </c>
    </row>
    <row r="297" spans="1:12" x14ac:dyDescent="0.3">
      <c r="A297" s="12" t="s">
        <v>338</v>
      </c>
      <c r="B297" s="12" t="s">
        <v>10</v>
      </c>
      <c r="C297">
        <v>31.6</v>
      </c>
      <c r="D297">
        <v>43.4</v>
      </c>
      <c r="E297">
        <v>0.9</v>
      </c>
      <c r="F297">
        <v>906.5</v>
      </c>
      <c r="G297">
        <v>0</v>
      </c>
      <c r="H297">
        <v>3440.5</v>
      </c>
      <c r="I297">
        <v>4347</v>
      </c>
      <c r="J297">
        <v>0</v>
      </c>
      <c r="K297">
        <f>J297+energy_grid_portfolio_dataset!G297</f>
        <v>0</v>
      </c>
      <c r="L297">
        <f>HOUR(energy_timestamp[[#This Row],[timestamp]])</f>
        <v>7</v>
      </c>
    </row>
    <row r="298" spans="1:12" x14ac:dyDescent="0.3">
      <c r="A298" s="12" t="s">
        <v>339</v>
      </c>
      <c r="B298" s="12" t="s">
        <v>10</v>
      </c>
      <c r="C298">
        <v>32.4</v>
      </c>
      <c r="D298">
        <v>5.4</v>
      </c>
      <c r="E298">
        <v>3.6</v>
      </c>
      <c r="F298">
        <v>1800.4</v>
      </c>
      <c r="G298">
        <v>2.9</v>
      </c>
      <c r="H298">
        <v>2368.3000000000002</v>
      </c>
      <c r="I298">
        <v>4171.6000000000004</v>
      </c>
      <c r="J298">
        <v>0</v>
      </c>
      <c r="K298">
        <f>J298+energy_grid_portfolio_dataset!G298</f>
        <v>2.9</v>
      </c>
      <c r="L298">
        <f>HOUR(energy_timestamp[[#This Row],[timestamp]])</f>
        <v>8</v>
      </c>
    </row>
    <row r="299" spans="1:12" x14ac:dyDescent="0.3">
      <c r="A299" s="12" t="s">
        <v>340</v>
      </c>
      <c r="B299" s="12" t="s">
        <v>10</v>
      </c>
      <c r="C299">
        <v>30.8</v>
      </c>
      <c r="D299">
        <v>27.1</v>
      </c>
      <c r="E299">
        <v>1.3</v>
      </c>
      <c r="F299">
        <v>1900.4</v>
      </c>
      <c r="G299">
        <v>0.2</v>
      </c>
      <c r="H299">
        <v>2501.9</v>
      </c>
      <c r="I299">
        <v>4402.5</v>
      </c>
      <c r="J299">
        <v>0</v>
      </c>
      <c r="K299">
        <f>J299+energy_grid_portfolio_dataset!G299</f>
        <v>0.2</v>
      </c>
      <c r="L299">
        <f>HOUR(energy_timestamp[[#This Row],[timestamp]])</f>
        <v>9</v>
      </c>
    </row>
    <row r="300" spans="1:12" x14ac:dyDescent="0.3">
      <c r="A300" s="12" t="s">
        <v>341</v>
      </c>
      <c r="B300" s="12" t="s">
        <v>10</v>
      </c>
      <c r="C300">
        <v>33.700000000000003</v>
      </c>
      <c r="D300">
        <v>0</v>
      </c>
      <c r="E300">
        <v>4.9000000000000004</v>
      </c>
      <c r="F300">
        <v>2702.9</v>
      </c>
      <c r="G300">
        <v>7.4</v>
      </c>
      <c r="H300">
        <v>3439.5</v>
      </c>
      <c r="I300">
        <v>6149.8</v>
      </c>
      <c r="J300">
        <v>0</v>
      </c>
      <c r="K300">
        <f>J300+energy_grid_portfolio_dataset!G300</f>
        <v>7.4</v>
      </c>
      <c r="L300">
        <f>HOUR(energy_timestamp[[#This Row],[timestamp]])</f>
        <v>10</v>
      </c>
    </row>
    <row r="301" spans="1:12" x14ac:dyDescent="0.3">
      <c r="A301" s="12" t="s">
        <v>342</v>
      </c>
      <c r="B301" s="12" t="s">
        <v>10</v>
      </c>
      <c r="C301">
        <v>34.6</v>
      </c>
      <c r="D301">
        <v>29.5</v>
      </c>
      <c r="E301">
        <v>6.7</v>
      </c>
      <c r="F301">
        <v>2321.3000000000002</v>
      </c>
      <c r="G301">
        <v>19.5</v>
      </c>
      <c r="H301">
        <v>3896.3</v>
      </c>
      <c r="I301">
        <v>6237.1</v>
      </c>
      <c r="J301">
        <v>0</v>
      </c>
      <c r="K301">
        <f>J301+energy_grid_portfolio_dataset!G301</f>
        <v>19.5</v>
      </c>
      <c r="L301">
        <f>HOUR(energy_timestamp[[#This Row],[timestamp]])</f>
        <v>11</v>
      </c>
    </row>
    <row r="302" spans="1:12" x14ac:dyDescent="0.3">
      <c r="A302" s="12" t="s">
        <v>343</v>
      </c>
      <c r="B302" s="12" t="s">
        <v>10</v>
      </c>
      <c r="C302">
        <v>33.4</v>
      </c>
      <c r="D302">
        <v>27.4</v>
      </c>
      <c r="E302">
        <v>5.0999999999999996</v>
      </c>
      <c r="F302">
        <v>2423.6</v>
      </c>
      <c r="G302">
        <v>8.4</v>
      </c>
      <c r="H302">
        <v>3826.8</v>
      </c>
      <c r="I302">
        <v>6258.8</v>
      </c>
      <c r="J302">
        <v>0</v>
      </c>
      <c r="K302">
        <f>J302+energy_grid_portfolio_dataset!G302</f>
        <v>8.4</v>
      </c>
      <c r="L302">
        <f>HOUR(energy_timestamp[[#This Row],[timestamp]])</f>
        <v>12</v>
      </c>
    </row>
    <row r="303" spans="1:12" x14ac:dyDescent="0.3">
      <c r="A303" s="12" t="s">
        <v>344</v>
      </c>
      <c r="B303" s="12" t="s">
        <v>10</v>
      </c>
      <c r="C303">
        <v>33.9</v>
      </c>
      <c r="D303">
        <v>11</v>
      </c>
      <c r="E303">
        <v>2.7</v>
      </c>
      <c r="F303">
        <v>2700.4</v>
      </c>
      <c r="G303">
        <v>1.2</v>
      </c>
      <c r="H303">
        <v>3545.7</v>
      </c>
      <c r="I303">
        <v>6247.3</v>
      </c>
      <c r="J303">
        <v>0</v>
      </c>
      <c r="K303">
        <f>J303+energy_grid_portfolio_dataset!G303</f>
        <v>1.2</v>
      </c>
      <c r="L303">
        <f>HOUR(energy_timestamp[[#This Row],[timestamp]])</f>
        <v>13</v>
      </c>
    </row>
    <row r="304" spans="1:12" x14ac:dyDescent="0.3">
      <c r="A304" s="12" t="s">
        <v>345</v>
      </c>
      <c r="B304" s="12" t="s">
        <v>10</v>
      </c>
      <c r="C304">
        <v>35.799999999999997</v>
      </c>
      <c r="D304">
        <v>0.1</v>
      </c>
      <c r="E304">
        <v>2.6</v>
      </c>
      <c r="F304">
        <v>2700.6</v>
      </c>
      <c r="G304">
        <v>1.1000000000000001</v>
      </c>
      <c r="H304">
        <v>3327.9</v>
      </c>
      <c r="I304">
        <v>6029.6</v>
      </c>
      <c r="J304">
        <v>0</v>
      </c>
      <c r="K304">
        <f>J304+energy_grid_portfolio_dataset!G304</f>
        <v>1.1000000000000001</v>
      </c>
      <c r="L304">
        <f>HOUR(energy_timestamp[[#This Row],[timestamp]])</f>
        <v>14</v>
      </c>
    </row>
    <row r="305" spans="1:12" x14ac:dyDescent="0.3">
      <c r="A305" s="12" t="s">
        <v>346</v>
      </c>
      <c r="B305" s="12" t="s">
        <v>10</v>
      </c>
      <c r="C305">
        <v>33.6</v>
      </c>
      <c r="D305">
        <v>19.100000000000001</v>
      </c>
      <c r="E305">
        <v>6.5</v>
      </c>
      <c r="F305">
        <v>2031.9</v>
      </c>
      <c r="G305">
        <v>17.5</v>
      </c>
      <c r="H305">
        <v>2162.8000000000002</v>
      </c>
      <c r="I305">
        <v>4212.2</v>
      </c>
      <c r="J305">
        <v>0</v>
      </c>
      <c r="K305">
        <f>J305+energy_grid_portfolio_dataset!G305</f>
        <v>17.5</v>
      </c>
      <c r="L305">
        <f>HOUR(energy_timestamp[[#This Row],[timestamp]])</f>
        <v>15</v>
      </c>
    </row>
    <row r="306" spans="1:12" x14ac:dyDescent="0.3">
      <c r="A306" s="12" t="s">
        <v>347</v>
      </c>
      <c r="B306" s="12" t="s">
        <v>10</v>
      </c>
      <c r="C306">
        <v>31.4</v>
      </c>
      <c r="D306">
        <v>8.3000000000000007</v>
      </c>
      <c r="E306">
        <v>8.3000000000000007</v>
      </c>
      <c r="F306">
        <v>1761.9</v>
      </c>
      <c r="G306">
        <v>36.5</v>
      </c>
      <c r="H306">
        <v>2420.6</v>
      </c>
      <c r="I306">
        <v>4219</v>
      </c>
      <c r="J306">
        <v>0</v>
      </c>
      <c r="K306">
        <f>J306+energy_grid_portfolio_dataset!G306</f>
        <v>36.5</v>
      </c>
      <c r="L306">
        <f>HOUR(energy_timestamp[[#This Row],[timestamp]])</f>
        <v>16</v>
      </c>
    </row>
    <row r="307" spans="1:12" x14ac:dyDescent="0.3">
      <c r="A307" s="12" t="s">
        <v>348</v>
      </c>
      <c r="B307" s="12" t="s">
        <v>10</v>
      </c>
      <c r="C307">
        <v>30</v>
      </c>
      <c r="D307">
        <v>37.700000000000003</v>
      </c>
      <c r="E307">
        <v>4.8</v>
      </c>
      <c r="F307">
        <v>958.4</v>
      </c>
      <c r="G307">
        <v>7.2</v>
      </c>
      <c r="H307">
        <v>3176.3</v>
      </c>
      <c r="I307">
        <v>4141.8999999999996</v>
      </c>
      <c r="J307">
        <v>0</v>
      </c>
      <c r="K307">
        <f>J307+energy_grid_portfolio_dataset!G307</f>
        <v>7.2</v>
      </c>
      <c r="L307">
        <f>HOUR(energy_timestamp[[#This Row],[timestamp]])</f>
        <v>17</v>
      </c>
    </row>
    <row r="308" spans="1:12" x14ac:dyDescent="0.3">
      <c r="A308" s="12" t="s">
        <v>349</v>
      </c>
      <c r="B308" s="12" t="s">
        <v>10</v>
      </c>
      <c r="C308">
        <v>27.8</v>
      </c>
      <c r="D308">
        <v>25.9</v>
      </c>
      <c r="E308">
        <v>3.7</v>
      </c>
      <c r="F308">
        <v>546.6</v>
      </c>
      <c r="G308">
        <v>3.3</v>
      </c>
      <c r="H308">
        <v>4000</v>
      </c>
      <c r="I308">
        <v>6692.2</v>
      </c>
      <c r="J308">
        <v>1</v>
      </c>
      <c r="K308">
        <f>J308+energy_grid_portfolio_dataset!G308</f>
        <v>4.3</v>
      </c>
      <c r="L308">
        <f>HOUR(energy_timestamp[[#This Row],[timestamp]])</f>
        <v>18</v>
      </c>
    </row>
    <row r="309" spans="1:12" x14ac:dyDescent="0.3">
      <c r="A309" s="12" t="s">
        <v>350</v>
      </c>
      <c r="B309" s="12" t="s">
        <v>10</v>
      </c>
      <c r="C309">
        <v>29.8</v>
      </c>
      <c r="D309">
        <v>13.9</v>
      </c>
      <c r="E309">
        <v>1.3</v>
      </c>
      <c r="F309">
        <v>0</v>
      </c>
      <c r="G309">
        <v>0.1</v>
      </c>
      <c r="H309">
        <v>4000</v>
      </c>
      <c r="I309">
        <v>6864.6</v>
      </c>
      <c r="J309">
        <v>1</v>
      </c>
      <c r="K309">
        <f>J309+energy_grid_portfolio_dataset!G309</f>
        <v>1.1000000000000001</v>
      </c>
      <c r="L309">
        <f>HOUR(energy_timestamp[[#This Row],[timestamp]])</f>
        <v>19</v>
      </c>
    </row>
    <row r="310" spans="1:12" x14ac:dyDescent="0.3">
      <c r="A310" s="12" t="s">
        <v>351</v>
      </c>
      <c r="B310" s="12" t="s">
        <v>10</v>
      </c>
      <c r="C310">
        <v>28.9</v>
      </c>
      <c r="D310">
        <v>8.9</v>
      </c>
      <c r="E310">
        <v>7.3</v>
      </c>
      <c r="F310">
        <v>0</v>
      </c>
      <c r="G310">
        <v>24.7</v>
      </c>
      <c r="H310">
        <v>4000</v>
      </c>
      <c r="I310">
        <v>6706.8</v>
      </c>
      <c r="J310">
        <v>1</v>
      </c>
      <c r="K310">
        <f>J310+energy_grid_portfolio_dataset!G310</f>
        <v>25.7</v>
      </c>
      <c r="L310">
        <f>HOUR(energy_timestamp[[#This Row],[timestamp]])</f>
        <v>20</v>
      </c>
    </row>
    <row r="311" spans="1:12" x14ac:dyDescent="0.3">
      <c r="A311" s="12" t="s">
        <v>352</v>
      </c>
      <c r="B311" s="12" t="s">
        <v>10</v>
      </c>
      <c r="C311">
        <v>22.9</v>
      </c>
      <c r="D311">
        <v>36.4</v>
      </c>
      <c r="E311">
        <v>7.3</v>
      </c>
      <c r="F311">
        <v>0</v>
      </c>
      <c r="G311">
        <v>24.5</v>
      </c>
      <c r="H311">
        <v>4000</v>
      </c>
      <c r="I311">
        <v>6971.7</v>
      </c>
      <c r="J311">
        <v>1</v>
      </c>
      <c r="K311">
        <f>J311+energy_grid_portfolio_dataset!G311</f>
        <v>25.5</v>
      </c>
      <c r="L311">
        <f>HOUR(energy_timestamp[[#This Row],[timestamp]])</f>
        <v>21</v>
      </c>
    </row>
    <row r="312" spans="1:12" x14ac:dyDescent="0.3">
      <c r="A312" s="12" t="s">
        <v>353</v>
      </c>
      <c r="B312" s="12" t="s">
        <v>10</v>
      </c>
      <c r="C312">
        <v>22.5</v>
      </c>
      <c r="D312">
        <v>13.4</v>
      </c>
      <c r="E312">
        <v>2</v>
      </c>
      <c r="F312">
        <v>0</v>
      </c>
      <c r="G312">
        <v>0.5</v>
      </c>
      <c r="H312">
        <v>4000</v>
      </c>
      <c r="I312">
        <v>4263.1000000000004</v>
      </c>
      <c r="J312">
        <v>1</v>
      </c>
      <c r="K312">
        <f>J312+energy_grid_portfolio_dataset!G312</f>
        <v>1.5</v>
      </c>
      <c r="L312">
        <f>HOUR(energy_timestamp[[#This Row],[timestamp]])</f>
        <v>22</v>
      </c>
    </row>
    <row r="313" spans="1:12" x14ac:dyDescent="0.3">
      <c r="A313" s="12" t="s">
        <v>354</v>
      </c>
      <c r="B313" s="12" t="s">
        <v>10</v>
      </c>
      <c r="C313">
        <v>20.399999999999999</v>
      </c>
      <c r="D313">
        <v>25.7</v>
      </c>
      <c r="E313">
        <v>2.5</v>
      </c>
      <c r="F313">
        <v>0</v>
      </c>
      <c r="G313">
        <v>1</v>
      </c>
      <c r="H313">
        <v>4000</v>
      </c>
      <c r="I313">
        <v>4222.6000000000004</v>
      </c>
      <c r="J313">
        <v>1</v>
      </c>
      <c r="K313">
        <f>J313+energy_grid_portfolio_dataset!G313</f>
        <v>2</v>
      </c>
      <c r="L313">
        <f>HOUR(energy_timestamp[[#This Row],[timestamp]])</f>
        <v>23</v>
      </c>
    </row>
    <row r="314" spans="1:12" x14ac:dyDescent="0.3">
      <c r="A314" s="12" t="s">
        <v>355</v>
      </c>
      <c r="B314" s="12" t="s">
        <v>10</v>
      </c>
      <c r="C314">
        <v>19.7</v>
      </c>
      <c r="D314">
        <v>31.6</v>
      </c>
      <c r="E314">
        <v>5.7</v>
      </c>
      <c r="F314">
        <v>0</v>
      </c>
      <c r="G314">
        <v>11.6</v>
      </c>
      <c r="H314">
        <v>4000</v>
      </c>
      <c r="I314">
        <v>4985.1000000000004</v>
      </c>
      <c r="J314">
        <v>1</v>
      </c>
      <c r="K314">
        <f>J314+energy_grid_portfolio_dataset!G314</f>
        <v>12.6</v>
      </c>
      <c r="L314">
        <f>HOUR(energy_timestamp[[#This Row],[timestamp]])</f>
        <v>0</v>
      </c>
    </row>
    <row r="315" spans="1:12" x14ac:dyDescent="0.3">
      <c r="A315" s="12" t="s">
        <v>356</v>
      </c>
      <c r="B315" s="12" t="s">
        <v>10</v>
      </c>
      <c r="C315">
        <v>22.8</v>
      </c>
      <c r="D315">
        <v>49.6</v>
      </c>
      <c r="E315">
        <v>1.6</v>
      </c>
      <c r="F315">
        <v>0</v>
      </c>
      <c r="G315">
        <v>0.3</v>
      </c>
      <c r="H315">
        <v>4000</v>
      </c>
      <c r="I315">
        <v>4650.8999999999996</v>
      </c>
      <c r="J315">
        <v>1</v>
      </c>
      <c r="K315">
        <f>J315+energy_grid_portfolio_dataset!G315</f>
        <v>1.3</v>
      </c>
      <c r="L315">
        <f>HOUR(energy_timestamp[[#This Row],[timestamp]])</f>
        <v>1</v>
      </c>
    </row>
    <row r="316" spans="1:12" x14ac:dyDescent="0.3">
      <c r="A316" s="12" t="s">
        <v>357</v>
      </c>
      <c r="B316" s="12" t="s">
        <v>10</v>
      </c>
      <c r="C316">
        <v>23.4</v>
      </c>
      <c r="D316">
        <v>10.9</v>
      </c>
      <c r="E316">
        <v>3.9</v>
      </c>
      <c r="F316">
        <v>0</v>
      </c>
      <c r="G316">
        <v>3.8</v>
      </c>
      <c r="H316">
        <v>4000</v>
      </c>
      <c r="I316">
        <v>5200.8999999999996</v>
      </c>
      <c r="J316">
        <v>1</v>
      </c>
      <c r="K316">
        <f>J316+energy_grid_portfolio_dataset!G316</f>
        <v>4.8</v>
      </c>
      <c r="L316">
        <f>HOUR(energy_timestamp[[#This Row],[timestamp]])</f>
        <v>2</v>
      </c>
    </row>
    <row r="317" spans="1:12" x14ac:dyDescent="0.3">
      <c r="A317" s="12" t="s">
        <v>358</v>
      </c>
      <c r="B317" s="12" t="s">
        <v>10</v>
      </c>
      <c r="C317">
        <v>23.9</v>
      </c>
      <c r="D317">
        <v>35.799999999999997</v>
      </c>
      <c r="E317">
        <v>2.2000000000000002</v>
      </c>
      <c r="F317">
        <v>0</v>
      </c>
      <c r="G317">
        <v>0.6</v>
      </c>
      <c r="H317">
        <v>4000</v>
      </c>
      <c r="I317">
        <v>5033.7</v>
      </c>
      <c r="J317">
        <v>1</v>
      </c>
      <c r="K317">
        <f>J317+energy_grid_portfolio_dataset!G317</f>
        <v>1.6</v>
      </c>
      <c r="L317">
        <f>HOUR(energy_timestamp[[#This Row],[timestamp]])</f>
        <v>3</v>
      </c>
    </row>
    <row r="318" spans="1:12" x14ac:dyDescent="0.3">
      <c r="A318" s="12" t="s">
        <v>359</v>
      </c>
      <c r="B318" s="12" t="s">
        <v>10</v>
      </c>
      <c r="C318">
        <v>22.9</v>
      </c>
      <c r="D318">
        <v>22.8</v>
      </c>
      <c r="E318">
        <v>2.2000000000000002</v>
      </c>
      <c r="F318">
        <v>0</v>
      </c>
      <c r="G318">
        <v>0.7</v>
      </c>
      <c r="H318">
        <v>4000</v>
      </c>
      <c r="I318">
        <v>4975.3999999999996</v>
      </c>
      <c r="J318">
        <v>1</v>
      </c>
      <c r="K318">
        <f>J318+energy_grid_portfolio_dataset!G318</f>
        <v>1.7</v>
      </c>
      <c r="L318">
        <f>HOUR(energy_timestamp[[#This Row],[timestamp]])</f>
        <v>4</v>
      </c>
    </row>
    <row r="319" spans="1:12" x14ac:dyDescent="0.3">
      <c r="A319" s="12" t="s">
        <v>360</v>
      </c>
      <c r="B319" s="12" t="s">
        <v>10</v>
      </c>
      <c r="C319">
        <v>28.3</v>
      </c>
      <c r="D319">
        <v>46.8</v>
      </c>
      <c r="E319">
        <v>5.2</v>
      </c>
      <c r="F319">
        <v>0</v>
      </c>
      <c r="G319">
        <v>9.1</v>
      </c>
      <c r="H319">
        <v>4000</v>
      </c>
      <c r="I319">
        <v>4839.7</v>
      </c>
      <c r="J319">
        <v>1</v>
      </c>
      <c r="K319">
        <f>J319+energy_grid_portfolio_dataset!G319</f>
        <v>10.1</v>
      </c>
      <c r="L319">
        <f>HOUR(energy_timestamp[[#This Row],[timestamp]])</f>
        <v>5</v>
      </c>
    </row>
    <row r="320" spans="1:12" x14ac:dyDescent="0.3">
      <c r="A320" s="12" t="s">
        <v>361</v>
      </c>
      <c r="B320" s="12" t="s">
        <v>10</v>
      </c>
      <c r="C320">
        <v>27.5</v>
      </c>
      <c r="D320">
        <v>49.3</v>
      </c>
      <c r="E320">
        <v>4.3</v>
      </c>
      <c r="F320">
        <v>437.4</v>
      </c>
      <c r="G320">
        <v>5</v>
      </c>
      <c r="H320">
        <v>4000</v>
      </c>
      <c r="I320">
        <v>4786.2</v>
      </c>
      <c r="J320">
        <v>1</v>
      </c>
      <c r="K320">
        <f>J320+energy_grid_portfolio_dataset!G320</f>
        <v>6</v>
      </c>
      <c r="L320">
        <f>HOUR(energy_timestamp[[#This Row],[timestamp]])</f>
        <v>6</v>
      </c>
    </row>
    <row r="321" spans="1:12" x14ac:dyDescent="0.3">
      <c r="A321" s="12" t="s">
        <v>362</v>
      </c>
      <c r="B321" s="12" t="s">
        <v>10</v>
      </c>
      <c r="C321">
        <v>30.1</v>
      </c>
      <c r="D321">
        <v>28.8</v>
      </c>
      <c r="E321">
        <v>3.4</v>
      </c>
      <c r="F321">
        <v>1038.9000000000001</v>
      </c>
      <c r="G321">
        <v>2.5</v>
      </c>
      <c r="H321">
        <v>4000</v>
      </c>
      <c r="I321">
        <v>5297.9</v>
      </c>
      <c r="J321">
        <v>1</v>
      </c>
      <c r="K321">
        <f>J321+energy_grid_portfolio_dataset!G321</f>
        <v>3.5</v>
      </c>
      <c r="L321">
        <f>HOUR(energy_timestamp[[#This Row],[timestamp]])</f>
        <v>7</v>
      </c>
    </row>
    <row r="322" spans="1:12" x14ac:dyDescent="0.3">
      <c r="A322" s="12" t="s">
        <v>363</v>
      </c>
      <c r="B322" s="12" t="s">
        <v>10</v>
      </c>
      <c r="C322">
        <v>30.8</v>
      </c>
      <c r="D322">
        <v>39.200000000000003</v>
      </c>
      <c r="E322">
        <v>5.9</v>
      </c>
      <c r="F322">
        <v>1357.7</v>
      </c>
      <c r="G322">
        <v>13.2</v>
      </c>
      <c r="H322">
        <v>3599.1</v>
      </c>
      <c r="I322">
        <v>4970</v>
      </c>
      <c r="J322">
        <v>0</v>
      </c>
      <c r="K322">
        <f>J322+energy_grid_portfolio_dataset!G322</f>
        <v>13.2</v>
      </c>
      <c r="L322">
        <f>HOUR(energy_timestamp[[#This Row],[timestamp]])</f>
        <v>8</v>
      </c>
    </row>
    <row r="323" spans="1:12" x14ac:dyDescent="0.3">
      <c r="A323" s="12" t="s">
        <v>364</v>
      </c>
      <c r="B323" s="12" t="s">
        <v>10</v>
      </c>
      <c r="C323">
        <v>30.2</v>
      </c>
      <c r="D323">
        <v>0</v>
      </c>
      <c r="E323">
        <v>5</v>
      </c>
      <c r="F323">
        <v>2345.5</v>
      </c>
      <c r="G323">
        <v>8.1</v>
      </c>
      <c r="H323">
        <v>2478.5</v>
      </c>
      <c r="I323">
        <v>4832.1000000000004</v>
      </c>
      <c r="J323">
        <v>0</v>
      </c>
      <c r="K323">
        <f>J323+energy_grid_portfolio_dataset!G323</f>
        <v>8.1</v>
      </c>
      <c r="L323">
        <f>HOUR(energy_timestamp[[#This Row],[timestamp]])</f>
        <v>9</v>
      </c>
    </row>
    <row r="324" spans="1:12" x14ac:dyDescent="0.3">
      <c r="A324" s="12" t="s">
        <v>365</v>
      </c>
      <c r="B324" s="12" t="s">
        <v>10</v>
      </c>
      <c r="C324">
        <v>30</v>
      </c>
      <c r="D324">
        <v>32.799999999999997</v>
      </c>
      <c r="E324">
        <v>9</v>
      </c>
      <c r="F324">
        <v>2082.9</v>
      </c>
      <c r="G324">
        <v>46.4</v>
      </c>
      <c r="H324">
        <v>4000</v>
      </c>
      <c r="I324">
        <v>6984.5</v>
      </c>
      <c r="J324">
        <v>1</v>
      </c>
      <c r="K324">
        <f>J324+energy_grid_portfolio_dataset!G324</f>
        <v>47.4</v>
      </c>
      <c r="L324">
        <f>HOUR(energy_timestamp[[#This Row],[timestamp]])</f>
        <v>10</v>
      </c>
    </row>
    <row r="325" spans="1:12" x14ac:dyDescent="0.3">
      <c r="A325" s="12" t="s">
        <v>366</v>
      </c>
      <c r="B325" s="12" t="s">
        <v>10</v>
      </c>
      <c r="C325">
        <v>35.1</v>
      </c>
      <c r="D325">
        <v>26.6</v>
      </c>
      <c r="E325">
        <v>3.8</v>
      </c>
      <c r="F325">
        <v>2379.4</v>
      </c>
      <c r="G325">
        <v>3.5</v>
      </c>
      <c r="H325">
        <v>4000</v>
      </c>
      <c r="I325">
        <v>7149.1</v>
      </c>
      <c r="J325">
        <v>1</v>
      </c>
      <c r="K325">
        <f>J325+energy_grid_portfolio_dataset!G325</f>
        <v>4.5</v>
      </c>
      <c r="L325">
        <f>HOUR(energy_timestamp[[#This Row],[timestamp]])</f>
        <v>11</v>
      </c>
    </row>
    <row r="326" spans="1:12" x14ac:dyDescent="0.3">
      <c r="A326" s="12" t="s">
        <v>367</v>
      </c>
      <c r="B326" s="12" t="s">
        <v>10</v>
      </c>
      <c r="C326">
        <v>33.6</v>
      </c>
      <c r="D326">
        <v>30.3</v>
      </c>
      <c r="E326">
        <v>4.5999999999999996</v>
      </c>
      <c r="F326">
        <v>2362.6999999999998</v>
      </c>
      <c r="G326">
        <v>6.4</v>
      </c>
      <c r="H326">
        <v>4000</v>
      </c>
      <c r="I326">
        <v>7287.9</v>
      </c>
      <c r="J326">
        <v>1</v>
      </c>
      <c r="K326">
        <f>J326+energy_grid_portfolio_dataset!G326</f>
        <v>7.4</v>
      </c>
      <c r="L326">
        <f>HOUR(energy_timestamp[[#This Row],[timestamp]])</f>
        <v>12</v>
      </c>
    </row>
    <row r="327" spans="1:12" x14ac:dyDescent="0.3">
      <c r="A327" s="12" t="s">
        <v>368</v>
      </c>
      <c r="B327" s="12" t="s">
        <v>10</v>
      </c>
      <c r="C327">
        <v>35.299999999999997</v>
      </c>
      <c r="D327">
        <v>21.5</v>
      </c>
      <c r="E327">
        <v>2.5</v>
      </c>
      <c r="F327">
        <v>2484.6</v>
      </c>
      <c r="G327">
        <v>1</v>
      </c>
      <c r="H327">
        <v>4000</v>
      </c>
      <c r="I327">
        <v>7049.8</v>
      </c>
      <c r="J327">
        <v>1</v>
      </c>
      <c r="K327">
        <f>J327+energy_grid_portfolio_dataset!G327</f>
        <v>2</v>
      </c>
      <c r="L327">
        <f>HOUR(energy_timestamp[[#This Row],[timestamp]])</f>
        <v>13</v>
      </c>
    </row>
    <row r="328" spans="1:12" x14ac:dyDescent="0.3">
      <c r="A328" s="12" t="s">
        <v>369</v>
      </c>
      <c r="B328" s="12" t="s">
        <v>10</v>
      </c>
      <c r="C328">
        <v>31.8</v>
      </c>
      <c r="D328">
        <v>25.6</v>
      </c>
      <c r="E328">
        <v>4</v>
      </c>
      <c r="F328">
        <v>2219.1999999999998</v>
      </c>
      <c r="G328">
        <v>4</v>
      </c>
      <c r="H328">
        <v>4000</v>
      </c>
      <c r="I328">
        <v>7230.5</v>
      </c>
      <c r="J328">
        <v>1</v>
      </c>
      <c r="K328">
        <f>J328+energy_grid_portfolio_dataset!G328</f>
        <v>5</v>
      </c>
      <c r="L328">
        <f>HOUR(energy_timestamp[[#This Row],[timestamp]])</f>
        <v>14</v>
      </c>
    </row>
    <row r="329" spans="1:12" x14ac:dyDescent="0.3">
      <c r="A329" s="12" t="s">
        <v>370</v>
      </c>
      <c r="B329" s="12" t="s">
        <v>10</v>
      </c>
      <c r="C329">
        <v>33</v>
      </c>
      <c r="D329">
        <v>24.5</v>
      </c>
      <c r="E329">
        <v>5.6</v>
      </c>
      <c r="F329">
        <v>1943.3</v>
      </c>
      <c r="G329">
        <v>11.5</v>
      </c>
      <c r="H329">
        <v>3158.1</v>
      </c>
      <c r="I329">
        <v>5112.8999999999996</v>
      </c>
      <c r="J329">
        <v>0</v>
      </c>
      <c r="K329">
        <f>J329+energy_grid_portfolio_dataset!G329</f>
        <v>11.5</v>
      </c>
      <c r="L329">
        <f>HOUR(energy_timestamp[[#This Row],[timestamp]])</f>
        <v>15</v>
      </c>
    </row>
    <row r="330" spans="1:12" x14ac:dyDescent="0.3">
      <c r="A330" s="12" t="s">
        <v>371</v>
      </c>
      <c r="B330" s="12" t="s">
        <v>10</v>
      </c>
      <c r="C330">
        <v>31.8</v>
      </c>
      <c r="D330">
        <v>25.2</v>
      </c>
      <c r="E330">
        <v>1.4</v>
      </c>
      <c r="F330">
        <v>1540.4</v>
      </c>
      <c r="G330">
        <v>0.2</v>
      </c>
      <c r="H330">
        <v>3617.9</v>
      </c>
      <c r="I330">
        <v>5158.5</v>
      </c>
      <c r="J330">
        <v>0</v>
      </c>
      <c r="K330">
        <f>J330+energy_grid_portfolio_dataset!G330</f>
        <v>0.2</v>
      </c>
      <c r="L330">
        <f>HOUR(energy_timestamp[[#This Row],[timestamp]])</f>
        <v>16</v>
      </c>
    </row>
    <row r="331" spans="1:12" x14ac:dyDescent="0.3">
      <c r="A331" s="12" t="s">
        <v>372</v>
      </c>
      <c r="B331" s="12" t="s">
        <v>10</v>
      </c>
      <c r="C331">
        <v>29.1</v>
      </c>
      <c r="D331">
        <v>12.8</v>
      </c>
      <c r="E331">
        <v>3.6</v>
      </c>
      <c r="F331">
        <v>1184.9000000000001</v>
      </c>
      <c r="G331">
        <v>3.1</v>
      </c>
      <c r="H331">
        <v>3602.2</v>
      </c>
      <c r="I331">
        <v>4790.2</v>
      </c>
      <c r="J331">
        <v>0</v>
      </c>
      <c r="K331">
        <f>J331+energy_grid_portfolio_dataset!G331</f>
        <v>3.1</v>
      </c>
      <c r="L331">
        <f>HOUR(energy_timestamp[[#This Row],[timestamp]])</f>
        <v>17</v>
      </c>
    </row>
    <row r="332" spans="1:12" x14ac:dyDescent="0.3">
      <c r="A332" s="12" t="s">
        <v>373</v>
      </c>
      <c r="B332" s="12" t="s">
        <v>10</v>
      </c>
      <c r="C332">
        <v>28.8</v>
      </c>
      <c r="D332">
        <v>23.6</v>
      </c>
      <c r="E332">
        <v>5</v>
      </c>
      <c r="F332">
        <v>557.29999999999995</v>
      </c>
      <c r="G332">
        <v>7.9</v>
      </c>
      <c r="H332">
        <v>4000</v>
      </c>
      <c r="I332">
        <v>7708.5</v>
      </c>
      <c r="J332">
        <v>1</v>
      </c>
      <c r="K332">
        <f>J332+energy_grid_portfolio_dataset!G332</f>
        <v>8.9</v>
      </c>
      <c r="L332">
        <f>HOUR(energy_timestamp[[#This Row],[timestamp]])</f>
        <v>18</v>
      </c>
    </row>
    <row r="333" spans="1:12" x14ac:dyDescent="0.3">
      <c r="A333" s="12" t="s">
        <v>374</v>
      </c>
      <c r="B333" s="12" t="s">
        <v>10</v>
      </c>
      <c r="C333">
        <v>23.5</v>
      </c>
      <c r="D333">
        <v>6.2</v>
      </c>
      <c r="E333">
        <v>3.7</v>
      </c>
      <c r="F333">
        <v>0</v>
      </c>
      <c r="G333">
        <v>3.3</v>
      </c>
      <c r="H333">
        <v>4000</v>
      </c>
      <c r="I333">
        <v>7709.7</v>
      </c>
      <c r="J333">
        <v>1</v>
      </c>
      <c r="K333">
        <f>J333+energy_grid_portfolio_dataset!G333</f>
        <v>4.3</v>
      </c>
      <c r="L333">
        <f>HOUR(energy_timestamp[[#This Row],[timestamp]])</f>
        <v>19</v>
      </c>
    </row>
    <row r="334" spans="1:12" x14ac:dyDescent="0.3">
      <c r="A334" s="12" t="s">
        <v>375</v>
      </c>
      <c r="B334" s="12" t="s">
        <v>10</v>
      </c>
      <c r="C334">
        <v>25.9</v>
      </c>
      <c r="D334">
        <v>55.6</v>
      </c>
      <c r="E334">
        <v>6.4</v>
      </c>
      <c r="F334">
        <v>0</v>
      </c>
      <c r="G334">
        <v>17.100000000000001</v>
      </c>
      <c r="H334">
        <v>4000</v>
      </c>
      <c r="I334">
        <v>7518.5</v>
      </c>
      <c r="J334">
        <v>1</v>
      </c>
      <c r="K334">
        <f>J334+energy_grid_portfolio_dataset!G334</f>
        <v>18.100000000000001</v>
      </c>
      <c r="L334">
        <f>HOUR(energy_timestamp[[#This Row],[timestamp]])</f>
        <v>20</v>
      </c>
    </row>
    <row r="335" spans="1:12" x14ac:dyDescent="0.3">
      <c r="A335" s="12" t="s">
        <v>376</v>
      </c>
      <c r="B335" s="12" t="s">
        <v>10</v>
      </c>
      <c r="C335">
        <v>26</v>
      </c>
      <c r="D335">
        <v>28</v>
      </c>
      <c r="E335">
        <v>3.3</v>
      </c>
      <c r="F335">
        <v>0</v>
      </c>
      <c r="G335">
        <v>2.4</v>
      </c>
      <c r="H335">
        <v>4000</v>
      </c>
      <c r="I335">
        <v>7668</v>
      </c>
      <c r="J335">
        <v>1</v>
      </c>
      <c r="K335">
        <f>J335+energy_grid_portfolio_dataset!G335</f>
        <v>3.4</v>
      </c>
      <c r="L335">
        <f>HOUR(energy_timestamp[[#This Row],[timestamp]])</f>
        <v>21</v>
      </c>
    </row>
    <row r="336" spans="1:12" x14ac:dyDescent="0.3">
      <c r="A336" s="12" t="s">
        <v>377</v>
      </c>
      <c r="B336" s="12" t="s">
        <v>10</v>
      </c>
      <c r="C336">
        <v>22.4</v>
      </c>
      <c r="D336">
        <v>17.2</v>
      </c>
      <c r="E336">
        <v>4.3</v>
      </c>
      <c r="F336">
        <v>0</v>
      </c>
      <c r="G336">
        <v>5.2</v>
      </c>
      <c r="H336">
        <v>4000</v>
      </c>
      <c r="I336">
        <v>4858</v>
      </c>
      <c r="J336">
        <v>1</v>
      </c>
      <c r="K336">
        <f>J336+energy_grid_portfolio_dataset!G336</f>
        <v>6.2</v>
      </c>
      <c r="L336">
        <f>HOUR(energy_timestamp[[#This Row],[timestamp]])</f>
        <v>22</v>
      </c>
    </row>
    <row r="337" spans="1:12" x14ac:dyDescent="0.3">
      <c r="A337" s="12" t="s">
        <v>378</v>
      </c>
      <c r="B337" s="12" t="s">
        <v>10</v>
      </c>
      <c r="C337">
        <v>22.2</v>
      </c>
      <c r="D337">
        <v>33.700000000000003</v>
      </c>
      <c r="E337">
        <v>6.4</v>
      </c>
      <c r="F337">
        <v>0</v>
      </c>
      <c r="G337">
        <v>16.600000000000001</v>
      </c>
      <c r="H337">
        <v>4000</v>
      </c>
      <c r="I337">
        <v>4974.1000000000004</v>
      </c>
      <c r="J337">
        <v>1</v>
      </c>
      <c r="K337">
        <f>J337+energy_grid_portfolio_dataset!G337</f>
        <v>17.600000000000001</v>
      </c>
      <c r="L337">
        <f>HOUR(energy_timestamp[[#This Row],[timestamp]])</f>
        <v>23</v>
      </c>
    </row>
    <row r="338" spans="1:12" x14ac:dyDescent="0.3">
      <c r="A338" s="12" t="s">
        <v>43</v>
      </c>
      <c r="B338" s="12" t="s">
        <v>11</v>
      </c>
      <c r="C338">
        <v>18.5</v>
      </c>
      <c r="D338">
        <v>0</v>
      </c>
      <c r="E338">
        <v>16.7</v>
      </c>
      <c r="F338">
        <v>0</v>
      </c>
      <c r="G338">
        <v>741.4</v>
      </c>
      <c r="H338">
        <v>4000</v>
      </c>
      <c r="I338">
        <v>5092.3999999999996</v>
      </c>
      <c r="J338">
        <v>1</v>
      </c>
      <c r="K338">
        <f>J338+energy_grid_portfolio_dataset!G338</f>
        <v>742.4</v>
      </c>
      <c r="L338">
        <f>HOUR(energy_timestamp[[#This Row],[timestamp]])</f>
        <v>0</v>
      </c>
    </row>
    <row r="339" spans="1:12" x14ac:dyDescent="0.3">
      <c r="A339" s="12" t="s">
        <v>44</v>
      </c>
      <c r="B339" s="12" t="s">
        <v>11</v>
      </c>
      <c r="C339">
        <v>19.899999999999999</v>
      </c>
      <c r="D339">
        <v>15.7</v>
      </c>
      <c r="E339">
        <v>3</v>
      </c>
      <c r="F339">
        <v>0</v>
      </c>
      <c r="G339">
        <v>4.3</v>
      </c>
      <c r="H339">
        <v>4000</v>
      </c>
      <c r="I339">
        <v>4745</v>
      </c>
      <c r="J339">
        <v>1</v>
      </c>
      <c r="K339">
        <f>J339+energy_grid_portfolio_dataset!G339</f>
        <v>5.3</v>
      </c>
      <c r="L339">
        <f>HOUR(energy_timestamp[[#This Row],[timestamp]])</f>
        <v>1</v>
      </c>
    </row>
    <row r="340" spans="1:12" x14ac:dyDescent="0.3">
      <c r="A340" s="12" t="s">
        <v>45</v>
      </c>
      <c r="B340" s="12" t="s">
        <v>11</v>
      </c>
      <c r="C340">
        <v>21.3</v>
      </c>
      <c r="D340">
        <v>30.6</v>
      </c>
      <c r="E340">
        <v>0</v>
      </c>
      <c r="F340">
        <v>0</v>
      </c>
      <c r="G340">
        <v>0</v>
      </c>
      <c r="H340">
        <v>4000</v>
      </c>
      <c r="I340">
        <v>5031.2</v>
      </c>
      <c r="J340">
        <v>1</v>
      </c>
      <c r="K340">
        <f>J340+energy_grid_portfolio_dataset!G340</f>
        <v>1</v>
      </c>
      <c r="L340">
        <f>HOUR(energy_timestamp[[#This Row],[timestamp]])</f>
        <v>2</v>
      </c>
    </row>
    <row r="341" spans="1:12" x14ac:dyDescent="0.3">
      <c r="A341" s="12" t="s">
        <v>46</v>
      </c>
      <c r="B341" s="12" t="s">
        <v>11</v>
      </c>
      <c r="C341">
        <v>21.6</v>
      </c>
      <c r="D341">
        <v>8</v>
      </c>
      <c r="E341">
        <v>12.9</v>
      </c>
      <c r="F341">
        <v>0</v>
      </c>
      <c r="G341">
        <v>344.8</v>
      </c>
      <c r="H341">
        <v>4000</v>
      </c>
      <c r="I341">
        <v>4868.1000000000004</v>
      </c>
      <c r="J341">
        <v>1</v>
      </c>
      <c r="K341">
        <f>J341+energy_grid_portfolio_dataset!G341</f>
        <v>345.8</v>
      </c>
      <c r="L341">
        <f>HOUR(energy_timestamp[[#This Row],[timestamp]])</f>
        <v>3</v>
      </c>
    </row>
    <row r="342" spans="1:12" x14ac:dyDescent="0.3">
      <c r="A342" s="12" t="s">
        <v>47</v>
      </c>
      <c r="B342" s="12" t="s">
        <v>11</v>
      </c>
      <c r="C342">
        <v>22.6</v>
      </c>
      <c r="D342">
        <v>48</v>
      </c>
      <c r="E342">
        <v>7.1</v>
      </c>
      <c r="F342">
        <v>0</v>
      </c>
      <c r="G342">
        <v>58.1</v>
      </c>
      <c r="H342">
        <v>4000</v>
      </c>
      <c r="I342">
        <v>4947.7</v>
      </c>
      <c r="J342">
        <v>1</v>
      </c>
      <c r="K342">
        <f>J342+energy_grid_portfolio_dataset!G342</f>
        <v>59.1</v>
      </c>
      <c r="L342">
        <f>HOUR(energy_timestamp[[#This Row],[timestamp]])</f>
        <v>4</v>
      </c>
    </row>
    <row r="343" spans="1:12" x14ac:dyDescent="0.3">
      <c r="A343" s="12" t="s">
        <v>48</v>
      </c>
      <c r="B343" s="12" t="s">
        <v>11</v>
      </c>
      <c r="C343">
        <v>22.8</v>
      </c>
      <c r="D343">
        <v>44.3</v>
      </c>
      <c r="E343">
        <v>7.3</v>
      </c>
      <c r="F343">
        <v>0</v>
      </c>
      <c r="G343">
        <v>63.1</v>
      </c>
      <c r="H343">
        <v>4000</v>
      </c>
      <c r="I343">
        <v>5129.5</v>
      </c>
      <c r="J343">
        <v>1</v>
      </c>
      <c r="K343">
        <f>J343+energy_grid_portfolio_dataset!G343</f>
        <v>64.099999999999994</v>
      </c>
      <c r="L343">
        <f>HOUR(energy_timestamp[[#This Row],[timestamp]])</f>
        <v>5</v>
      </c>
    </row>
    <row r="344" spans="1:12" x14ac:dyDescent="0.3">
      <c r="A344" s="12" t="s">
        <v>49</v>
      </c>
      <c r="B344" s="12" t="s">
        <v>11</v>
      </c>
      <c r="C344">
        <v>23.1</v>
      </c>
      <c r="D344">
        <v>40.700000000000003</v>
      </c>
      <c r="E344">
        <v>20.6</v>
      </c>
      <c r="F344">
        <v>252.3</v>
      </c>
      <c r="G344">
        <v>1390.3</v>
      </c>
      <c r="H344">
        <v>3240.9</v>
      </c>
      <c r="I344">
        <v>4883.5</v>
      </c>
      <c r="J344">
        <v>0</v>
      </c>
      <c r="K344">
        <f>J344+energy_grid_portfolio_dataset!G344</f>
        <v>1390.3</v>
      </c>
      <c r="L344">
        <f>HOUR(energy_timestamp[[#This Row],[timestamp]])</f>
        <v>6</v>
      </c>
    </row>
    <row r="345" spans="1:12" x14ac:dyDescent="0.3">
      <c r="A345" s="12" t="s">
        <v>50</v>
      </c>
      <c r="B345" s="12" t="s">
        <v>11</v>
      </c>
      <c r="C345">
        <v>23.4</v>
      </c>
      <c r="D345">
        <v>81.8</v>
      </c>
      <c r="E345">
        <v>11</v>
      </c>
      <c r="F345">
        <v>331.5</v>
      </c>
      <c r="G345">
        <v>210.3</v>
      </c>
      <c r="H345">
        <v>4000</v>
      </c>
      <c r="I345">
        <v>4744.2</v>
      </c>
      <c r="J345">
        <v>1</v>
      </c>
      <c r="K345">
        <f>J345+energy_grid_portfolio_dataset!G345</f>
        <v>211.3</v>
      </c>
      <c r="L345">
        <f>HOUR(energy_timestamp[[#This Row],[timestamp]])</f>
        <v>7</v>
      </c>
    </row>
    <row r="346" spans="1:12" x14ac:dyDescent="0.3">
      <c r="A346" s="12" t="s">
        <v>51</v>
      </c>
      <c r="B346" s="12" t="s">
        <v>11</v>
      </c>
      <c r="C346">
        <v>27</v>
      </c>
      <c r="D346">
        <v>29.9</v>
      </c>
      <c r="E346">
        <v>21.1</v>
      </c>
      <c r="F346">
        <v>767.7</v>
      </c>
      <c r="G346">
        <v>1509.5</v>
      </c>
      <c r="H346">
        <v>2572.4</v>
      </c>
      <c r="I346">
        <v>4849.6000000000004</v>
      </c>
      <c r="J346">
        <v>0</v>
      </c>
      <c r="K346">
        <f>J346+energy_grid_portfolio_dataset!G346</f>
        <v>1509.5</v>
      </c>
      <c r="L346">
        <f>HOUR(energy_timestamp[[#This Row],[timestamp]])</f>
        <v>8</v>
      </c>
    </row>
    <row r="347" spans="1:12" x14ac:dyDescent="0.3">
      <c r="A347" s="12" t="s">
        <v>52</v>
      </c>
      <c r="B347" s="12" t="s">
        <v>11</v>
      </c>
      <c r="C347">
        <v>26.3</v>
      </c>
      <c r="D347">
        <v>98.9</v>
      </c>
      <c r="E347">
        <v>9</v>
      </c>
      <c r="F347">
        <v>476.6</v>
      </c>
      <c r="G347">
        <v>115.5</v>
      </c>
      <c r="H347">
        <v>4000</v>
      </c>
      <c r="I347">
        <v>5051.7</v>
      </c>
      <c r="J347">
        <v>1</v>
      </c>
      <c r="K347">
        <f>J347+energy_grid_portfolio_dataset!G347</f>
        <v>116.5</v>
      </c>
      <c r="L347">
        <f>HOUR(energy_timestamp[[#This Row],[timestamp]])</f>
        <v>9</v>
      </c>
    </row>
    <row r="348" spans="1:12" x14ac:dyDescent="0.3">
      <c r="A348" s="12" t="s">
        <v>53</v>
      </c>
      <c r="B348" s="12" t="s">
        <v>11</v>
      </c>
      <c r="C348">
        <v>27.8</v>
      </c>
      <c r="D348">
        <v>77.5</v>
      </c>
      <c r="E348">
        <v>19.8</v>
      </c>
      <c r="F348">
        <v>722.7</v>
      </c>
      <c r="G348">
        <v>1243.4000000000001</v>
      </c>
      <c r="H348">
        <v>4000</v>
      </c>
      <c r="I348">
        <v>7261.3</v>
      </c>
      <c r="J348">
        <v>1</v>
      </c>
      <c r="K348">
        <f>J348+energy_grid_portfolio_dataset!G348</f>
        <v>1244.4000000000001</v>
      </c>
      <c r="L348">
        <f>HOUR(energy_timestamp[[#This Row],[timestamp]])</f>
        <v>10</v>
      </c>
    </row>
    <row r="349" spans="1:12" x14ac:dyDescent="0.3">
      <c r="A349" s="12" t="s">
        <v>54</v>
      </c>
      <c r="B349" s="12" t="s">
        <v>11</v>
      </c>
      <c r="C349">
        <v>27.1</v>
      </c>
      <c r="D349">
        <v>56.5</v>
      </c>
      <c r="E349">
        <v>8.6</v>
      </c>
      <c r="F349">
        <v>966.6</v>
      </c>
      <c r="G349">
        <v>102.2</v>
      </c>
      <c r="H349">
        <v>4000</v>
      </c>
      <c r="I349">
        <v>7154.8</v>
      </c>
      <c r="J349">
        <v>1</v>
      </c>
      <c r="K349">
        <f>J349+energy_grid_portfolio_dataset!G349</f>
        <v>103.2</v>
      </c>
      <c r="L349">
        <f>HOUR(energy_timestamp[[#This Row],[timestamp]])</f>
        <v>11</v>
      </c>
    </row>
    <row r="350" spans="1:12" x14ac:dyDescent="0.3">
      <c r="A350" s="12" t="s">
        <v>55</v>
      </c>
      <c r="B350" s="12" t="s">
        <v>11</v>
      </c>
      <c r="C350">
        <v>28.1</v>
      </c>
      <c r="D350">
        <v>35.9</v>
      </c>
      <c r="E350">
        <v>12.9</v>
      </c>
      <c r="F350">
        <v>1177.2</v>
      </c>
      <c r="G350">
        <v>345.3</v>
      </c>
      <c r="H350">
        <v>4000</v>
      </c>
      <c r="I350">
        <v>7452</v>
      </c>
      <c r="J350">
        <v>1</v>
      </c>
      <c r="K350">
        <f>J350+energy_grid_portfolio_dataset!G350</f>
        <v>346.3</v>
      </c>
      <c r="L350">
        <f>HOUR(energy_timestamp[[#This Row],[timestamp]])</f>
        <v>12</v>
      </c>
    </row>
    <row r="351" spans="1:12" x14ac:dyDescent="0.3">
      <c r="A351" s="12" t="s">
        <v>56</v>
      </c>
      <c r="B351" s="12" t="s">
        <v>11</v>
      </c>
      <c r="C351">
        <v>26.9</v>
      </c>
      <c r="D351">
        <v>75</v>
      </c>
      <c r="E351">
        <v>8.6999999999999993</v>
      </c>
      <c r="F351">
        <v>804.2</v>
      </c>
      <c r="G351">
        <v>105.9</v>
      </c>
      <c r="H351">
        <v>4000</v>
      </c>
      <c r="I351">
        <v>6947.9</v>
      </c>
      <c r="J351">
        <v>1</v>
      </c>
      <c r="K351">
        <f>J351+energy_grid_portfolio_dataset!G351</f>
        <v>106.9</v>
      </c>
      <c r="L351">
        <f>HOUR(energy_timestamp[[#This Row],[timestamp]])</f>
        <v>13</v>
      </c>
    </row>
    <row r="352" spans="1:12" x14ac:dyDescent="0.3">
      <c r="A352" s="12" t="s">
        <v>57</v>
      </c>
      <c r="B352" s="12" t="s">
        <v>11</v>
      </c>
      <c r="C352">
        <v>28</v>
      </c>
      <c r="D352">
        <v>74.599999999999994</v>
      </c>
      <c r="E352">
        <v>15.6</v>
      </c>
      <c r="F352">
        <v>746.2</v>
      </c>
      <c r="G352">
        <v>606.79999999999995</v>
      </c>
      <c r="H352">
        <v>4000</v>
      </c>
      <c r="I352">
        <v>6993</v>
      </c>
      <c r="J352">
        <v>1</v>
      </c>
      <c r="K352">
        <f>J352+energy_grid_portfolio_dataset!G352</f>
        <v>607.79999999999995</v>
      </c>
      <c r="L352">
        <f>HOUR(energy_timestamp[[#This Row],[timestamp]])</f>
        <v>14</v>
      </c>
    </row>
    <row r="353" spans="1:12" x14ac:dyDescent="0.3">
      <c r="A353" s="12" t="s">
        <v>58</v>
      </c>
      <c r="B353" s="12" t="s">
        <v>11</v>
      </c>
      <c r="C353">
        <v>26.1</v>
      </c>
      <c r="D353">
        <v>9.5</v>
      </c>
      <c r="E353">
        <v>19.5</v>
      </c>
      <c r="F353">
        <v>1106.2</v>
      </c>
      <c r="G353">
        <v>1187.5999999999999</v>
      </c>
      <c r="H353">
        <v>2805.6</v>
      </c>
      <c r="I353">
        <v>5099.3999999999996</v>
      </c>
      <c r="J353">
        <v>0</v>
      </c>
      <c r="K353">
        <f>J353+energy_grid_portfolio_dataset!G353</f>
        <v>1187.5999999999999</v>
      </c>
      <c r="L353">
        <f>HOUR(energy_timestamp[[#This Row],[timestamp]])</f>
        <v>15</v>
      </c>
    </row>
    <row r="354" spans="1:12" x14ac:dyDescent="0.3">
      <c r="A354" s="12" t="s">
        <v>59</v>
      </c>
      <c r="B354" s="12" t="s">
        <v>11</v>
      </c>
      <c r="C354">
        <v>25.7</v>
      </c>
      <c r="D354">
        <v>78.2</v>
      </c>
      <c r="E354">
        <v>14.8</v>
      </c>
      <c r="F354">
        <v>496.4</v>
      </c>
      <c r="G354">
        <v>516.70000000000005</v>
      </c>
      <c r="H354">
        <v>3888.5</v>
      </c>
      <c r="I354">
        <v>4901.6000000000004</v>
      </c>
      <c r="J354">
        <v>0</v>
      </c>
      <c r="K354">
        <f>J354+energy_grid_portfolio_dataset!G354</f>
        <v>516.70000000000005</v>
      </c>
      <c r="L354">
        <f>HOUR(energy_timestamp[[#This Row],[timestamp]])</f>
        <v>16</v>
      </c>
    </row>
    <row r="355" spans="1:12" x14ac:dyDescent="0.3">
      <c r="A355" s="12" t="s">
        <v>60</v>
      </c>
      <c r="B355" s="12" t="s">
        <v>11</v>
      </c>
      <c r="C355">
        <v>27.2</v>
      </c>
      <c r="D355">
        <v>28.9</v>
      </c>
      <c r="E355">
        <v>16.600000000000001</v>
      </c>
      <c r="F355">
        <v>537.9</v>
      </c>
      <c r="G355">
        <v>737.1</v>
      </c>
      <c r="H355">
        <v>3743.4</v>
      </c>
      <c r="I355">
        <v>5018.3999999999996</v>
      </c>
      <c r="J355">
        <v>0</v>
      </c>
      <c r="K355">
        <f>J355+energy_grid_portfolio_dataset!G355</f>
        <v>737.1</v>
      </c>
      <c r="L355">
        <f>HOUR(energy_timestamp[[#This Row],[timestamp]])</f>
        <v>17</v>
      </c>
    </row>
    <row r="356" spans="1:12" x14ac:dyDescent="0.3">
      <c r="A356" s="12" t="s">
        <v>61</v>
      </c>
      <c r="B356" s="12" t="s">
        <v>11</v>
      </c>
      <c r="C356">
        <v>24.3</v>
      </c>
      <c r="D356">
        <v>83.2</v>
      </c>
      <c r="E356">
        <v>14.5</v>
      </c>
      <c r="F356">
        <v>167.1</v>
      </c>
      <c r="G356">
        <v>491.7</v>
      </c>
      <c r="H356">
        <v>4000</v>
      </c>
      <c r="I356">
        <v>7708.6</v>
      </c>
      <c r="J356">
        <v>1</v>
      </c>
      <c r="K356">
        <f>J356+energy_grid_portfolio_dataset!G356</f>
        <v>492.7</v>
      </c>
      <c r="L356">
        <f>HOUR(energy_timestamp[[#This Row],[timestamp]])</f>
        <v>18</v>
      </c>
    </row>
    <row r="357" spans="1:12" x14ac:dyDescent="0.3">
      <c r="A357" s="12" t="s">
        <v>62</v>
      </c>
      <c r="B357" s="12" t="s">
        <v>11</v>
      </c>
      <c r="C357">
        <v>24</v>
      </c>
      <c r="D357">
        <v>35.9</v>
      </c>
      <c r="E357">
        <v>7.8</v>
      </c>
      <c r="F357">
        <v>0</v>
      </c>
      <c r="G357">
        <v>76</v>
      </c>
      <c r="H357">
        <v>4000</v>
      </c>
      <c r="I357">
        <v>7780.7</v>
      </c>
      <c r="J357">
        <v>1</v>
      </c>
      <c r="K357">
        <f>J357+energy_grid_portfolio_dataset!G357</f>
        <v>77</v>
      </c>
      <c r="L357">
        <f>HOUR(energy_timestamp[[#This Row],[timestamp]])</f>
        <v>19</v>
      </c>
    </row>
    <row r="358" spans="1:12" x14ac:dyDescent="0.3">
      <c r="A358" s="12" t="s">
        <v>63</v>
      </c>
      <c r="B358" s="12" t="s">
        <v>11</v>
      </c>
      <c r="C358">
        <v>20</v>
      </c>
      <c r="D358">
        <v>96.4</v>
      </c>
      <c r="E358">
        <v>6.5</v>
      </c>
      <c r="F358">
        <v>0</v>
      </c>
      <c r="G358">
        <v>43.6</v>
      </c>
      <c r="H358">
        <v>4000</v>
      </c>
      <c r="I358">
        <v>7543.3</v>
      </c>
      <c r="J358">
        <v>1</v>
      </c>
      <c r="K358">
        <f>J358+energy_grid_portfolio_dataset!G358</f>
        <v>44.6</v>
      </c>
      <c r="L358">
        <f>HOUR(energy_timestamp[[#This Row],[timestamp]])</f>
        <v>20</v>
      </c>
    </row>
    <row r="359" spans="1:12" x14ac:dyDescent="0.3">
      <c r="A359" s="12" t="s">
        <v>64</v>
      </c>
      <c r="B359" s="12" t="s">
        <v>11</v>
      </c>
      <c r="C359">
        <v>20.9</v>
      </c>
      <c r="D359">
        <v>52.7</v>
      </c>
      <c r="E359">
        <v>16.100000000000001</v>
      </c>
      <c r="F359">
        <v>0</v>
      </c>
      <c r="G359">
        <v>665.1</v>
      </c>
      <c r="H359">
        <v>4000</v>
      </c>
      <c r="I359">
        <v>7666.8</v>
      </c>
      <c r="J359">
        <v>1</v>
      </c>
      <c r="K359">
        <f>J359+energy_grid_portfolio_dataset!G359</f>
        <v>666.1</v>
      </c>
      <c r="L359">
        <f>HOUR(energy_timestamp[[#This Row],[timestamp]])</f>
        <v>21</v>
      </c>
    </row>
    <row r="360" spans="1:12" x14ac:dyDescent="0.3">
      <c r="A360" s="12" t="s">
        <v>65</v>
      </c>
      <c r="B360" s="12" t="s">
        <v>11</v>
      </c>
      <c r="C360">
        <v>20</v>
      </c>
      <c r="D360">
        <v>40.799999999999997</v>
      </c>
      <c r="E360">
        <v>13.4</v>
      </c>
      <c r="F360">
        <v>0</v>
      </c>
      <c r="G360">
        <v>386.1</v>
      </c>
      <c r="H360">
        <v>4000</v>
      </c>
      <c r="I360">
        <v>5079.1000000000004</v>
      </c>
      <c r="J360">
        <v>1</v>
      </c>
      <c r="K360">
        <f>J360+energy_grid_portfolio_dataset!G360</f>
        <v>387.1</v>
      </c>
      <c r="L360">
        <f>HOUR(energy_timestamp[[#This Row],[timestamp]])</f>
        <v>22</v>
      </c>
    </row>
    <row r="361" spans="1:12" x14ac:dyDescent="0.3">
      <c r="A361" s="12" t="s">
        <v>66</v>
      </c>
      <c r="B361" s="12" t="s">
        <v>11</v>
      </c>
      <c r="C361">
        <v>21.7</v>
      </c>
      <c r="D361">
        <v>57.3</v>
      </c>
      <c r="E361">
        <v>15.7</v>
      </c>
      <c r="F361">
        <v>0</v>
      </c>
      <c r="G361">
        <v>616.20000000000005</v>
      </c>
      <c r="H361">
        <v>4000</v>
      </c>
      <c r="I361">
        <v>4912.7</v>
      </c>
      <c r="J361">
        <v>1</v>
      </c>
      <c r="K361">
        <f>J361+energy_grid_portfolio_dataset!G361</f>
        <v>617.20000000000005</v>
      </c>
      <c r="L361">
        <f>HOUR(energy_timestamp[[#This Row],[timestamp]])</f>
        <v>23</v>
      </c>
    </row>
    <row r="362" spans="1:12" x14ac:dyDescent="0.3">
      <c r="A362" s="12" t="s">
        <v>67</v>
      </c>
      <c r="B362" s="12" t="s">
        <v>11</v>
      </c>
      <c r="C362">
        <v>21.2</v>
      </c>
      <c r="D362">
        <v>49.5</v>
      </c>
      <c r="E362">
        <v>5.5</v>
      </c>
      <c r="F362">
        <v>0</v>
      </c>
      <c r="G362">
        <v>26.9</v>
      </c>
      <c r="H362">
        <v>4000</v>
      </c>
      <c r="I362">
        <v>5049.3999999999996</v>
      </c>
      <c r="J362">
        <v>1</v>
      </c>
      <c r="K362">
        <f>J362+energy_grid_portfolio_dataset!G362</f>
        <v>27.9</v>
      </c>
      <c r="L362">
        <f>HOUR(energy_timestamp[[#This Row],[timestamp]])</f>
        <v>0</v>
      </c>
    </row>
    <row r="363" spans="1:12" x14ac:dyDescent="0.3">
      <c r="A363" s="12" t="s">
        <v>68</v>
      </c>
      <c r="B363" s="12" t="s">
        <v>11</v>
      </c>
      <c r="C363">
        <v>19.5</v>
      </c>
      <c r="D363">
        <v>31.8</v>
      </c>
      <c r="E363">
        <v>14.9</v>
      </c>
      <c r="F363">
        <v>0</v>
      </c>
      <c r="G363">
        <v>532.70000000000005</v>
      </c>
      <c r="H363">
        <v>4000</v>
      </c>
      <c r="I363">
        <v>5010</v>
      </c>
      <c r="J363">
        <v>1</v>
      </c>
      <c r="K363">
        <f>J363+energy_grid_portfolio_dataset!G363</f>
        <v>533.70000000000005</v>
      </c>
      <c r="L363">
        <f>HOUR(energy_timestamp[[#This Row],[timestamp]])</f>
        <v>1</v>
      </c>
    </row>
    <row r="364" spans="1:12" x14ac:dyDescent="0.3">
      <c r="A364" s="12" t="s">
        <v>69</v>
      </c>
      <c r="B364" s="12" t="s">
        <v>11</v>
      </c>
      <c r="C364">
        <v>20.6</v>
      </c>
      <c r="D364">
        <v>52.7</v>
      </c>
      <c r="E364">
        <v>20.5</v>
      </c>
      <c r="F364">
        <v>0</v>
      </c>
      <c r="G364">
        <v>1380.7</v>
      </c>
      <c r="H364">
        <v>3755</v>
      </c>
      <c r="I364">
        <v>5135.7</v>
      </c>
      <c r="J364">
        <v>0</v>
      </c>
      <c r="K364">
        <f>J364+energy_grid_portfolio_dataset!G364</f>
        <v>1380.7</v>
      </c>
      <c r="L364">
        <f>HOUR(energy_timestamp[[#This Row],[timestamp]])</f>
        <v>2</v>
      </c>
    </row>
    <row r="365" spans="1:12" x14ac:dyDescent="0.3">
      <c r="A365" s="12" t="s">
        <v>70</v>
      </c>
      <c r="B365" s="12" t="s">
        <v>11</v>
      </c>
      <c r="C365">
        <v>23.8</v>
      </c>
      <c r="D365">
        <v>59.1</v>
      </c>
      <c r="E365">
        <v>3.2</v>
      </c>
      <c r="F365">
        <v>0</v>
      </c>
      <c r="G365">
        <v>5.2</v>
      </c>
      <c r="H365">
        <v>4000</v>
      </c>
      <c r="I365">
        <v>4986.1000000000004</v>
      </c>
      <c r="J365">
        <v>1</v>
      </c>
      <c r="K365">
        <f>J365+energy_grid_portfolio_dataset!G365</f>
        <v>6.2</v>
      </c>
      <c r="L365">
        <f>HOUR(energy_timestamp[[#This Row],[timestamp]])</f>
        <v>3</v>
      </c>
    </row>
    <row r="366" spans="1:12" x14ac:dyDescent="0.3">
      <c r="A366" s="12" t="s">
        <v>71</v>
      </c>
      <c r="B366" s="12" t="s">
        <v>11</v>
      </c>
      <c r="C366">
        <v>22.4</v>
      </c>
      <c r="D366">
        <v>77.2</v>
      </c>
      <c r="E366">
        <v>15.4</v>
      </c>
      <c r="F366">
        <v>0</v>
      </c>
      <c r="G366">
        <v>580.5</v>
      </c>
      <c r="H366">
        <v>4000</v>
      </c>
      <c r="I366">
        <v>5063</v>
      </c>
      <c r="J366">
        <v>1</v>
      </c>
      <c r="K366">
        <f>J366+energy_grid_portfolio_dataset!G366</f>
        <v>581.5</v>
      </c>
      <c r="L366">
        <f>HOUR(energy_timestamp[[#This Row],[timestamp]])</f>
        <v>4</v>
      </c>
    </row>
    <row r="367" spans="1:12" x14ac:dyDescent="0.3">
      <c r="A367" s="12" t="s">
        <v>72</v>
      </c>
      <c r="B367" s="12" t="s">
        <v>11</v>
      </c>
      <c r="C367">
        <v>21.7</v>
      </c>
      <c r="D367">
        <v>39.799999999999997</v>
      </c>
      <c r="E367">
        <v>7.7</v>
      </c>
      <c r="F367">
        <v>0</v>
      </c>
      <c r="G367">
        <v>74.400000000000006</v>
      </c>
      <c r="H367">
        <v>4000</v>
      </c>
      <c r="I367">
        <v>4929.2</v>
      </c>
      <c r="J367">
        <v>1</v>
      </c>
      <c r="K367">
        <f>J367+energy_grid_portfolio_dataset!G367</f>
        <v>75.400000000000006</v>
      </c>
      <c r="L367">
        <f>HOUR(energy_timestamp[[#This Row],[timestamp]])</f>
        <v>5</v>
      </c>
    </row>
    <row r="368" spans="1:12" x14ac:dyDescent="0.3">
      <c r="A368" s="12" t="s">
        <v>73</v>
      </c>
      <c r="B368" s="12" t="s">
        <v>11</v>
      </c>
      <c r="C368">
        <v>24.6</v>
      </c>
      <c r="D368">
        <v>86.7</v>
      </c>
      <c r="E368">
        <v>14</v>
      </c>
      <c r="F368">
        <v>160.1</v>
      </c>
      <c r="G368">
        <v>436.5</v>
      </c>
      <c r="H368">
        <v>4000</v>
      </c>
      <c r="I368">
        <v>4862.8999999999996</v>
      </c>
      <c r="J368">
        <v>1</v>
      </c>
      <c r="K368">
        <f>J368+energy_grid_portfolio_dataset!G368</f>
        <v>437.5</v>
      </c>
      <c r="L368">
        <f>HOUR(energy_timestamp[[#This Row],[timestamp]])</f>
        <v>6</v>
      </c>
    </row>
    <row r="369" spans="1:12" x14ac:dyDescent="0.3">
      <c r="A369" s="12" t="s">
        <v>74</v>
      </c>
      <c r="B369" s="12" t="s">
        <v>11</v>
      </c>
      <c r="C369">
        <v>25.5</v>
      </c>
      <c r="D369">
        <v>74.900000000000006</v>
      </c>
      <c r="E369">
        <v>9</v>
      </c>
      <c r="F369">
        <v>358.3</v>
      </c>
      <c r="G369">
        <v>114.7</v>
      </c>
      <c r="H369">
        <v>4000</v>
      </c>
      <c r="I369">
        <v>4770.6000000000004</v>
      </c>
      <c r="J369">
        <v>1</v>
      </c>
      <c r="K369">
        <f>J369+energy_grid_portfolio_dataset!G369</f>
        <v>115.7</v>
      </c>
      <c r="L369">
        <f>HOUR(energy_timestamp[[#This Row],[timestamp]])</f>
        <v>7</v>
      </c>
    </row>
    <row r="370" spans="1:12" x14ac:dyDescent="0.3">
      <c r="A370" s="12" t="s">
        <v>75</v>
      </c>
      <c r="B370" s="12" t="s">
        <v>11</v>
      </c>
      <c r="C370">
        <v>26</v>
      </c>
      <c r="D370">
        <v>25.4</v>
      </c>
      <c r="E370">
        <v>15.2</v>
      </c>
      <c r="F370">
        <v>792.8</v>
      </c>
      <c r="G370">
        <v>566.5</v>
      </c>
      <c r="H370">
        <v>3570.6</v>
      </c>
      <c r="I370">
        <v>4929.8999999999996</v>
      </c>
      <c r="J370">
        <v>0</v>
      </c>
      <c r="K370">
        <f>J370+energy_grid_portfolio_dataset!G370</f>
        <v>566.5</v>
      </c>
      <c r="L370">
        <f>HOUR(energy_timestamp[[#This Row],[timestamp]])</f>
        <v>8</v>
      </c>
    </row>
    <row r="371" spans="1:12" x14ac:dyDescent="0.3">
      <c r="A371" s="12" t="s">
        <v>76</v>
      </c>
      <c r="B371" s="12" t="s">
        <v>11</v>
      </c>
      <c r="C371">
        <v>27.2</v>
      </c>
      <c r="D371">
        <v>22.8</v>
      </c>
      <c r="E371">
        <v>9.8000000000000007</v>
      </c>
      <c r="F371">
        <v>1012.2</v>
      </c>
      <c r="G371">
        <v>151.19999999999999</v>
      </c>
      <c r="H371">
        <v>3768.5</v>
      </c>
      <c r="I371">
        <v>4931.8999999999996</v>
      </c>
      <c r="J371">
        <v>0</v>
      </c>
      <c r="K371">
        <f>J371+energy_grid_portfolio_dataset!G371</f>
        <v>151.19999999999999</v>
      </c>
      <c r="L371">
        <f>HOUR(energy_timestamp[[#This Row],[timestamp]])</f>
        <v>9</v>
      </c>
    </row>
    <row r="372" spans="1:12" x14ac:dyDescent="0.3">
      <c r="A372" s="12" t="s">
        <v>77</v>
      </c>
      <c r="B372" s="12" t="s">
        <v>11</v>
      </c>
      <c r="C372">
        <v>27.1</v>
      </c>
      <c r="D372">
        <v>88.2</v>
      </c>
      <c r="E372">
        <v>10</v>
      </c>
      <c r="F372">
        <v>636.5</v>
      </c>
      <c r="G372">
        <v>160.1</v>
      </c>
      <c r="H372">
        <v>4000</v>
      </c>
      <c r="I372">
        <v>7258.4</v>
      </c>
      <c r="J372">
        <v>1</v>
      </c>
      <c r="K372">
        <f>J372+energy_grid_portfolio_dataset!G372</f>
        <v>161.1</v>
      </c>
      <c r="L372">
        <f>HOUR(energy_timestamp[[#This Row],[timestamp]])</f>
        <v>10</v>
      </c>
    </row>
    <row r="373" spans="1:12" x14ac:dyDescent="0.3">
      <c r="A373" s="12" t="s">
        <v>78</v>
      </c>
      <c r="B373" s="12" t="s">
        <v>11</v>
      </c>
      <c r="C373">
        <v>28.8</v>
      </c>
      <c r="D373">
        <v>9.5</v>
      </c>
      <c r="E373">
        <v>3.2</v>
      </c>
      <c r="F373">
        <v>1378.7</v>
      </c>
      <c r="G373">
        <v>5.2</v>
      </c>
      <c r="H373">
        <v>4000</v>
      </c>
      <c r="I373">
        <v>7183.7</v>
      </c>
      <c r="J373">
        <v>1</v>
      </c>
      <c r="K373">
        <f>J373+energy_grid_portfolio_dataset!G373</f>
        <v>6.2</v>
      </c>
      <c r="L373">
        <f>HOUR(energy_timestamp[[#This Row],[timestamp]])</f>
        <v>11</v>
      </c>
    </row>
    <row r="374" spans="1:12" x14ac:dyDescent="0.3">
      <c r="A374" s="12" t="s">
        <v>79</v>
      </c>
      <c r="B374" s="12" t="s">
        <v>11</v>
      </c>
      <c r="C374">
        <v>29.3</v>
      </c>
      <c r="D374">
        <v>31.2</v>
      </c>
      <c r="E374">
        <v>24.8</v>
      </c>
      <c r="F374">
        <v>1219.2</v>
      </c>
      <c r="G374">
        <v>2437.8000000000002</v>
      </c>
      <c r="H374">
        <v>3264.2</v>
      </c>
      <c r="I374">
        <v>6921.2</v>
      </c>
      <c r="J374">
        <v>0</v>
      </c>
      <c r="K374">
        <f>J374+energy_grid_portfolio_dataset!G374</f>
        <v>2437.8000000000002</v>
      </c>
      <c r="L374">
        <f>HOUR(energy_timestamp[[#This Row],[timestamp]])</f>
        <v>12</v>
      </c>
    </row>
    <row r="375" spans="1:12" x14ac:dyDescent="0.3">
      <c r="A375" s="12" t="s">
        <v>80</v>
      </c>
      <c r="B375" s="12" t="s">
        <v>11</v>
      </c>
      <c r="C375">
        <v>28</v>
      </c>
      <c r="D375">
        <v>83.6</v>
      </c>
      <c r="E375">
        <v>22</v>
      </c>
      <c r="F375">
        <v>729.3</v>
      </c>
      <c r="G375">
        <v>1710.8</v>
      </c>
      <c r="H375">
        <v>4000</v>
      </c>
      <c r="I375">
        <v>7065.4</v>
      </c>
      <c r="J375">
        <v>1</v>
      </c>
      <c r="K375">
        <f>J375+energy_grid_portfolio_dataset!G375</f>
        <v>1711.8</v>
      </c>
      <c r="L375">
        <f>HOUR(energy_timestamp[[#This Row],[timestamp]])</f>
        <v>13</v>
      </c>
    </row>
    <row r="376" spans="1:12" x14ac:dyDescent="0.3">
      <c r="A376" s="12" t="s">
        <v>81</v>
      </c>
      <c r="B376" s="12" t="s">
        <v>11</v>
      </c>
      <c r="C376">
        <v>28.7</v>
      </c>
      <c r="D376">
        <v>70.599999999999994</v>
      </c>
      <c r="E376">
        <v>15</v>
      </c>
      <c r="F376">
        <v>779</v>
      </c>
      <c r="G376">
        <v>536</v>
      </c>
      <c r="H376">
        <v>4000</v>
      </c>
      <c r="I376">
        <v>7459.2</v>
      </c>
      <c r="J376">
        <v>1</v>
      </c>
      <c r="K376">
        <f>J376+energy_grid_portfolio_dataset!G376</f>
        <v>537</v>
      </c>
      <c r="L376">
        <f>HOUR(energy_timestamp[[#This Row],[timestamp]])</f>
        <v>14</v>
      </c>
    </row>
    <row r="377" spans="1:12" x14ac:dyDescent="0.3">
      <c r="A377" s="12" t="s">
        <v>82</v>
      </c>
      <c r="B377" s="12" t="s">
        <v>11</v>
      </c>
      <c r="C377">
        <v>26.3</v>
      </c>
      <c r="D377">
        <v>24.5</v>
      </c>
      <c r="E377">
        <v>12</v>
      </c>
      <c r="F377">
        <v>1000</v>
      </c>
      <c r="G377">
        <v>275.3</v>
      </c>
      <c r="H377">
        <v>3791.5</v>
      </c>
      <c r="I377">
        <v>5066.8</v>
      </c>
      <c r="J377">
        <v>0</v>
      </c>
      <c r="K377">
        <f>J377+energy_grid_portfolio_dataset!G377</f>
        <v>275.3</v>
      </c>
      <c r="L377">
        <f>HOUR(energy_timestamp[[#This Row],[timestamp]])</f>
        <v>15</v>
      </c>
    </row>
    <row r="378" spans="1:12" x14ac:dyDescent="0.3">
      <c r="A378" s="12" t="s">
        <v>83</v>
      </c>
      <c r="B378" s="12" t="s">
        <v>11</v>
      </c>
      <c r="C378">
        <v>25.5</v>
      </c>
      <c r="D378">
        <v>62.4</v>
      </c>
      <c r="E378">
        <v>16.8</v>
      </c>
      <c r="F378">
        <v>585</v>
      </c>
      <c r="G378">
        <v>755.5</v>
      </c>
      <c r="H378">
        <v>3584</v>
      </c>
      <c r="I378">
        <v>4924.5</v>
      </c>
      <c r="J378">
        <v>0</v>
      </c>
      <c r="K378">
        <f>J378+energy_grid_portfolio_dataset!G378</f>
        <v>755.5</v>
      </c>
      <c r="L378">
        <f>HOUR(energy_timestamp[[#This Row],[timestamp]])</f>
        <v>16</v>
      </c>
    </row>
    <row r="379" spans="1:12" x14ac:dyDescent="0.3">
      <c r="A379" s="12" t="s">
        <v>84</v>
      </c>
      <c r="B379" s="12" t="s">
        <v>11</v>
      </c>
      <c r="C379">
        <v>26.5</v>
      </c>
      <c r="D379">
        <v>16.5</v>
      </c>
      <c r="E379">
        <v>11</v>
      </c>
      <c r="F379">
        <v>586.6</v>
      </c>
      <c r="G379">
        <v>214.8</v>
      </c>
      <c r="H379">
        <v>4000</v>
      </c>
      <c r="I379">
        <v>4963.3</v>
      </c>
      <c r="J379">
        <v>1</v>
      </c>
      <c r="K379">
        <f>J379+energy_grid_portfolio_dataset!G379</f>
        <v>215.8</v>
      </c>
      <c r="L379">
        <f>HOUR(energy_timestamp[[#This Row],[timestamp]])</f>
        <v>17</v>
      </c>
    </row>
    <row r="380" spans="1:12" x14ac:dyDescent="0.3">
      <c r="A380" s="12" t="s">
        <v>85</v>
      </c>
      <c r="B380" s="12" t="s">
        <v>11</v>
      </c>
      <c r="C380">
        <v>22.1</v>
      </c>
      <c r="D380">
        <v>42.9</v>
      </c>
      <c r="E380">
        <v>11.4</v>
      </c>
      <c r="F380">
        <v>247.8</v>
      </c>
      <c r="G380">
        <v>236.5</v>
      </c>
      <c r="H380">
        <v>4000</v>
      </c>
      <c r="I380">
        <v>7592.5</v>
      </c>
      <c r="J380">
        <v>1</v>
      </c>
      <c r="K380">
        <f>J380+energy_grid_portfolio_dataset!G380</f>
        <v>237.5</v>
      </c>
      <c r="L380">
        <f>HOUR(energy_timestamp[[#This Row],[timestamp]])</f>
        <v>18</v>
      </c>
    </row>
    <row r="381" spans="1:12" x14ac:dyDescent="0.3">
      <c r="A381" s="12" t="s">
        <v>86</v>
      </c>
      <c r="B381" s="12" t="s">
        <v>11</v>
      </c>
      <c r="C381">
        <v>23.6</v>
      </c>
      <c r="D381">
        <v>19.399999999999999</v>
      </c>
      <c r="E381">
        <v>21.3</v>
      </c>
      <c r="F381">
        <v>0</v>
      </c>
      <c r="G381">
        <v>1539.8</v>
      </c>
      <c r="H381">
        <v>4000</v>
      </c>
      <c r="I381">
        <v>7927</v>
      </c>
      <c r="J381">
        <v>1</v>
      </c>
      <c r="K381">
        <f>J381+energy_grid_portfolio_dataset!G381</f>
        <v>1540.8</v>
      </c>
      <c r="L381">
        <f>HOUR(energy_timestamp[[#This Row],[timestamp]])</f>
        <v>19</v>
      </c>
    </row>
    <row r="382" spans="1:12" x14ac:dyDescent="0.3">
      <c r="A382" s="12" t="s">
        <v>87</v>
      </c>
      <c r="B382" s="12" t="s">
        <v>11</v>
      </c>
      <c r="C382">
        <v>22.6</v>
      </c>
      <c r="D382">
        <v>39.299999999999997</v>
      </c>
      <c r="E382">
        <v>7.2</v>
      </c>
      <c r="F382">
        <v>0</v>
      </c>
      <c r="G382">
        <v>59.8</v>
      </c>
      <c r="H382">
        <v>4000</v>
      </c>
      <c r="I382">
        <v>7883.2</v>
      </c>
      <c r="J382">
        <v>1</v>
      </c>
      <c r="K382">
        <f>J382+energy_grid_portfolio_dataset!G382</f>
        <v>60.8</v>
      </c>
      <c r="L382">
        <f>HOUR(energy_timestamp[[#This Row],[timestamp]])</f>
        <v>20</v>
      </c>
    </row>
    <row r="383" spans="1:12" x14ac:dyDescent="0.3">
      <c r="A383" s="12" t="s">
        <v>88</v>
      </c>
      <c r="B383" s="12" t="s">
        <v>11</v>
      </c>
      <c r="C383">
        <v>22.3</v>
      </c>
      <c r="D383">
        <v>92.1</v>
      </c>
      <c r="E383">
        <v>19.7</v>
      </c>
      <c r="F383">
        <v>0</v>
      </c>
      <c r="G383">
        <v>1226.3</v>
      </c>
      <c r="H383">
        <v>4000</v>
      </c>
      <c r="I383">
        <v>7644.2</v>
      </c>
      <c r="J383">
        <v>1</v>
      </c>
      <c r="K383">
        <f>J383+energy_grid_portfolio_dataset!G383</f>
        <v>1227.3</v>
      </c>
      <c r="L383">
        <f>HOUR(energy_timestamp[[#This Row],[timestamp]])</f>
        <v>21</v>
      </c>
    </row>
    <row r="384" spans="1:12" x14ac:dyDescent="0.3">
      <c r="A384" s="12" t="s">
        <v>89</v>
      </c>
      <c r="B384" s="12" t="s">
        <v>11</v>
      </c>
      <c r="C384">
        <v>19.399999999999999</v>
      </c>
      <c r="D384">
        <v>48.5</v>
      </c>
      <c r="E384">
        <v>3.2</v>
      </c>
      <c r="F384">
        <v>0</v>
      </c>
      <c r="G384">
        <v>5</v>
      </c>
      <c r="H384">
        <v>4000</v>
      </c>
      <c r="I384">
        <v>4876.7</v>
      </c>
      <c r="J384">
        <v>1</v>
      </c>
      <c r="K384">
        <f>J384+energy_grid_portfolio_dataset!G384</f>
        <v>6</v>
      </c>
      <c r="L384">
        <f>HOUR(energy_timestamp[[#This Row],[timestamp]])</f>
        <v>22</v>
      </c>
    </row>
    <row r="385" spans="1:12" x14ac:dyDescent="0.3">
      <c r="A385" s="12" t="s">
        <v>90</v>
      </c>
      <c r="B385" s="12" t="s">
        <v>11</v>
      </c>
      <c r="C385">
        <v>20</v>
      </c>
      <c r="D385">
        <v>33.299999999999997</v>
      </c>
      <c r="E385">
        <v>4</v>
      </c>
      <c r="F385">
        <v>0</v>
      </c>
      <c r="G385">
        <v>10.4</v>
      </c>
      <c r="H385">
        <v>4000</v>
      </c>
      <c r="I385">
        <v>4998.5</v>
      </c>
      <c r="J385">
        <v>1</v>
      </c>
      <c r="K385">
        <f>J385+energy_grid_portfolio_dataset!G385</f>
        <v>11.4</v>
      </c>
      <c r="L385">
        <f>HOUR(energy_timestamp[[#This Row],[timestamp]])</f>
        <v>23</v>
      </c>
    </row>
    <row r="386" spans="1:12" x14ac:dyDescent="0.3">
      <c r="A386" s="12" t="s">
        <v>91</v>
      </c>
      <c r="B386" s="12" t="s">
        <v>11</v>
      </c>
      <c r="C386">
        <v>19.5</v>
      </c>
      <c r="D386">
        <v>15.8</v>
      </c>
      <c r="E386">
        <v>0</v>
      </c>
      <c r="F386">
        <v>0</v>
      </c>
      <c r="G386">
        <v>0</v>
      </c>
      <c r="H386">
        <v>4000</v>
      </c>
      <c r="I386">
        <v>5027</v>
      </c>
      <c r="J386">
        <v>1</v>
      </c>
      <c r="K386">
        <f>J386+energy_grid_portfolio_dataset!G386</f>
        <v>1</v>
      </c>
      <c r="L386">
        <f>HOUR(energy_timestamp[[#This Row],[timestamp]])</f>
        <v>0</v>
      </c>
    </row>
    <row r="387" spans="1:12" x14ac:dyDescent="0.3">
      <c r="A387" s="12" t="s">
        <v>92</v>
      </c>
      <c r="B387" s="12" t="s">
        <v>11</v>
      </c>
      <c r="C387">
        <v>21.9</v>
      </c>
      <c r="D387">
        <v>86.5</v>
      </c>
      <c r="E387">
        <v>9.6999999999999993</v>
      </c>
      <c r="F387">
        <v>0</v>
      </c>
      <c r="G387">
        <v>146.69999999999999</v>
      </c>
      <c r="H387">
        <v>4000</v>
      </c>
      <c r="I387">
        <v>4945.8999999999996</v>
      </c>
      <c r="J387">
        <v>1</v>
      </c>
      <c r="K387">
        <f>J387+energy_grid_portfolio_dataset!G387</f>
        <v>147.69999999999999</v>
      </c>
      <c r="L387">
        <f>HOUR(energy_timestamp[[#This Row],[timestamp]])</f>
        <v>1</v>
      </c>
    </row>
    <row r="388" spans="1:12" x14ac:dyDescent="0.3">
      <c r="A388" s="12" t="s">
        <v>93</v>
      </c>
      <c r="B388" s="12" t="s">
        <v>11</v>
      </c>
      <c r="C388">
        <v>21</v>
      </c>
      <c r="D388">
        <v>20</v>
      </c>
      <c r="E388">
        <v>13.5</v>
      </c>
      <c r="F388">
        <v>0</v>
      </c>
      <c r="G388">
        <v>394.4</v>
      </c>
      <c r="H388">
        <v>4000</v>
      </c>
      <c r="I388">
        <v>4859.7</v>
      </c>
      <c r="J388">
        <v>1</v>
      </c>
      <c r="K388">
        <f>J388+energy_grid_portfolio_dataset!G388</f>
        <v>395.4</v>
      </c>
      <c r="L388">
        <f>HOUR(energy_timestamp[[#This Row],[timestamp]])</f>
        <v>2</v>
      </c>
    </row>
    <row r="389" spans="1:12" x14ac:dyDescent="0.3">
      <c r="A389" s="12" t="s">
        <v>94</v>
      </c>
      <c r="B389" s="12" t="s">
        <v>11</v>
      </c>
      <c r="C389">
        <v>22.4</v>
      </c>
      <c r="D389">
        <v>42.5</v>
      </c>
      <c r="E389">
        <v>11</v>
      </c>
      <c r="F389">
        <v>0</v>
      </c>
      <c r="G389">
        <v>211.9</v>
      </c>
      <c r="H389">
        <v>4000</v>
      </c>
      <c r="I389">
        <v>5064.8999999999996</v>
      </c>
      <c r="J389">
        <v>1</v>
      </c>
      <c r="K389">
        <f>J389+energy_grid_portfolio_dataset!G389</f>
        <v>212.9</v>
      </c>
      <c r="L389">
        <f>HOUR(energy_timestamp[[#This Row],[timestamp]])</f>
        <v>3</v>
      </c>
    </row>
    <row r="390" spans="1:12" x14ac:dyDescent="0.3">
      <c r="A390" s="12" t="s">
        <v>95</v>
      </c>
      <c r="B390" s="12" t="s">
        <v>11</v>
      </c>
      <c r="C390">
        <v>21.2</v>
      </c>
      <c r="D390">
        <v>39.299999999999997</v>
      </c>
      <c r="E390">
        <v>13.8</v>
      </c>
      <c r="F390">
        <v>0</v>
      </c>
      <c r="G390">
        <v>423.9</v>
      </c>
      <c r="H390">
        <v>4000</v>
      </c>
      <c r="I390">
        <v>4818.3</v>
      </c>
      <c r="J390">
        <v>1</v>
      </c>
      <c r="K390">
        <f>J390+energy_grid_portfolio_dataset!G390</f>
        <v>424.9</v>
      </c>
      <c r="L390">
        <f>HOUR(energy_timestamp[[#This Row],[timestamp]])</f>
        <v>4</v>
      </c>
    </row>
    <row r="391" spans="1:12" x14ac:dyDescent="0.3">
      <c r="A391" s="12" t="s">
        <v>96</v>
      </c>
      <c r="B391" s="12" t="s">
        <v>11</v>
      </c>
      <c r="C391">
        <v>22.2</v>
      </c>
      <c r="D391">
        <v>82.3</v>
      </c>
      <c r="E391">
        <v>10.6</v>
      </c>
      <c r="F391">
        <v>0</v>
      </c>
      <c r="G391">
        <v>193</v>
      </c>
      <c r="H391">
        <v>4000</v>
      </c>
      <c r="I391">
        <v>5087</v>
      </c>
      <c r="J391">
        <v>1</v>
      </c>
      <c r="K391">
        <f>J391+energy_grid_portfolio_dataset!G391</f>
        <v>194</v>
      </c>
      <c r="L391">
        <f>HOUR(energy_timestamp[[#This Row],[timestamp]])</f>
        <v>5</v>
      </c>
    </row>
    <row r="392" spans="1:12" x14ac:dyDescent="0.3">
      <c r="A392" s="12" t="s">
        <v>97</v>
      </c>
      <c r="B392" s="12" t="s">
        <v>11</v>
      </c>
      <c r="C392">
        <v>23.3</v>
      </c>
      <c r="D392">
        <v>0</v>
      </c>
      <c r="E392">
        <v>16.399999999999999</v>
      </c>
      <c r="F392">
        <v>333.8</v>
      </c>
      <c r="G392">
        <v>708.4</v>
      </c>
      <c r="H392">
        <v>3904.6</v>
      </c>
      <c r="I392">
        <v>4946.8</v>
      </c>
      <c r="J392">
        <v>0</v>
      </c>
      <c r="K392">
        <f>J392+energy_grid_portfolio_dataset!G392</f>
        <v>708.4</v>
      </c>
      <c r="L392">
        <f>HOUR(energy_timestamp[[#This Row],[timestamp]])</f>
        <v>6</v>
      </c>
    </row>
    <row r="393" spans="1:12" x14ac:dyDescent="0.3">
      <c r="A393" s="12" t="s">
        <v>98</v>
      </c>
      <c r="B393" s="12" t="s">
        <v>11</v>
      </c>
      <c r="C393">
        <v>24.8</v>
      </c>
      <c r="D393">
        <v>46.7</v>
      </c>
      <c r="E393">
        <v>14.6</v>
      </c>
      <c r="F393">
        <v>468.6</v>
      </c>
      <c r="G393">
        <v>495.9</v>
      </c>
      <c r="H393">
        <v>4000</v>
      </c>
      <c r="I393">
        <v>5060.5</v>
      </c>
      <c r="J393">
        <v>1</v>
      </c>
      <c r="K393">
        <f>J393+energy_grid_portfolio_dataset!G393</f>
        <v>496.9</v>
      </c>
      <c r="L393">
        <f>HOUR(energy_timestamp[[#This Row],[timestamp]])</f>
        <v>7</v>
      </c>
    </row>
    <row r="394" spans="1:12" x14ac:dyDescent="0.3">
      <c r="A394" s="12" t="s">
        <v>99</v>
      </c>
      <c r="B394" s="12" t="s">
        <v>11</v>
      </c>
      <c r="C394">
        <v>25.5</v>
      </c>
      <c r="D394">
        <v>64.900000000000006</v>
      </c>
      <c r="E394">
        <v>5.7</v>
      </c>
      <c r="F394">
        <v>571.29999999999995</v>
      </c>
      <c r="G394">
        <v>30.1</v>
      </c>
      <c r="H394">
        <v>4000</v>
      </c>
      <c r="I394">
        <v>4715.6000000000004</v>
      </c>
      <c r="J394">
        <v>1</v>
      </c>
      <c r="K394">
        <f>J394+energy_grid_portfolio_dataset!G394</f>
        <v>31.1</v>
      </c>
      <c r="L394">
        <f>HOUR(energy_timestamp[[#This Row],[timestamp]])</f>
        <v>8</v>
      </c>
    </row>
    <row r="395" spans="1:12" x14ac:dyDescent="0.3">
      <c r="A395" s="12" t="s">
        <v>100</v>
      </c>
      <c r="B395" s="12" t="s">
        <v>11</v>
      </c>
      <c r="C395">
        <v>25.5</v>
      </c>
      <c r="D395">
        <v>56.7</v>
      </c>
      <c r="E395">
        <v>11.8</v>
      </c>
      <c r="F395">
        <v>774.1</v>
      </c>
      <c r="G395">
        <v>264.3</v>
      </c>
      <c r="H395">
        <v>3955.6</v>
      </c>
      <c r="I395">
        <v>4994</v>
      </c>
      <c r="J395">
        <v>0</v>
      </c>
      <c r="K395">
        <f>J395+energy_grid_portfolio_dataset!G395</f>
        <v>264.3</v>
      </c>
      <c r="L395">
        <f>HOUR(energy_timestamp[[#This Row],[timestamp]])</f>
        <v>9</v>
      </c>
    </row>
    <row r="396" spans="1:12" x14ac:dyDescent="0.3">
      <c r="A396" s="12" t="s">
        <v>101</v>
      </c>
      <c r="B396" s="12" t="s">
        <v>11</v>
      </c>
      <c r="C396">
        <v>28.6</v>
      </c>
      <c r="D396">
        <v>26.6</v>
      </c>
      <c r="E396">
        <v>7.9</v>
      </c>
      <c r="F396">
        <v>1135.5</v>
      </c>
      <c r="G396">
        <v>80.400000000000006</v>
      </c>
      <c r="H396">
        <v>4000</v>
      </c>
      <c r="I396">
        <v>6907.7</v>
      </c>
      <c r="J396">
        <v>1</v>
      </c>
      <c r="K396">
        <f>J396+energy_grid_portfolio_dataset!G396</f>
        <v>81.400000000000006</v>
      </c>
      <c r="L396">
        <f>HOUR(energy_timestamp[[#This Row],[timestamp]])</f>
        <v>10</v>
      </c>
    </row>
    <row r="397" spans="1:12" x14ac:dyDescent="0.3">
      <c r="A397" s="12" t="s">
        <v>102</v>
      </c>
      <c r="B397" s="12" t="s">
        <v>11</v>
      </c>
      <c r="C397">
        <v>29</v>
      </c>
      <c r="D397">
        <v>19.600000000000001</v>
      </c>
      <c r="E397">
        <v>12.3</v>
      </c>
      <c r="F397">
        <v>1290.4000000000001</v>
      </c>
      <c r="G397">
        <v>298.3</v>
      </c>
      <c r="H397">
        <v>4000</v>
      </c>
      <c r="I397">
        <v>7180.1</v>
      </c>
      <c r="J397">
        <v>1</v>
      </c>
      <c r="K397">
        <f>J397+energy_grid_portfolio_dataset!G397</f>
        <v>299.3</v>
      </c>
      <c r="L397">
        <f>HOUR(energy_timestamp[[#This Row],[timestamp]])</f>
        <v>11</v>
      </c>
    </row>
    <row r="398" spans="1:12" x14ac:dyDescent="0.3">
      <c r="A398" s="12" t="s">
        <v>103</v>
      </c>
      <c r="B398" s="12" t="s">
        <v>11</v>
      </c>
      <c r="C398">
        <v>28.7</v>
      </c>
      <c r="D398">
        <v>49.4</v>
      </c>
      <c r="E398">
        <v>10.199999999999999</v>
      </c>
      <c r="F398">
        <v>1055.3</v>
      </c>
      <c r="G398">
        <v>168</v>
      </c>
      <c r="H398">
        <v>4000</v>
      </c>
      <c r="I398">
        <v>7214.3</v>
      </c>
      <c r="J398">
        <v>1</v>
      </c>
      <c r="K398">
        <f>J398+energy_grid_portfolio_dataset!G398</f>
        <v>169</v>
      </c>
      <c r="L398">
        <f>HOUR(energy_timestamp[[#This Row],[timestamp]])</f>
        <v>12</v>
      </c>
    </row>
    <row r="399" spans="1:12" x14ac:dyDescent="0.3">
      <c r="A399" s="12" t="s">
        <v>104</v>
      </c>
      <c r="B399" s="12" t="s">
        <v>11</v>
      </c>
      <c r="C399">
        <v>27.9</v>
      </c>
      <c r="D399">
        <v>18.2</v>
      </c>
      <c r="E399">
        <v>0</v>
      </c>
      <c r="F399">
        <v>1302.7</v>
      </c>
      <c r="G399">
        <v>0</v>
      </c>
      <c r="H399">
        <v>4000</v>
      </c>
      <c r="I399">
        <v>7025.9</v>
      </c>
      <c r="J399">
        <v>1</v>
      </c>
      <c r="K399">
        <f>J399+energy_grid_portfolio_dataset!G399</f>
        <v>1</v>
      </c>
      <c r="L399">
        <f>HOUR(energy_timestamp[[#This Row],[timestamp]])</f>
        <v>13</v>
      </c>
    </row>
    <row r="400" spans="1:12" x14ac:dyDescent="0.3">
      <c r="A400" s="12" t="s">
        <v>105</v>
      </c>
      <c r="B400" s="12" t="s">
        <v>11</v>
      </c>
      <c r="C400">
        <v>28.4</v>
      </c>
      <c r="D400">
        <v>0</v>
      </c>
      <c r="E400">
        <v>7</v>
      </c>
      <c r="F400">
        <v>1351.5</v>
      </c>
      <c r="G400">
        <v>53.7</v>
      </c>
      <c r="H400">
        <v>4000</v>
      </c>
      <c r="I400">
        <v>7215.5</v>
      </c>
      <c r="J400">
        <v>1</v>
      </c>
      <c r="K400">
        <f>J400+energy_grid_portfolio_dataset!G400</f>
        <v>54.7</v>
      </c>
      <c r="L400">
        <f>HOUR(energy_timestamp[[#This Row],[timestamp]])</f>
        <v>14</v>
      </c>
    </row>
    <row r="401" spans="1:12" x14ac:dyDescent="0.3">
      <c r="A401" s="12" t="s">
        <v>106</v>
      </c>
      <c r="B401" s="12" t="s">
        <v>11</v>
      </c>
      <c r="C401">
        <v>28.9</v>
      </c>
      <c r="D401">
        <v>45.5</v>
      </c>
      <c r="E401">
        <v>8.4</v>
      </c>
      <c r="F401">
        <v>852.4</v>
      </c>
      <c r="G401">
        <v>93.5</v>
      </c>
      <c r="H401">
        <v>4000</v>
      </c>
      <c r="I401">
        <v>5042.8999999999996</v>
      </c>
      <c r="J401">
        <v>1</v>
      </c>
      <c r="K401">
        <f>J401+energy_grid_portfolio_dataset!G401</f>
        <v>94.5</v>
      </c>
      <c r="L401">
        <f>HOUR(energy_timestamp[[#This Row],[timestamp]])</f>
        <v>15</v>
      </c>
    </row>
    <row r="402" spans="1:12" x14ac:dyDescent="0.3">
      <c r="A402" s="12" t="s">
        <v>107</v>
      </c>
      <c r="B402" s="12" t="s">
        <v>11</v>
      </c>
      <c r="C402">
        <v>27.4</v>
      </c>
      <c r="D402">
        <v>28.9</v>
      </c>
      <c r="E402">
        <v>8</v>
      </c>
      <c r="F402">
        <v>773.3</v>
      </c>
      <c r="G402">
        <v>82</v>
      </c>
      <c r="H402">
        <v>4000</v>
      </c>
      <c r="I402">
        <v>4922.6000000000004</v>
      </c>
      <c r="J402">
        <v>1</v>
      </c>
      <c r="K402">
        <f>J402+energy_grid_portfolio_dataset!G402</f>
        <v>83</v>
      </c>
      <c r="L402">
        <f>HOUR(energy_timestamp[[#This Row],[timestamp]])</f>
        <v>16</v>
      </c>
    </row>
    <row r="403" spans="1:12" x14ac:dyDescent="0.3">
      <c r="A403" s="12" t="s">
        <v>108</v>
      </c>
      <c r="B403" s="12" t="s">
        <v>11</v>
      </c>
      <c r="C403">
        <v>24.1</v>
      </c>
      <c r="D403">
        <v>48.1</v>
      </c>
      <c r="E403">
        <v>20.100000000000001</v>
      </c>
      <c r="F403">
        <v>463.1</v>
      </c>
      <c r="G403">
        <v>1303.8</v>
      </c>
      <c r="H403">
        <v>3110.7</v>
      </c>
      <c r="I403">
        <v>4877.6000000000004</v>
      </c>
      <c r="J403">
        <v>0</v>
      </c>
      <c r="K403">
        <f>J403+energy_grid_portfolio_dataset!G403</f>
        <v>1303.8</v>
      </c>
      <c r="L403">
        <f>HOUR(energy_timestamp[[#This Row],[timestamp]])</f>
        <v>17</v>
      </c>
    </row>
    <row r="404" spans="1:12" x14ac:dyDescent="0.3">
      <c r="A404" s="12" t="s">
        <v>109</v>
      </c>
      <c r="B404" s="12" t="s">
        <v>11</v>
      </c>
      <c r="C404">
        <v>23.7</v>
      </c>
      <c r="D404">
        <v>37.700000000000003</v>
      </c>
      <c r="E404">
        <v>4.2</v>
      </c>
      <c r="F404">
        <v>258.3</v>
      </c>
      <c r="G404">
        <v>11.7</v>
      </c>
      <c r="H404">
        <v>4000</v>
      </c>
      <c r="I404">
        <v>7748.5</v>
      </c>
      <c r="J404">
        <v>1</v>
      </c>
      <c r="K404">
        <f>J404+energy_grid_portfolio_dataset!G404</f>
        <v>12.7</v>
      </c>
      <c r="L404">
        <f>HOUR(energy_timestamp[[#This Row],[timestamp]])</f>
        <v>18</v>
      </c>
    </row>
    <row r="405" spans="1:12" x14ac:dyDescent="0.3">
      <c r="A405" s="12" t="s">
        <v>110</v>
      </c>
      <c r="B405" s="12" t="s">
        <v>11</v>
      </c>
      <c r="C405">
        <v>22.9</v>
      </c>
      <c r="D405">
        <v>40.5</v>
      </c>
      <c r="E405">
        <v>28</v>
      </c>
      <c r="F405">
        <v>0</v>
      </c>
      <c r="G405">
        <v>0</v>
      </c>
      <c r="H405">
        <v>4000</v>
      </c>
      <c r="I405">
        <v>7832.5</v>
      </c>
      <c r="J405">
        <v>1</v>
      </c>
      <c r="K405">
        <f>J405+energy_grid_portfolio_dataset!G405</f>
        <v>1</v>
      </c>
      <c r="L405">
        <f>HOUR(energy_timestamp[[#This Row],[timestamp]])</f>
        <v>19</v>
      </c>
    </row>
    <row r="406" spans="1:12" x14ac:dyDescent="0.3">
      <c r="A406" s="12" t="s">
        <v>111</v>
      </c>
      <c r="B406" s="12" t="s">
        <v>11</v>
      </c>
      <c r="C406">
        <v>21.2</v>
      </c>
      <c r="D406">
        <v>34.299999999999997</v>
      </c>
      <c r="E406">
        <v>17.7</v>
      </c>
      <c r="F406">
        <v>0</v>
      </c>
      <c r="G406">
        <v>893.6</v>
      </c>
      <c r="H406">
        <v>4000</v>
      </c>
      <c r="I406">
        <v>7744.8</v>
      </c>
      <c r="J406">
        <v>1</v>
      </c>
      <c r="K406">
        <f>J406+energy_grid_portfolio_dataset!G406</f>
        <v>894.6</v>
      </c>
      <c r="L406">
        <f>HOUR(energy_timestamp[[#This Row],[timestamp]])</f>
        <v>20</v>
      </c>
    </row>
    <row r="407" spans="1:12" x14ac:dyDescent="0.3">
      <c r="A407" s="12" t="s">
        <v>112</v>
      </c>
      <c r="B407" s="12" t="s">
        <v>11</v>
      </c>
      <c r="C407">
        <v>19.7</v>
      </c>
      <c r="D407">
        <v>68</v>
      </c>
      <c r="E407">
        <v>8.6999999999999993</v>
      </c>
      <c r="F407">
        <v>0</v>
      </c>
      <c r="G407">
        <v>103.9</v>
      </c>
      <c r="H407">
        <v>4000</v>
      </c>
      <c r="I407">
        <v>7717</v>
      </c>
      <c r="J407">
        <v>1</v>
      </c>
      <c r="K407">
        <f>J407+energy_grid_portfolio_dataset!G407</f>
        <v>104.9</v>
      </c>
      <c r="L407">
        <f>HOUR(energy_timestamp[[#This Row],[timestamp]])</f>
        <v>21</v>
      </c>
    </row>
    <row r="408" spans="1:12" x14ac:dyDescent="0.3">
      <c r="A408" s="12" t="s">
        <v>113</v>
      </c>
      <c r="B408" s="12" t="s">
        <v>11</v>
      </c>
      <c r="C408">
        <v>21.6</v>
      </c>
      <c r="D408">
        <v>33.799999999999997</v>
      </c>
      <c r="E408">
        <v>18.399999999999999</v>
      </c>
      <c r="F408">
        <v>0</v>
      </c>
      <c r="G408">
        <v>997.5</v>
      </c>
      <c r="H408">
        <v>4000</v>
      </c>
      <c r="I408">
        <v>5231</v>
      </c>
      <c r="J408">
        <v>1</v>
      </c>
      <c r="K408">
        <f>J408+energy_grid_portfolio_dataset!G408</f>
        <v>998.5</v>
      </c>
      <c r="L408">
        <f>HOUR(energy_timestamp[[#This Row],[timestamp]])</f>
        <v>22</v>
      </c>
    </row>
    <row r="409" spans="1:12" x14ac:dyDescent="0.3">
      <c r="A409" s="12" t="s">
        <v>114</v>
      </c>
      <c r="B409" s="12" t="s">
        <v>11</v>
      </c>
      <c r="C409">
        <v>21</v>
      </c>
      <c r="D409">
        <v>57.1</v>
      </c>
      <c r="E409">
        <v>7.8</v>
      </c>
      <c r="F409">
        <v>0</v>
      </c>
      <c r="G409">
        <v>75</v>
      </c>
      <c r="H409">
        <v>4000</v>
      </c>
      <c r="I409">
        <v>4960.2</v>
      </c>
      <c r="J409">
        <v>1</v>
      </c>
      <c r="K409">
        <f>J409+energy_grid_portfolio_dataset!G409</f>
        <v>76</v>
      </c>
      <c r="L409">
        <f>HOUR(energy_timestamp[[#This Row],[timestamp]])</f>
        <v>23</v>
      </c>
    </row>
    <row r="410" spans="1:12" x14ac:dyDescent="0.3">
      <c r="A410" s="12" t="s">
        <v>115</v>
      </c>
      <c r="B410" s="12" t="s">
        <v>11</v>
      </c>
      <c r="C410">
        <v>21</v>
      </c>
      <c r="D410">
        <v>36.6</v>
      </c>
      <c r="E410">
        <v>10</v>
      </c>
      <c r="F410">
        <v>0</v>
      </c>
      <c r="G410">
        <v>159.1</v>
      </c>
      <c r="H410">
        <v>4000</v>
      </c>
      <c r="I410">
        <v>4853.5</v>
      </c>
      <c r="J410">
        <v>1</v>
      </c>
      <c r="K410">
        <f>J410+energy_grid_portfolio_dataset!G410</f>
        <v>160.1</v>
      </c>
      <c r="L410">
        <f>HOUR(energy_timestamp[[#This Row],[timestamp]])</f>
        <v>0</v>
      </c>
    </row>
    <row r="411" spans="1:12" x14ac:dyDescent="0.3">
      <c r="A411" s="12" t="s">
        <v>116</v>
      </c>
      <c r="B411" s="12" t="s">
        <v>11</v>
      </c>
      <c r="C411">
        <v>20.6</v>
      </c>
      <c r="D411">
        <v>96.6</v>
      </c>
      <c r="E411">
        <v>6.7</v>
      </c>
      <c r="F411">
        <v>0</v>
      </c>
      <c r="G411">
        <v>47.3</v>
      </c>
      <c r="H411">
        <v>4000</v>
      </c>
      <c r="I411">
        <v>4806.7</v>
      </c>
      <c r="J411">
        <v>1</v>
      </c>
      <c r="K411">
        <f>J411+energy_grid_portfolio_dataset!G411</f>
        <v>48.3</v>
      </c>
      <c r="L411">
        <f>HOUR(energy_timestamp[[#This Row],[timestamp]])</f>
        <v>1</v>
      </c>
    </row>
    <row r="412" spans="1:12" x14ac:dyDescent="0.3">
      <c r="A412" s="12" t="s">
        <v>117</v>
      </c>
      <c r="B412" s="12" t="s">
        <v>11</v>
      </c>
      <c r="C412">
        <v>21.9</v>
      </c>
      <c r="D412">
        <v>43</v>
      </c>
      <c r="E412">
        <v>14.3</v>
      </c>
      <c r="F412">
        <v>0</v>
      </c>
      <c r="G412">
        <v>464.1</v>
      </c>
      <c r="H412">
        <v>4000</v>
      </c>
      <c r="I412">
        <v>4953.6000000000004</v>
      </c>
      <c r="J412">
        <v>1</v>
      </c>
      <c r="K412">
        <f>J412+energy_grid_portfolio_dataset!G412</f>
        <v>465.1</v>
      </c>
      <c r="L412">
        <f>HOUR(energy_timestamp[[#This Row],[timestamp]])</f>
        <v>2</v>
      </c>
    </row>
    <row r="413" spans="1:12" x14ac:dyDescent="0.3">
      <c r="A413" s="12" t="s">
        <v>118</v>
      </c>
      <c r="B413" s="12" t="s">
        <v>11</v>
      </c>
      <c r="C413">
        <v>21.6</v>
      </c>
      <c r="D413">
        <v>40.299999999999997</v>
      </c>
      <c r="E413">
        <v>16.899999999999999</v>
      </c>
      <c r="F413">
        <v>0</v>
      </c>
      <c r="G413">
        <v>776.2</v>
      </c>
      <c r="H413">
        <v>4000</v>
      </c>
      <c r="I413">
        <v>4790.6000000000004</v>
      </c>
      <c r="J413">
        <v>1</v>
      </c>
      <c r="K413">
        <f>J413+energy_grid_portfolio_dataset!G413</f>
        <v>777.2</v>
      </c>
      <c r="L413">
        <f>HOUR(energy_timestamp[[#This Row],[timestamp]])</f>
        <v>3</v>
      </c>
    </row>
    <row r="414" spans="1:12" x14ac:dyDescent="0.3">
      <c r="A414" s="12" t="s">
        <v>119</v>
      </c>
      <c r="B414" s="12" t="s">
        <v>11</v>
      </c>
      <c r="C414">
        <v>24.6</v>
      </c>
      <c r="D414">
        <v>59.5</v>
      </c>
      <c r="E414">
        <v>13.6</v>
      </c>
      <c r="F414">
        <v>0</v>
      </c>
      <c r="G414">
        <v>405.1</v>
      </c>
      <c r="H414">
        <v>4000</v>
      </c>
      <c r="I414">
        <v>5128.1000000000004</v>
      </c>
      <c r="J414">
        <v>1</v>
      </c>
      <c r="K414">
        <f>J414+energy_grid_portfolio_dataset!G414</f>
        <v>406.1</v>
      </c>
      <c r="L414">
        <f>HOUR(energy_timestamp[[#This Row],[timestamp]])</f>
        <v>4</v>
      </c>
    </row>
    <row r="415" spans="1:12" x14ac:dyDescent="0.3">
      <c r="A415" s="12" t="s">
        <v>120</v>
      </c>
      <c r="B415" s="12" t="s">
        <v>11</v>
      </c>
      <c r="C415">
        <v>22.6</v>
      </c>
      <c r="D415">
        <v>53.5</v>
      </c>
      <c r="E415">
        <v>10.5</v>
      </c>
      <c r="F415">
        <v>0</v>
      </c>
      <c r="G415">
        <v>186.4</v>
      </c>
      <c r="H415">
        <v>4000</v>
      </c>
      <c r="I415">
        <v>4979.2</v>
      </c>
      <c r="J415">
        <v>1</v>
      </c>
      <c r="K415">
        <f>J415+energy_grid_portfolio_dataset!G415</f>
        <v>187.4</v>
      </c>
      <c r="L415">
        <f>HOUR(energy_timestamp[[#This Row],[timestamp]])</f>
        <v>5</v>
      </c>
    </row>
    <row r="416" spans="1:12" x14ac:dyDescent="0.3">
      <c r="A416" s="12" t="s">
        <v>121</v>
      </c>
      <c r="B416" s="12" t="s">
        <v>11</v>
      </c>
      <c r="C416">
        <v>25.3</v>
      </c>
      <c r="D416">
        <v>19.8</v>
      </c>
      <c r="E416">
        <v>17.7</v>
      </c>
      <c r="F416">
        <v>294.10000000000002</v>
      </c>
      <c r="G416">
        <v>887.1</v>
      </c>
      <c r="H416">
        <v>3794.1</v>
      </c>
      <c r="I416">
        <v>4975.3</v>
      </c>
      <c r="J416">
        <v>0</v>
      </c>
      <c r="K416">
        <f>J416+energy_grid_portfolio_dataset!G416</f>
        <v>887.1</v>
      </c>
      <c r="L416">
        <f>HOUR(energy_timestamp[[#This Row],[timestamp]])</f>
        <v>6</v>
      </c>
    </row>
    <row r="417" spans="1:12" x14ac:dyDescent="0.3">
      <c r="A417" s="12" t="s">
        <v>122</v>
      </c>
      <c r="B417" s="12" t="s">
        <v>11</v>
      </c>
      <c r="C417">
        <v>24.9</v>
      </c>
      <c r="D417">
        <v>0</v>
      </c>
      <c r="E417">
        <v>9</v>
      </c>
      <c r="F417">
        <v>650.79999999999995</v>
      </c>
      <c r="G417">
        <v>115.1</v>
      </c>
      <c r="H417">
        <v>4000</v>
      </c>
      <c r="I417">
        <v>5147.6000000000004</v>
      </c>
      <c r="J417">
        <v>1</v>
      </c>
      <c r="K417">
        <f>J417+energy_grid_portfolio_dataset!G417</f>
        <v>116.1</v>
      </c>
      <c r="L417">
        <f>HOUR(energy_timestamp[[#This Row],[timestamp]])</f>
        <v>7</v>
      </c>
    </row>
    <row r="418" spans="1:12" x14ac:dyDescent="0.3">
      <c r="A418" s="12" t="s">
        <v>123</v>
      </c>
      <c r="B418" s="12" t="s">
        <v>11</v>
      </c>
      <c r="C418">
        <v>26</v>
      </c>
      <c r="D418">
        <v>20</v>
      </c>
      <c r="E418">
        <v>9.5</v>
      </c>
      <c r="F418">
        <v>822.9</v>
      </c>
      <c r="G418">
        <v>136.1</v>
      </c>
      <c r="H418">
        <v>4000</v>
      </c>
      <c r="I418">
        <v>5144.5</v>
      </c>
      <c r="J418">
        <v>1</v>
      </c>
      <c r="K418">
        <f>J418+energy_grid_portfolio_dataset!G418</f>
        <v>137.1</v>
      </c>
      <c r="L418">
        <f>HOUR(energy_timestamp[[#This Row],[timestamp]])</f>
        <v>8</v>
      </c>
    </row>
    <row r="419" spans="1:12" x14ac:dyDescent="0.3">
      <c r="A419" s="12" t="s">
        <v>124</v>
      </c>
      <c r="B419" s="12" t="s">
        <v>11</v>
      </c>
      <c r="C419">
        <v>27.4</v>
      </c>
      <c r="D419">
        <v>39</v>
      </c>
      <c r="E419">
        <v>10.199999999999999</v>
      </c>
      <c r="F419">
        <v>898.1</v>
      </c>
      <c r="G419">
        <v>168.1</v>
      </c>
      <c r="H419">
        <v>4000</v>
      </c>
      <c r="I419">
        <v>5076.1000000000004</v>
      </c>
      <c r="J419">
        <v>1</v>
      </c>
      <c r="K419">
        <f>J419+energy_grid_portfolio_dataset!G419</f>
        <v>169.1</v>
      </c>
      <c r="L419">
        <f>HOUR(energy_timestamp[[#This Row],[timestamp]])</f>
        <v>9</v>
      </c>
    </row>
    <row r="420" spans="1:12" x14ac:dyDescent="0.3">
      <c r="A420" s="12" t="s">
        <v>125</v>
      </c>
      <c r="B420" s="12" t="s">
        <v>11</v>
      </c>
      <c r="C420">
        <v>26.5</v>
      </c>
      <c r="D420">
        <v>85.4</v>
      </c>
      <c r="E420">
        <v>10.4</v>
      </c>
      <c r="F420">
        <v>659.1</v>
      </c>
      <c r="G420">
        <v>179.4</v>
      </c>
      <c r="H420">
        <v>4000</v>
      </c>
      <c r="I420">
        <v>7091.2</v>
      </c>
      <c r="J420">
        <v>1</v>
      </c>
      <c r="K420">
        <f>J420+energy_grid_portfolio_dataset!G420</f>
        <v>180.4</v>
      </c>
      <c r="L420">
        <f>HOUR(energy_timestamp[[#This Row],[timestamp]])</f>
        <v>10</v>
      </c>
    </row>
    <row r="421" spans="1:12" x14ac:dyDescent="0.3">
      <c r="A421" s="12" t="s">
        <v>126</v>
      </c>
      <c r="B421" s="12" t="s">
        <v>11</v>
      </c>
      <c r="C421">
        <v>29.4</v>
      </c>
      <c r="D421">
        <v>70</v>
      </c>
      <c r="E421">
        <v>9.8000000000000007</v>
      </c>
      <c r="F421">
        <v>848.6</v>
      </c>
      <c r="G421">
        <v>152.5</v>
      </c>
      <c r="H421">
        <v>4000</v>
      </c>
      <c r="I421">
        <v>7332.6</v>
      </c>
      <c r="J421">
        <v>1</v>
      </c>
      <c r="K421">
        <f>J421+energy_grid_portfolio_dataset!G421</f>
        <v>153.5</v>
      </c>
      <c r="L421">
        <f>HOUR(energy_timestamp[[#This Row],[timestamp]])</f>
        <v>11</v>
      </c>
    </row>
    <row r="422" spans="1:12" x14ac:dyDescent="0.3">
      <c r="A422" s="12" t="s">
        <v>127</v>
      </c>
      <c r="B422" s="12" t="s">
        <v>11</v>
      </c>
      <c r="C422">
        <v>28</v>
      </c>
      <c r="D422">
        <v>22.4</v>
      </c>
      <c r="E422">
        <v>13.6</v>
      </c>
      <c r="F422">
        <v>1298.3</v>
      </c>
      <c r="G422">
        <v>404.4</v>
      </c>
      <c r="H422">
        <v>4000</v>
      </c>
      <c r="I422">
        <v>7210.6</v>
      </c>
      <c r="J422">
        <v>1</v>
      </c>
      <c r="K422">
        <f>J422+energy_grid_portfolio_dataset!G422</f>
        <v>405.4</v>
      </c>
      <c r="L422">
        <f>HOUR(energy_timestamp[[#This Row],[timestamp]])</f>
        <v>12</v>
      </c>
    </row>
    <row r="423" spans="1:12" x14ac:dyDescent="0.3">
      <c r="A423" s="12" t="s">
        <v>128</v>
      </c>
      <c r="B423" s="12" t="s">
        <v>11</v>
      </c>
      <c r="C423">
        <v>29.1</v>
      </c>
      <c r="D423">
        <v>33.4</v>
      </c>
      <c r="E423">
        <v>13</v>
      </c>
      <c r="F423">
        <v>1169.5</v>
      </c>
      <c r="G423">
        <v>352</v>
      </c>
      <c r="H423">
        <v>4000</v>
      </c>
      <c r="I423">
        <v>6973.1</v>
      </c>
      <c r="J423">
        <v>1</v>
      </c>
      <c r="K423">
        <f>J423+energy_grid_portfolio_dataset!G423</f>
        <v>353</v>
      </c>
      <c r="L423">
        <f>HOUR(energy_timestamp[[#This Row],[timestamp]])</f>
        <v>13</v>
      </c>
    </row>
    <row r="424" spans="1:12" x14ac:dyDescent="0.3">
      <c r="A424" s="12" t="s">
        <v>129</v>
      </c>
      <c r="B424" s="12" t="s">
        <v>11</v>
      </c>
      <c r="C424">
        <v>27.2</v>
      </c>
      <c r="D424">
        <v>59.7</v>
      </c>
      <c r="E424">
        <v>9.6</v>
      </c>
      <c r="F424">
        <v>867.6</v>
      </c>
      <c r="G424">
        <v>142.69999999999999</v>
      </c>
      <c r="H424">
        <v>4000</v>
      </c>
      <c r="I424">
        <v>7192.5</v>
      </c>
      <c r="J424">
        <v>1</v>
      </c>
      <c r="K424">
        <f>J424+energy_grid_portfolio_dataset!G424</f>
        <v>143.69999999999999</v>
      </c>
      <c r="L424">
        <f>HOUR(energy_timestamp[[#This Row],[timestamp]])</f>
        <v>14</v>
      </c>
    </row>
    <row r="425" spans="1:12" x14ac:dyDescent="0.3">
      <c r="A425" s="12" t="s">
        <v>130</v>
      </c>
      <c r="B425" s="12" t="s">
        <v>11</v>
      </c>
      <c r="C425">
        <v>25.5</v>
      </c>
      <c r="D425">
        <v>48.2</v>
      </c>
      <c r="E425">
        <v>21.7</v>
      </c>
      <c r="F425">
        <v>833.9</v>
      </c>
      <c r="G425">
        <v>1633.7</v>
      </c>
      <c r="H425">
        <v>2613.1</v>
      </c>
      <c r="I425">
        <v>5080.7</v>
      </c>
      <c r="J425">
        <v>0</v>
      </c>
      <c r="K425">
        <f>J425+energy_grid_portfolio_dataset!G425</f>
        <v>1633.7</v>
      </c>
      <c r="L425">
        <f>HOUR(energy_timestamp[[#This Row],[timestamp]])</f>
        <v>15</v>
      </c>
    </row>
    <row r="426" spans="1:12" x14ac:dyDescent="0.3">
      <c r="A426" s="12" t="s">
        <v>131</v>
      </c>
      <c r="B426" s="12" t="s">
        <v>11</v>
      </c>
      <c r="C426">
        <v>25.3</v>
      </c>
      <c r="D426">
        <v>57.8</v>
      </c>
      <c r="E426">
        <v>12.9</v>
      </c>
      <c r="F426">
        <v>610.6</v>
      </c>
      <c r="G426">
        <v>343.3</v>
      </c>
      <c r="H426">
        <v>3846.1</v>
      </c>
      <c r="I426">
        <v>4800</v>
      </c>
      <c r="J426">
        <v>0</v>
      </c>
      <c r="K426">
        <f>J426+energy_grid_portfolio_dataset!G426</f>
        <v>343.3</v>
      </c>
      <c r="L426">
        <f>HOUR(energy_timestamp[[#This Row],[timestamp]])</f>
        <v>16</v>
      </c>
    </row>
    <row r="427" spans="1:12" x14ac:dyDescent="0.3">
      <c r="A427" s="12" t="s">
        <v>132</v>
      </c>
      <c r="B427" s="12" t="s">
        <v>11</v>
      </c>
      <c r="C427">
        <v>25.5</v>
      </c>
      <c r="D427">
        <v>60.9</v>
      </c>
      <c r="E427">
        <v>17.5</v>
      </c>
      <c r="F427">
        <v>413.1</v>
      </c>
      <c r="G427">
        <v>864.6</v>
      </c>
      <c r="H427">
        <v>3724.9</v>
      </c>
      <c r="I427">
        <v>5002.6000000000004</v>
      </c>
      <c r="J427">
        <v>0</v>
      </c>
      <c r="K427">
        <f>J427+energy_grid_portfolio_dataset!G427</f>
        <v>864.6</v>
      </c>
      <c r="L427">
        <f>HOUR(energy_timestamp[[#This Row],[timestamp]])</f>
        <v>17</v>
      </c>
    </row>
    <row r="428" spans="1:12" x14ac:dyDescent="0.3">
      <c r="A428" s="12" t="s">
        <v>133</v>
      </c>
      <c r="B428" s="12" t="s">
        <v>11</v>
      </c>
      <c r="C428">
        <v>23.8</v>
      </c>
      <c r="D428">
        <v>61.8</v>
      </c>
      <c r="E428">
        <v>21.5</v>
      </c>
      <c r="F428">
        <v>210</v>
      </c>
      <c r="G428">
        <v>1590</v>
      </c>
      <c r="H428">
        <v>4000</v>
      </c>
      <c r="I428">
        <v>7761.5</v>
      </c>
      <c r="J428">
        <v>1</v>
      </c>
      <c r="K428">
        <f>J428+energy_grid_portfolio_dataset!G428</f>
        <v>1591</v>
      </c>
      <c r="L428">
        <f>HOUR(energy_timestamp[[#This Row],[timestamp]])</f>
        <v>18</v>
      </c>
    </row>
    <row r="429" spans="1:12" x14ac:dyDescent="0.3">
      <c r="A429" s="12" t="s">
        <v>134</v>
      </c>
      <c r="B429" s="12" t="s">
        <v>11</v>
      </c>
      <c r="C429">
        <v>22</v>
      </c>
      <c r="D429">
        <v>72.7</v>
      </c>
      <c r="E429">
        <v>11.4</v>
      </c>
      <c r="F429">
        <v>0</v>
      </c>
      <c r="G429">
        <v>236.9</v>
      </c>
      <c r="H429">
        <v>4000</v>
      </c>
      <c r="I429">
        <v>7680.1</v>
      </c>
      <c r="J429">
        <v>1</v>
      </c>
      <c r="K429">
        <f>J429+energy_grid_portfolio_dataset!G429</f>
        <v>237.9</v>
      </c>
      <c r="L429">
        <f>HOUR(energy_timestamp[[#This Row],[timestamp]])</f>
        <v>19</v>
      </c>
    </row>
    <row r="430" spans="1:12" x14ac:dyDescent="0.3">
      <c r="A430" s="12" t="s">
        <v>135</v>
      </c>
      <c r="B430" s="12" t="s">
        <v>11</v>
      </c>
      <c r="C430">
        <v>22.8</v>
      </c>
      <c r="D430">
        <v>31.6</v>
      </c>
      <c r="E430">
        <v>11.5</v>
      </c>
      <c r="F430">
        <v>0</v>
      </c>
      <c r="G430">
        <v>246.4</v>
      </c>
      <c r="H430">
        <v>4000</v>
      </c>
      <c r="I430">
        <v>7374.1</v>
      </c>
      <c r="J430">
        <v>1</v>
      </c>
      <c r="K430">
        <f>J430+energy_grid_portfolio_dataset!G430</f>
        <v>247.4</v>
      </c>
      <c r="L430">
        <f>HOUR(energy_timestamp[[#This Row],[timestamp]])</f>
        <v>20</v>
      </c>
    </row>
    <row r="431" spans="1:12" x14ac:dyDescent="0.3">
      <c r="A431" s="12" t="s">
        <v>136</v>
      </c>
      <c r="B431" s="12" t="s">
        <v>11</v>
      </c>
      <c r="C431">
        <v>21.4</v>
      </c>
      <c r="D431">
        <v>62.7</v>
      </c>
      <c r="E431">
        <v>9.8000000000000007</v>
      </c>
      <c r="F431">
        <v>0</v>
      </c>
      <c r="G431">
        <v>151.6</v>
      </c>
      <c r="H431">
        <v>4000</v>
      </c>
      <c r="I431">
        <v>7749.8</v>
      </c>
      <c r="J431">
        <v>1</v>
      </c>
      <c r="K431">
        <f>J431+energy_grid_portfolio_dataset!G431</f>
        <v>152.6</v>
      </c>
      <c r="L431">
        <f>HOUR(energy_timestamp[[#This Row],[timestamp]])</f>
        <v>21</v>
      </c>
    </row>
    <row r="432" spans="1:12" x14ac:dyDescent="0.3">
      <c r="A432" s="12" t="s">
        <v>137</v>
      </c>
      <c r="B432" s="12" t="s">
        <v>11</v>
      </c>
      <c r="C432">
        <v>20.3</v>
      </c>
      <c r="D432">
        <v>63.5</v>
      </c>
      <c r="E432">
        <v>15.1</v>
      </c>
      <c r="F432">
        <v>0</v>
      </c>
      <c r="G432">
        <v>548.29999999999995</v>
      </c>
      <c r="H432">
        <v>4000</v>
      </c>
      <c r="I432">
        <v>5027</v>
      </c>
      <c r="J432">
        <v>1</v>
      </c>
      <c r="K432">
        <f>J432+energy_grid_portfolio_dataset!G432</f>
        <v>549.29999999999995</v>
      </c>
      <c r="L432">
        <f>HOUR(energy_timestamp[[#This Row],[timestamp]])</f>
        <v>22</v>
      </c>
    </row>
    <row r="433" spans="1:12" x14ac:dyDescent="0.3">
      <c r="A433" s="12" t="s">
        <v>138</v>
      </c>
      <c r="B433" s="12" t="s">
        <v>11</v>
      </c>
      <c r="C433">
        <v>21.2</v>
      </c>
      <c r="D433">
        <v>31.6</v>
      </c>
      <c r="E433">
        <v>16</v>
      </c>
      <c r="F433">
        <v>0</v>
      </c>
      <c r="G433">
        <v>660.3</v>
      </c>
      <c r="H433">
        <v>4000</v>
      </c>
      <c r="I433">
        <v>4809.7</v>
      </c>
      <c r="J433">
        <v>1</v>
      </c>
      <c r="K433">
        <f>J433+energy_grid_portfolio_dataset!G433</f>
        <v>661.3</v>
      </c>
      <c r="L433">
        <f>HOUR(energy_timestamp[[#This Row],[timestamp]])</f>
        <v>23</v>
      </c>
    </row>
    <row r="434" spans="1:12" x14ac:dyDescent="0.3">
      <c r="A434" s="12" t="s">
        <v>139</v>
      </c>
      <c r="B434" s="12" t="s">
        <v>11</v>
      </c>
      <c r="C434">
        <v>21.8</v>
      </c>
      <c r="D434">
        <v>39.4</v>
      </c>
      <c r="E434">
        <v>10.3</v>
      </c>
      <c r="F434">
        <v>0</v>
      </c>
      <c r="G434">
        <v>172.5</v>
      </c>
      <c r="H434">
        <v>4000</v>
      </c>
      <c r="I434">
        <v>4375.1000000000004</v>
      </c>
      <c r="J434">
        <v>1</v>
      </c>
      <c r="K434">
        <f>J434+energy_grid_portfolio_dataset!G434</f>
        <v>173.5</v>
      </c>
      <c r="L434">
        <f>HOUR(energy_timestamp[[#This Row],[timestamp]])</f>
        <v>0</v>
      </c>
    </row>
    <row r="435" spans="1:12" x14ac:dyDescent="0.3">
      <c r="A435" s="12" t="s">
        <v>140</v>
      </c>
      <c r="B435" s="12" t="s">
        <v>11</v>
      </c>
      <c r="C435">
        <v>19.8</v>
      </c>
      <c r="D435">
        <v>65</v>
      </c>
      <c r="E435">
        <v>3.9</v>
      </c>
      <c r="F435">
        <v>0</v>
      </c>
      <c r="G435">
        <v>9.6</v>
      </c>
      <c r="H435">
        <v>4000</v>
      </c>
      <c r="I435">
        <v>4317.1000000000004</v>
      </c>
      <c r="J435">
        <v>1</v>
      </c>
      <c r="K435">
        <f>J435+energy_grid_portfolio_dataset!G435</f>
        <v>10.6</v>
      </c>
      <c r="L435">
        <f>HOUR(energy_timestamp[[#This Row],[timestamp]])</f>
        <v>1</v>
      </c>
    </row>
    <row r="436" spans="1:12" x14ac:dyDescent="0.3">
      <c r="A436" s="12" t="s">
        <v>141</v>
      </c>
      <c r="B436" s="12" t="s">
        <v>11</v>
      </c>
      <c r="C436">
        <v>19.5</v>
      </c>
      <c r="D436">
        <v>68.8</v>
      </c>
      <c r="E436">
        <v>20.6</v>
      </c>
      <c r="F436">
        <v>0</v>
      </c>
      <c r="G436">
        <v>1389.2</v>
      </c>
      <c r="H436">
        <v>2772.7</v>
      </c>
      <c r="I436">
        <v>4161.8999999999996</v>
      </c>
      <c r="J436">
        <v>0</v>
      </c>
      <c r="K436">
        <f>J436+energy_grid_portfolio_dataset!G436</f>
        <v>1389.2</v>
      </c>
      <c r="L436">
        <f>HOUR(energy_timestamp[[#This Row],[timestamp]])</f>
        <v>2</v>
      </c>
    </row>
    <row r="437" spans="1:12" x14ac:dyDescent="0.3">
      <c r="A437" s="12" t="s">
        <v>142</v>
      </c>
      <c r="B437" s="12" t="s">
        <v>11</v>
      </c>
      <c r="C437">
        <v>21</v>
      </c>
      <c r="D437">
        <v>46.8</v>
      </c>
      <c r="E437">
        <v>17.8</v>
      </c>
      <c r="F437">
        <v>0</v>
      </c>
      <c r="G437">
        <v>903.8</v>
      </c>
      <c r="H437">
        <v>3400.5</v>
      </c>
      <c r="I437">
        <v>4304.3</v>
      </c>
      <c r="J437">
        <v>0</v>
      </c>
      <c r="K437">
        <f>J437+energy_grid_portfolio_dataset!G437</f>
        <v>903.8</v>
      </c>
      <c r="L437">
        <f>HOUR(energy_timestamp[[#This Row],[timestamp]])</f>
        <v>3</v>
      </c>
    </row>
    <row r="438" spans="1:12" x14ac:dyDescent="0.3">
      <c r="A438" s="12" t="s">
        <v>143</v>
      </c>
      <c r="B438" s="12" t="s">
        <v>11</v>
      </c>
      <c r="C438">
        <v>22.2</v>
      </c>
      <c r="D438">
        <v>69.400000000000006</v>
      </c>
      <c r="E438">
        <v>14.5</v>
      </c>
      <c r="F438">
        <v>0</v>
      </c>
      <c r="G438">
        <v>488.3</v>
      </c>
      <c r="H438">
        <v>3692.6</v>
      </c>
      <c r="I438">
        <v>4180.8999999999996</v>
      </c>
      <c r="J438">
        <v>0</v>
      </c>
      <c r="K438">
        <f>J438+energy_grid_portfolio_dataset!G438</f>
        <v>488.3</v>
      </c>
      <c r="L438">
        <f>HOUR(energy_timestamp[[#This Row],[timestamp]])</f>
        <v>4</v>
      </c>
    </row>
    <row r="439" spans="1:12" x14ac:dyDescent="0.3">
      <c r="A439" s="12" t="s">
        <v>144</v>
      </c>
      <c r="B439" s="12" t="s">
        <v>11</v>
      </c>
      <c r="C439">
        <v>24</v>
      </c>
      <c r="D439">
        <v>0</v>
      </c>
      <c r="E439">
        <v>15.4</v>
      </c>
      <c r="F439">
        <v>0</v>
      </c>
      <c r="G439">
        <v>583.20000000000005</v>
      </c>
      <c r="H439">
        <v>3765.2</v>
      </c>
      <c r="I439">
        <v>4348.3999999999996</v>
      </c>
      <c r="J439">
        <v>0</v>
      </c>
      <c r="K439">
        <f>J439+energy_grid_portfolio_dataset!G439</f>
        <v>583.20000000000005</v>
      </c>
      <c r="L439">
        <f>HOUR(energy_timestamp[[#This Row],[timestamp]])</f>
        <v>5</v>
      </c>
    </row>
    <row r="440" spans="1:12" x14ac:dyDescent="0.3">
      <c r="A440" s="12" t="s">
        <v>145</v>
      </c>
      <c r="B440" s="12" t="s">
        <v>11</v>
      </c>
      <c r="C440">
        <v>22.2</v>
      </c>
      <c r="D440">
        <v>57.8</v>
      </c>
      <c r="E440">
        <v>18.899999999999999</v>
      </c>
      <c r="F440">
        <v>218.1</v>
      </c>
      <c r="G440">
        <v>1074.8</v>
      </c>
      <c r="H440">
        <v>2929</v>
      </c>
      <c r="I440">
        <v>4221.8999999999996</v>
      </c>
      <c r="J440">
        <v>0</v>
      </c>
      <c r="K440">
        <f>J440+energy_grid_portfolio_dataset!G440</f>
        <v>1074.8</v>
      </c>
      <c r="L440">
        <f>HOUR(energy_timestamp[[#This Row],[timestamp]])</f>
        <v>6</v>
      </c>
    </row>
    <row r="441" spans="1:12" x14ac:dyDescent="0.3">
      <c r="A441" s="12" t="s">
        <v>146</v>
      </c>
      <c r="B441" s="12" t="s">
        <v>11</v>
      </c>
      <c r="C441">
        <v>26</v>
      </c>
      <c r="D441">
        <v>85.3</v>
      </c>
      <c r="E441">
        <v>18.600000000000001</v>
      </c>
      <c r="F441">
        <v>317.7</v>
      </c>
      <c r="G441">
        <v>1025.4000000000001</v>
      </c>
      <c r="H441">
        <v>2956.3</v>
      </c>
      <c r="I441">
        <v>4299.3999999999996</v>
      </c>
      <c r="J441">
        <v>0</v>
      </c>
      <c r="K441">
        <f>J441+energy_grid_portfolio_dataset!G441</f>
        <v>1025.4000000000001</v>
      </c>
      <c r="L441">
        <f>HOUR(energy_timestamp[[#This Row],[timestamp]])</f>
        <v>7</v>
      </c>
    </row>
    <row r="442" spans="1:12" x14ac:dyDescent="0.3">
      <c r="A442" s="12" t="s">
        <v>147</v>
      </c>
      <c r="B442" s="12" t="s">
        <v>11</v>
      </c>
      <c r="C442">
        <v>26.7</v>
      </c>
      <c r="D442">
        <v>46.9</v>
      </c>
      <c r="E442">
        <v>4</v>
      </c>
      <c r="F442">
        <v>672.1</v>
      </c>
      <c r="G442">
        <v>10.199999999999999</v>
      </c>
      <c r="H442">
        <v>3883.7</v>
      </c>
      <c r="I442">
        <v>4566</v>
      </c>
      <c r="J442">
        <v>0</v>
      </c>
      <c r="K442">
        <f>J442+energy_grid_portfolio_dataset!G442</f>
        <v>10.199999999999999</v>
      </c>
      <c r="L442">
        <f>HOUR(energy_timestamp[[#This Row],[timestamp]])</f>
        <v>8</v>
      </c>
    </row>
    <row r="443" spans="1:12" x14ac:dyDescent="0.3">
      <c r="A443" s="12" t="s">
        <v>148</v>
      </c>
      <c r="B443" s="12" t="s">
        <v>11</v>
      </c>
      <c r="C443">
        <v>26</v>
      </c>
      <c r="D443">
        <v>99.3</v>
      </c>
      <c r="E443">
        <v>11.1</v>
      </c>
      <c r="F443">
        <v>474.2</v>
      </c>
      <c r="G443">
        <v>220</v>
      </c>
      <c r="H443">
        <v>3588.9</v>
      </c>
      <c r="I443">
        <v>4283.1000000000004</v>
      </c>
      <c r="J443">
        <v>0</v>
      </c>
      <c r="K443">
        <f>J443+energy_grid_portfolio_dataset!G443</f>
        <v>220</v>
      </c>
      <c r="L443">
        <f>HOUR(energy_timestamp[[#This Row],[timestamp]])</f>
        <v>9</v>
      </c>
    </row>
    <row r="444" spans="1:12" x14ac:dyDescent="0.3">
      <c r="A444" s="12" t="s">
        <v>149</v>
      </c>
      <c r="B444" s="12" t="s">
        <v>11</v>
      </c>
      <c r="C444">
        <v>28</v>
      </c>
      <c r="D444">
        <v>46.1</v>
      </c>
      <c r="E444">
        <v>20.5</v>
      </c>
      <c r="F444">
        <v>977.7</v>
      </c>
      <c r="G444">
        <v>1373.4</v>
      </c>
      <c r="H444">
        <v>3907.4</v>
      </c>
      <c r="I444">
        <v>6258.5</v>
      </c>
      <c r="J444">
        <v>0</v>
      </c>
      <c r="K444">
        <f>J444+energy_grid_portfolio_dataset!G444</f>
        <v>1373.4</v>
      </c>
      <c r="L444">
        <f>HOUR(energy_timestamp[[#This Row],[timestamp]])</f>
        <v>10</v>
      </c>
    </row>
    <row r="445" spans="1:12" x14ac:dyDescent="0.3">
      <c r="A445" s="12" t="s">
        <v>150</v>
      </c>
      <c r="B445" s="12" t="s">
        <v>11</v>
      </c>
      <c r="C445">
        <v>28.1</v>
      </c>
      <c r="D445">
        <v>26.4</v>
      </c>
      <c r="E445">
        <v>5.4</v>
      </c>
      <c r="F445">
        <v>1230.4000000000001</v>
      </c>
      <c r="G445">
        <v>25.2</v>
      </c>
      <c r="H445">
        <v>4000</v>
      </c>
      <c r="I445">
        <v>6146.6</v>
      </c>
      <c r="J445">
        <v>1</v>
      </c>
      <c r="K445">
        <f>J445+energy_grid_portfolio_dataset!G445</f>
        <v>26.2</v>
      </c>
      <c r="L445">
        <f>HOUR(energy_timestamp[[#This Row],[timestamp]])</f>
        <v>11</v>
      </c>
    </row>
    <row r="446" spans="1:12" x14ac:dyDescent="0.3">
      <c r="A446" s="12" t="s">
        <v>151</v>
      </c>
      <c r="B446" s="12" t="s">
        <v>11</v>
      </c>
      <c r="C446">
        <v>28</v>
      </c>
      <c r="D446">
        <v>34.299999999999997</v>
      </c>
      <c r="E446">
        <v>8.5</v>
      </c>
      <c r="F446">
        <v>1191.5999999999999</v>
      </c>
      <c r="G446">
        <v>99.6</v>
      </c>
      <c r="H446">
        <v>4000</v>
      </c>
      <c r="I446">
        <v>6148.2</v>
      </c>
      <c r="J446">
        <v>1</v>
      </c>
      <c r="K446">
        <f>J446+energy_grid_portfolio_dataset!G446</f>
        <v>100.6</v>
      </c>
      <c r="L446">
        <f>HOUR(energy_timestamp[[#This Row],[timestamp]])</f>
        <v>12</v>
      </c>
    </row>
    <row r="447" spans="1:12" x14ac:dyDescent="0.3">
      <c r="A447" s="12" t="s">
        <v>152</v>
      </c>
      <c r="B447" s="12" t="s">
        <v>11</v>
      </c>
      <c r="C447">
        <v>27.8</v>
      </c>
      <c r="D447">
        <v>7.4</v>
      </c>
      <c r="E447">
        <v>15.8</v>
      </c>
      <c r="F447">
        <v>1397.6</v>
      </c>
      <c r="G447">
        <v>631.1</v>
      </c>
      <c r="H447">
        <v>4000</v>
      </c>
      <c r="I447">
        <v>6029.1</v>
      </c>
      <c r="J447">
        <v>1</v>
      </c>
      <c r="K447">
        <f>J447+energy_grid_portfolio_dataset!G447</f>
        <v>632.1</v>
      </c>
      <c r="L447">
        <f>HOUR(energy_timestamp[[#This Row],[timestamp]])</f>
        <v>13</v>
      </c>
    </row>
    <row r="448" spans="1:12" x14ac:dyDescent="0.3">
      <c r="A448" s="12" t="s">
        <v>153</v>
      </c>
      <c r="B448" s="12" t="s">
        <v>11</v>
      </c>
      <c r="C448">
        <v>26</v>
      </c>
      <c r="D448">
        <v>37.299999999999997</v>
      </c>
      <c r="E448">
        <v>8.1999999999999993</v>
      </c>
      <c r="F448">
        <v>1049.2</v>
      </c>
      <c r="G448">
        <v>89.5</v>
      </c>
      <c r="H448">
        <v>4000</v>
      </c>
      <c r="I448">
        <v>6252.4</v>
      </c>
      <c r="J448">
        <v>1</v>
      </c>
      <c r="K448">
        <f>J448+energy_grid_portfolio_dataset!G448</f>
        <v>90.5</v>
      </c>
      <c r="L448">
        <f>HOUR(energy_timestamp[[#This Row],[timestamp]])</f>
        <v>14</v>
      </c>
    </row>
    <row r="449" spans="1:12" x14ac:dyDescent="0.3">
      <c r="A449" s="12" t="s">
        <v>154</v>
      </c>
      <c r="B449" s="12" t="s">
        <v>11</v>
      </c>
      <c r="C449">
        <v>28.2</v>
      </c>
      <c r="D449">
        <v>0</v>
      </c>
      <c r="E449">
        <v>12.6</v>
      </c>
      <c r="F449">
        <v>1172.7</v>
      </c>
      <c r="G449">
        <v>318.2</v>
      </c>
      <c r="H449">
        <v>2877</v>
      </c>
      <c r="I449">
        <v>4367.8999999999996</v>
      </c>
      <c r="J449">
        <v>0</v>
      </c>
      <c r="K449">
        <f>J449+energy_grid_portfolio_dataset!G449</f>
        <v>318.2</v>
      </c>
      <c r="L449">
        <f>HOUR(energy_timestamp[[#This Row],[timestamp]])</f>
        <v>15</v>
      </c>
    </row>
    <row r="450" spans="1:12" x14ac:dyDescent="0.3">
      <c r="A450" s="12" t="s">
        <v>155</v>
      </c>
      <c r="B450" s="12" t="s">
        <v>11</v>
      </c>
      <c r="C450">
        <v>26.7</v>
      </c>
      <c r="D450">
        <v>50.3</v>
      </c>
      <c r="E450">
        <v>8.1999999999999993</v>
      </c>
      <c r="F450">
        <v>652.79999999999995</v>
      </c>
      <c r="G450">
        <v>89.5</v>
      </c>
      <c r="H450">
        <v>3553.7</v>
      </c>
      <c r="I450">
        <v>4296</v>
      </c>
      <c r="J450">
        <v>0</v>
      </c>
      <c r="K450">
        <f>J450+energy_grid_portfolio_dataset!G450</f>
        <v>89.5</v>
      </c>
      <c r="L450">
        <f>HOUR(energy_timestamp[[#This Row],[timestamp]])</f>
        <v>16</v>
      </c>
    </row>
    <row r="451" spans="1:12" x14ac:dyDescent="0.3">
      <c r="A451" s="12" t="s">
        <v>156</v>
      </c>
      <c r="B451" s="12" t="s">
        <v>11</v>
      </c>
      <c r="C451">
        <v>24.2</v>
      </c>
      <c r="D451">
        <v>71.900000000000006</v>
      </c>
      <c r="E451">
        <v>12.1</v>
      </c>
      <c r="F451">
        <v>370.1</v>
      </c>
      <c r="G451">
        <v>283.89999999999998</v>
      </c>
      <c r="H451">
        <v>3618.1</v>
      </c>
      <c r="I451">
        <v>4272.1000000000004</v>
      </c>
      <c r="J451">
        <v>0</v>
      </c>
      <c r="K451">
        <f>J451+energy_grid_portfolio_dataset!G451</f>
        <v>283.89999999999998</v>
      </c>
      <c r="L451">
        <f>HOUR(energy_timestamp[[#This Row],[timestamp]])</f>
        <v>17</v>
      </c>
    </row>
    <row r="452" spans="1:12" x14ac:dyDescent="0.3">
      <c r="A452" s="12" t="s">
        <v>157</v>
      </c>
      <c r="B452" s="12" t="s">
        <v>11</v>
      </c>
      <c r="C452">
        <v>23.9</v>
      </c>
      <c r="D452">
        <v>27.3</v>
      </c>
      <c r="E452">
        <v>4.4000000000000004</v>
      </c>
      <c r="F452">
        <v>279.10000000000002</v>
      </c>
      <c r="G452">
        <v>13.9</v>
      </c>
      <c r="H452">
        <v>4000</v>
      </c>
      <c r="I452">
        <v>7005.2</v>
      </c>
      <c r="J452">
        <v>1</v>
      </c>
      <c r="K452">
        <f>J452+energy_grid_portfolio_dataset!G452</f>
        <v>14.9</v>
      </c>
      <c r="L452">
        <f>HOUR(energy_timestamp[[#This Row],[timestamp]])</f>
        <v>18</v>
      </c>
    </row>
    <row r="453" spans="1:12" x14ac:dyDescent="0.3">
      <c r="A453" s="12" t="s">
        <v>158</v>
      </c>
      <c r="B453" s="12" t="s">
        <v>11</v>
      </c>
      <c r="C453">
        <v>21.4</v>
      </c>
      <c r="D453">
        <v>51.7</v>
      </c>
      <c r="E453">
        <v>14.5</v>
      </c>
      <c r="F453">
        <v>0</v>
      </c>
      <c r="G453">
        <v>492.2</v>
      </c>
      <c r="H453">
        <v>4000</v>
      </c>
      <c r="I453">
        <v>6449.5</v>
      </c>
      <c r="J453">
        <v>1</v>
      </c>
      <c r="K453">
        <f>J453+energy_grid_portfolio_dataset!G453</f>
        <v>493.2</v>
      </c>
      <c r="L453">
        <f>HOUR(energy_timestamp[[#This Row],[timestamp]])</f>
        <v>19</v>
      </c>
    </row>
    <row r="454" spans="1:12" x14ac:dyDescent="0.3">
      <c r="A454" s="12" t="s">
        <v>159</v>
      </c>
      <c r="B454" s="12" t="s">
        <v>11</v>
      </c>
      <c r="C454">
        <v>22.9</v>
      </c>
      <c r="D454">
        <v>32.9</v>
      </c>
      <c r="E454">
        <v>12.7</v>
      </c>
      <c r="F454">
        <v>0</v>
      </c>
      <c r="G454">
        <v>330.4</v>
      </c>
      <c r="H454">
        <v>4000</v>
      </c>
      <c r="I454">
        <v>6482.8</v>
      </c>
      <c r="J454">
        <v>1</v>
      </c>
      <c r="K454">
        <f>J454+energy_grid_portfolio_dataset!G454</f>
        <v>331.4</v>
      </c>
      <c r="L454">
        <f>HOUR(energy_timestamp[[#This Row],[timestamp]])</f>
        <v>20</v>
      </c>
    </row>
    <row r="455" spans="1:12" x14ac:dyDescent="0.3">
      <c r="A455" s="12" t="s">
        <v>160</v>
      </c>
      <c r="B455" s="12" t="s">
        <v>11</v>
      </c>
      <c r="C455">
        <v>22.1</v>
      </c>
      <c r="D455">
        <v>38.299999999999997</v>
      </c>
      <c r="E455">
        <v>7.5</v>
      </c>
      <c r="F455">
        <v>0</v>
      </c>
      <c r="G455">
        <v>68.7</v>
      </c>
      <c r="H455">
        <v>4000</v>
      </c>
      <c r="I455">
        <v>6961.8</v>
      </c>
      <c r="J455">
        <v>1</v>
      </c>
      <c r="K455">
        <f>J455+energy_grid_portfolio_dataset!G455</f>
        <v>69.7</v>
      </c>
      <c r="L455">
        <f>HOUR(energy_timestamp[[#This Row],[timestamp]])</f>
        <v>21</v>
      </c>
    </row>
    <row r="456" spans="1:12" x14ac:dyDescent="0.3">
      <c r="A456" s="12" t="s">
        <v>161</v>
      </c>
      <c r="B456" s="12" t="s">
        <v>11</v>
      </c>
      <c r="C456">
        <v>19.8</v>
      </c>
      <c r="D456">
        <v>39.700000000000003</v>
      </c>
      <c r="E456">
        <v>7.1</v>
      </c>
      <c r="F456">
        <v>0</v>
      </c>
      <c r="G456">
        <v>56.4</v>
      </c>
      <c r="H456">
        <v>3940.8</v>
      </c>
      <c r="I456">
        <v>3997.2</v>
      </c>
      <c r="J456">
        <v>0</v>
      </c>
      <c r="K456">
        <f>J456+energy_grid_portfolio_dataset!G456</f>
        <v>56.4</v>
      </c>
      <c r="L456">
        <f>HOUR(energy_timestamp[[#This Row],[timestamp]])</f>
        <v>22</v>
      </c>
    </row>
    <row r="457" spans="1:12" x14ac:dyDescent="0.3">
      <c r="A457" s="12" t="s">
        <v>162</v>
      </c>
      <c r="B457" s="12" t="s">
        <v>11</v>
      </c>
      <c r="C457">
        <v>20.2</v>
      </c>
      <c r="D457">
        <v>39.4</v>
      </c>
      <c r="E457">
        <v>8.6999999999999993</v>
      </c>
      <c r="F457">
        <v>0</v>
      </c>
      <c r="G457">
        <v>107.2</v>
      </c>
      <c r="H457">
        <v>4000</v>
      </c>
      <c r="I457">
        <v>4300.3</v>
      </c>
      <c r="J457">
        <v>1</v>
      </c>
      <c r="K457">
        <f>J457+energy_grid_portfolio_dataset!G457</f>
        <v>108.2</v>
      </c>
      <c r="L457">
        <f>HOUR(energy_timestamp[[#This Row],[timestamp]])</f>
        <v>23</v>
      </c>
    </row>
    <row r="458" spans="1:12" x14ac:dyDescent="0.3">
      <c r="A458" s="12" t="s">
        <v>163</v>
      </c>
      <c r="B458" s="12" t="s">
        <v>11</v>
      </c>
      <c r="C458">
        <v>20.399999999999999</v>
      </c>
      <c r="D458">
        <v>17.7</v>
      </c>
      <c r="E458">
        <v>19.100000000000001</v>
      </c>
      <c r="F458">
        <v>0</v>
      </c>
      <c r="G458">
        <v>1106.9000000000001</v>
      </c>
      <c r="H458">
        <v>3238.4</v>
      </c>
      <c r="I458">
        <v>4345.3</v>
      </c>
      <c r="J458">
        <v>0</v>
      </c>
      <c r="K458">
        <f>J458+energy_grid_portfolio_dataset!G458</f>
        <v>1106.9000000000001</v>
      </c>
      <c r="L458">
        <f>HOUR(energy_timestamp[[#This Row],[timestamp]])</f>
        <v>0</v>
      </c>
    </row>
    <row r="459" spans="1:12" x14ac:dyDescent="0.3">
      <c r="A459" s="12" t="s">
        <v>164</v>
      </c>
      <c r="B459" s="12" t="s">
        <v>11</v>
      </c>
      <c r="C459">
        <v>20.2</v>
      </c>
      <c r="D459">
        <v>62.7</v>
      </c>
      <c r="E459">
        <v>13.2</v>
      </c>
      <c r="F459">
        <v>0</v>
      </c>
      <c r="G459">
        <v>365.2</v>
      </c>
      <c r="H459">
        <v>3940</v>
      </c>
      <c r="I459">
        <v>4305.2</v>
      </c>
      <c r="J459">
        <v>0</v>
      </c>
      <c r="K459">
        <f>J459+energy_grid_portfolio_dataset!G459</f>
        <v>365.2</v>
      </c>
      <c r="L459">
        <f>HOUR(energy_timestamp[[#This Row],[timestamp]])</f>
        <v>1</v>
      </c>
    </row>
    <row r="460" spans="1:12" x14ac:dyDescent="0.3">
      <c r="A460" s="12" t="s">
        <v>165</v>
      </c>
      <c r="B460" s="12" t="s">
        <v>11</v>
      </c>
      <c r="C460">
        <v>20.8</v>
      </c>
      <c r="D460">
        <v>29.7</v>
      </c>
      <c r="E460">
        <v>13.8</v>
      </c>
      <c r="F460">
        <v>0</v>
      </c>
      <c r="G460">
        <v>421.2</v>
      </c>
      <c r="H460">
        <v>4000</v>
      </c>
      <c r="I460">
        <v>4463</v>
      </c>
      <c r="J460">
        <v>1</v>
      </c>
      <c r="K460">
        <f>J460+energy_grid_portfolio_dataset!G460</f>
        <v>422.2</v>
      </c>
      <c r="L460">
        <f>HOUR(energy_timestamp[[#This Row],[timestamp]])</f>
        <v>2</v>
      </c>
    </row>
    <row r="461" spans="1:12" x14ac:dyDescent="0.3">
      <c r="A461" s="12" t="s">
        <v>166</v>
      </c>
      <c r="B461" s="12" t="s">
        <v>11</v>
      </c>
      <c r="C461">
        <v>21.3</v>
      </c>
      <c r="D461">
        <v>44.2</v>
      </c>
      <c r="E461">
        <v>11</v>
      </c>
      <c r="F461">
        <v>0</v>
      </c>
      <c r="G461">
        <v>210.6</v>
      </c>
      <c r="H461">
        <v>3937.8</v>
      </c>
      <c r="I461">
        <v>4148.3999999999996</v>
      </c>
      <c r="J461">
        <v>0</v>
      </c>
      <c r="K461">
        <f>J461+energy_grid_portfolio_dataset!G461</f>
        <v>210.6</v>
      </c>
      <c r="L461">
        <f>HOUR(energy_timestamp[[#This Row],[timestamp]])</f>
        <v>3</v>
      </c>
    </row>
    <row r="462" spans="1:12" x14ac:dyDescent="0.3">
      <c r="A462" s="12" t="s">
        <v>167</v>
      </c>
      <c r="B462" s="12" t="s">
        <v>11</v>
      </c>
      <c r="C462">
        <v>20.100000000000001</v>
      </c>
      <c r="D462">
        <v>31.3</v>
      </c>
      <c r="E462">
        <v>12.5</v>
      </c>
      <c r="F462">
        <v>0</v>
      </c>
      <c r="G462">
        <v>309.8</v>
      </c>
      <c r="H462">
        <v>3990.9</v>
      </c>
      <c r="I462">
        <v>4300.7</v>
      </c>
      <c r="J462">
        <v>0</v>
      </c>
      <c r="K462">
        <f>J462+energy_grid_portfolio_dataset!G462</f>
        <v>309.8</v>
      </c>
      <c r="L462">
        <f>HOUR(energy_timestamp[[#This Row],[timestamp]])</f>
        <v>4</v>
      </c>
    </row>
    <row r="463" spans="1:12" x14ac:dyDescent="0.3">
      <c r="A463" s="12" t="s">
        <v>168</v>
      </c>
      <c r="B463" s="12" t="s">
        <v>11</v>
      </c>
      <c r="C463">
        <v>21.9</v>
      </c>
      <c r="D463">
        <v>76.599999999999994</v>
      </c>
      <c r="E463">
        <v>7.7</v>
      </c>
      <c r="F463">
        <v>0</v>
      </c>
      <c r="G463">
        <v>72.2</v>
      </c>
      <c r="H463">
        <v>4000</v>
      </c>
      <c r="I463">
        <v>4344</v>
      </c>
      <c r="J463">
        <v>1</v>
      </c>
      <c r="K463">
        <f>J463+energy_grid_portfolio_dataset!G463</f>
        <v>73.2</v>
      </c>
      <c r="L463">
        <f>HOUR(energy_timestamp[[#This Row],[timestamp]])</f>
        <v>5</v>
      </c>
    </row>
    <row r="464" spans="1:12" x14ac:dyDescent="0.3">
      <c r="A464" s="12" t="s">
        <v>169</v>
      </c>
      <c r="B464" s="12" t="s">
        <v>11</v>
      </c>
      <c r="C464">
        <v>24.4</v>
      </c>
      <c r="D464">
        <v>28.8</v>
      </c>
      <c r="E464">
        <v>20.9</v>
      </c>
      <c r="F464">
        <v>276</v>
      </c>
      <c r="G464">
        <v>1455.8</v>
      </c>
      <c r="H464">
        <v>2733.6</v>
      </c>
      <c r="I464">
        <v>4465.3999999999996</v>
      </c>
      <c r="J464">
        <v>0</v>
      </c>
      <c r="K464">
        <f>J464+energy_grid_portfolio_dataset!G464</f>
        <v>1455.8</v>
      </c>
      <c r="L464">
        <f>HOUR(energy_timestamp[[#This Row],[timestamp]])</f>
        <v>6</v>
      </c>
    </row>
    <row r="465" spans="1:12" x14ac:dyDescent="0.3">
      <c r="A465" s="12" t="s">
        <v>170</v>
      </c>
      <c r="B465" s="12" t="s">
        <v>11</v>
      </c>
      <c r="C465">
        <v>26</v>
      </c>
      <c r="D465">
        <v>70</v>
      </c>
      <c r="E465">
        <v>8.6</v>
      </c>
      <c r="F465">
        <v>377.4</v>
      </c>
      <c r="G465">
        <v>103.4</v>
      </c>
      <c r="H465">
        <v>3660.2</v>
      </c>
      <c r="I465">
        <v>4141</v>
      </c>
      <c r="J465">
        <v>0</v>
      </c>
      <c r="K465">
        <f>J465+energy_grid_portfolio_dataset!G465</f>
        <v>103.4</v>
      </c>
      <c r="L465">
        <f>HOUR(energy_timestamp[[#This Row],[timestamp]])</f>
        <v>7</v>
      </c>
    </row>
    <row r="466" spans="1:12" x14ac:dyDescent="0.3">
      <c r="A466" s="12" t="s">
        <v>171</v>
      </c>
      <c r="B466" s="12" t="s">
        <v>11</v>
      </c>
      <c r="C466">
        <v>25.7</v>
      </c>
      <c r="D466">
        <v>52.2</v>
      </c>
      <c r="E466">
        <v>13.3</v>
      </c>
      <c r="F466">
        <v>642.20000000000005</v>
      </c>
      <c r="G466">
        <v>376.6</v>
      </c>
      <c r="H466">
        <v>3510.1</v>
      </c>
      <c r="I466">
        <v>4528.8999999999996</v>
      </c>
      <c r="J466">
        <v>0</v>
      </c>
      <c r="K466">
        <f>J466+energy_grid_portfolio_dataset!G466</f>
        <v>376.6</v>
      </c>
      <c r="L466">
        <f>HOUR(energy_timestamp[[#This Row],[timestamp]])</f>
        <v>8</v>
      </c>
    </row>
    <row r="467" spans="1:12" x14ac:dyDescent="0.3">
      <c r="A467" s="12" t="s">
        <v>172</v>
      </c>
      <c r="B467" s="12" t="s">
        <v>11</v>
      </c>
      <c r="C467">
        <v>27.6</v>
      </c>
      <c r="D467">
        <v>64.8</v>
      </c>
      <c r="E467">
        <v>3.3</v>
      </c>
      <c r="F467">
        <v>716.5</v>
      </c>
      <c r="G467">
        <v>5.5</v>
      </c>
      <c r="H467">
        <v>3577.9</v>
      </c>
      <c r="I467">
        <v>4299.8999999999996</v>
      </c>
      <c r="J467">
        <v>0</v>
      </c>
      <c r="K467">
        <f>J467+energy_grid_portfolio_dataset!G467</f>
        <v>5.5</v>
      </c>
      <c r="L467">
        <f>HOUR(energy_timestamp[[#This Row],[timestamp]])</f>
        <v>9</v>
      </c>
    </row>
    <row r="468" spans="1:12" x14ac:dyDescent="0.3">
      <c r="A468" s="12" t="s">
        <v>173</v>
      </c>
      <c r="B468" s="12" t="s">
        <v>11</v>
      </c>
      <c r="C468">
        <v>25.8</v>
      </c>
      <c r="D468">
        <v>70.8</v>
      </c>
      <c r="E468">
        <v>17.600000000000001</v>
      </c>
      <c r="F468">
        <v>777.2</v>
      </c>
      <c r="G468">
        <v>877.3</v>
      </c>
      <c r="H468">
        <v>4000</v>
      </c>
      <c r="I468">
        <v>6435.7</v>
      </c>
      <c r="J468">
        <v>1</v>
      </c>
      <c r="K468">
        <f>J468+energy_grid_portfolio_dataset!G468</f>
        <v>878.3</v>
      </c>
      <c r="L468">
        <f>HOUR(energy_timestamp[[#This Row],[timestamp]])</f>
        <v>10</v>
      </c>
    </row>
    <row r="469" spans="1:12" x14ac:dyDescent="0.3">
      <c r="A469" s="12" t="s">
        <v>174</v>
      </c>
      <c r="B469" s="12" t="s">
        <v>11</v>
      </c>
      <c r="C469">
        <v>27.5</v>
      </c>
      <c r="D469">
        <v>17.399999999999999</v>
      </c>
      <c r="E469">
        <v>10.9</v>
      </c>
      <c r="F469">
        <v>1310.0999999999999</v>
      </c>
      <c r="G469">
        <v>208.7</v>
      </c>
      <c r="H469">
        <v>4000</v>
      </c>
      <c r="I469">
        <v>6076.4</v>
      </c>
      <c r="J469">
        <v>1</v>
      </c>
      <c r="K469">
        <f>J469+energy_grid_portfolio_dataset!G469</f>
        <v>209.7</v>
      </c>
      <c r="L469">
        <f>HOUR(energy_timestamp[[#This Row],[timestamp]])</f>
        <v>11</v>
      </c>
    </row>
    <row r="470" spans="1:12" x14ac:dyDescent="0.3">
      <c r="A470" s="12" t="s">
        <v>175</v>
      </c>
      <c r="B470" s="12" t="s">
        <v>11</v>
      </c>
      <c r="C470">
        <v>28.8</v>
      </c>
      <c r="D470">
        <v>77.8</v>
      </c>
      <c r="E470">
        <v>19</v>
      </c>
      <c r="F470">
        <v>800.2</v>
      </c>
      <c r="G470">
        <v>1093.7</v>
      </c>
      <c r="H470">
        <v>4000</v>
      </c>
      <c r="I470">
        <v>6193.8</v>
      </c>
      <c r="J470">
        <v>1</v>
      </c>
      <c r="K470">
        <f>J470+energy_grid_portfolio_dataset!G470</f>
        <v>1094.7</v>
      </c>
      <c r="L470">
        <f>HOUR(energy_timestamp[[#This Row],[timestamp]])</f>
        <v>12</v>
      </c>
    </row>
    <row r="471" spans="1:12" x14ac:dyDescent="0.3">
      <c r="A471" s="12" t="s">
        <v>176</v>
      </c>
      <c r="B471" s="12" t="s">
        <v>11</v>
      </c>
      <c r="C471">
        <v>27.7</v>
      </c>
      <c r="D471">
        <v>2.9</v>
      </c>
      <c r="E471">
        <v>8</v>
      </c>
      <c r="F471">
        <v>1436.8</v>
      </c>
      <c r="G471">
        <v>81</v>
      </c>
      <c r="H471">
        <v>4000</v>
      </c>
      <c r="I471">
        <v>6155.7</v>
      </c>
      <c r="J471">
        <v>1</v>
      </c>
      <c r="K471">
        <f>J471+energy_grid_portfolio_dataset!G471</f>
        <v>82</v>
      </c>
      <c r="L471">
        <f>HOUR(energy_timestamp[[#This Row],[timestamp]])</f>
        <v>13</v>
      </c>
    </row>
    <row r="472" spans="1:12" x14ac:dyDescent="0.3">
      <c r="A472" s="12" t="s">
        <v>177</v>
      </c>
      <c r="B472" s="12" t="s">
        <v>11</v>
      </c>
      <c r="C472">
        <v>29.1</v>
      </c>
      <c r="D472">
        <v>14.1</v>
      </c>
      <c r="E472">
        <v>9</v>
      </c>
      <c r="F472">
        <v>1236.8</v>
      </c>
      <c r="G472">
        <v>118.1</v>
      </c>
      <c r="H472">
        <v>4000</v>
      </c>
      <c r="I472">
        <v>6384.7</v>
      </c>
      <c r="J472">
        <v>1</v>
      </c>
      <c r="K472">
        <f>J472+energy_grid_portfolio_dataset!G472</f>
        <v>119.1</v>
      </c>
      <c r="L472">
        <f>HOUR(energy_timestamp[[#This Row],[timestamp]])</f>
        <v>14</v>
      </c>
    </row>
    <row r="473" spans="1:12" x14ac:dyDescent="0.3">
      <c r="A473" s="12" t="s">
        <v>178</v>
      </c>
      <c r="B473" s="12" t="s">
        <v>11</v>
      </c>
      <c r="C473">
        <v>27.1</v>
      </c>
      <c r="D473">
        <v>24.8</v>
      </c>
      <c r="E473">
        <v>14.1</v>
      </c>
      <c r="F473">
        <v>998.5</v>
      </c>
      <c r="G473">
        <v>450.5</v>
      </c>
      <c r="H473">
        <v>2867</v>
      </c>
      <c r="I473">
        <v>4316</v>
      </c>
      <c r="J473">
        <v>0</v>
      </c>
      <c r="K473">
        <f>J473+energy_grid_portfolio_dataset!G473</f>
        <v>450.5</v>
      </c>
      <c r="L473">
        <f>HOUR(energy_timestamp[[#This Row],[timestamp]])</f>
        <v>15</v>
      </c>
    </row>
    <row r="474" spans="1:12" x14ac:dyDescent="0.3">
      <c r="A474" s="12" t="s">
        <v>179</v>
      </c>
      <c r="B474" s="12" t="s">
        <v>11</v>
      </c>
      <c r="C474">
        <v>26</v>
      </c>
      <c r="D474">
        <v>58.7</v>
      </c>
      <c r="E474">
        <v>12</v>
      </c>
      <c r="F474">
        <v>606.1</v>
      </c>
      <c r="G474">
        <v>278.7</v>
      </c>
      <c r="H474">
        <v>3364.1</v>
      </c>
      <c r="I474">
        <v>4248.8999999999996</v>
      </c>
      <c r="J474">
        <v>0</v>
      </c>
      <c r="K474">
        <f>J474+energy_grid_portfolio_dataset!G474</f>
        <v>278.7</v>
      </c>
      <c r="L474">
        <f>HOUR(energy_timestamp[[#This Row],[timestamp]])</f>
        <v>16</v>
      </c>
    </row>
    <row r="475" spans="1:12" x14ac:dyDescent="0.3">
      <c r="A475" s="12" t="s">
        <v>180</v>
      </c>
      <c r="B475" s="12" t="s">
        <v>11</v>
      </c>
      <c r="C475">
        <v>24.9</v>
      </c>
      <c r="D475">
        <v>42.8</v>
      </c>
      <c r="E475">
        <v>10.1</v>
      </c>
      <c r="F475">
        <v>483.7</v>
      </c>
      <c r="G475">
        <v>167.3</v>
      </c>
      <c r="H475">
        <v>3603.5</v>
      </c>
      <c r="I475">
        <v>4254.5</v>
      </c>
      <c r="J475">
        <v>0</v>
      </c>
      <c r="K475">
        <f>J475+energy_grid_portfolio_dataset!G475</f>
        <v>167.3</v>
      </c>
      <c r="L475">
        <f>HOUR(energy_timestamp[[#This Row],[timestamp]])</f>
        <v>17</v>
      </c>
    </row>
    <row r="476" spans="1:12" x14ac:dyDescent="0.3">
      <c r="A476" s="12" t="s">
        <v>181</v>
      </c>
      <c r="B476" s="12" t="s">
        <v>11</v>
      </c>
      <c r="C476">
        <v>25.6</v>
      </c>
      <c r="D476">
        <v>59</v>
      </c>
      <c r="E476">
        <v>10.5</v>
      </c>
      <c r="F476">
        <v>215.6</v>
      </c>
      <c r="G476">
        <v>186.4</v>
      </c>
      <c r="H476">
        <v>4000</v>
      </c>
      <c r="I476">
        <v>6681.2</v>
      </c>
      <c r="J476">
        <v>1</v>
      </c>
      <c r="K476">
        <f>J476+energy_grid_portfolio_dataset!G476</f>
        <v>187.4</v>
      </c>
      <c r="L476">
        <f>HOUR(energy_timestamp[[#This Row],[timestamp]])</f>
        <v>18</v>
      </c>
    </row>
    <row r="477" spans="1:12" x14ac:dyDescent="0.3">
      <c r="A477" s="12" t="s">
        <v>182</v>
      </c>
      <c r="B477" s="12" t="s">
        <v>11</v>
      </c>
      <c r="C477">
        <v>22.6</v>
      </c>
      <c r="D477">
        <v>74.3</v>
      </c>
      <c r="E477">
        <v>13.8</v>
      </c>
      <c r="F477">
        <v>0</v>
      </c>
      <c r="G477">
        <v>424.9</v>
      </c>
      <c r="H477">
        <v>4000</v>
      </c>
      <c r="I477">
        <v>6824.5</v>
      </c>
      <c r="J477">
        <v>1</v>
      </c>
      <c r="K477">
        <f>J477+energy_grid_portfolio_dataset!G477</f>
        <v>425.9</v>
      </c>
      <c r="L477">
        <f>HOUR(energy_timestamp[[#This Row],[timestamp]])</f>
        <v>19</v>
      </c>
    </row>
    <row r="478" spans="1:12" x14ac:dyDescent="0.3">
      <c r="A478" s="12" t="s">
        <v>183</v>
      </c>
      <c r="B478" s="12" t="s">
        <v>11</v>
      </c>
      <c r="C478">
        <v>22.4</v>
      </c>
      <c r="D478">
        <v>5.7</v>
      </c>
      <c r="E478">
        <v>6.4</v>
      </c>
      <c r="F478">
        <v>0</v>
      </c>
      <c r="G478">
        <v>41.3</v>
      </c>
      <c r="H478">
        <v>4000</v>
      </c>
      <c r="I478">
        <v>6703.9</v>
      </c>
      <c r="J478">
        <v>1</v>
      </c>
      <c r="K478">
        <f>J478+energy_grid_portfolio_dataset!G478</f>
        <v>42.3</v>
      </c>
      <c r="L478">
        <f>HOUR(energy_timestamp[[#This Row],[timestamp]])</f>
        <v>20</v>
      </c>
    </row>
    <row r="479" spans="1:12" x14ac:dyDescent="0.3">
      <c r="A479" s="12" t="s">
        <v>184</v>
      </c>
      <c r="B479" s="12" t="s">
        <v>11</v>
      </c>
      <c r="C479">
        <v>21.3</v>
      </c>
      <c r="D479">
        <v>88.3</v>
      </c>
      <c r="E479">
        <v>23.2</v>
      </c>
      <c r="F479">
        <v>0</v>
      </c>
      <c r="G479">
        <v>1986.7</v>
      </c>
      <c r="H479">
        <v>4000</v>
      </c>
      <c r="I479">
        <v>6540.9</v>
      </c>
      <c r="J479">
        <v>1</v>
      </c>
      <c r="K479">
        <f>J479+energy_grid_portfolio_dataset!G479</f>
        <v>1987.7</v>
      </c>
      <c r="L479">
        <f>HOUR(energy_timestamp[[#This Row],[timestamp]])</f>
        <v>21</v>
      </c>
    </row>
    <row r="480" spans="1:12" x14ac:dyDescent="0.3">
      <c r="A480" s="12" t="s">
        <v>185</v>
      </c>
      <c r="B480" s="12" t="s">
        <v>11</v>
      </c>
      <c r="C480">
        <v>21</v>
      </c>
      <c r="D480">
        <v>0</v>
      </c>
      <c r="E480">
        <v>9.3000000000000007</v>
      </c>
      <c r="F480">
        <v>0</v>
      </c>
      <c r="G480">
        <v>128.1</v>
      </c>
      <c r="H480">
        <v>4000</v>
      </c>
      <c r="I480">
        <v>4415.7</v>
      </c>
      <c r="J480">
        <v>1</v>
      </c>
      <c r="K480">
        <f>J480+energy_grid_portfolio_dataset!G480</f>
        <v>129.1</v>
      </c>
      <c r="L480">
        <f>HOUR(energy_timestamp[[#This Row],[timestamp]])</f>
        <v>22</v>
      </c>
    </row>
    <row r="481" spans="1:12" x14ac:dyDescent="0.3">
      <c r="A481" s="12" t="s">
        <v>186</v>
      </c>
      <c r="B481" s="12" t="s">
        <v>11</v>
      </c>
      <c r="C481">
        <v>19.5</v>
      </c>
      <c r="D481">
        <v>40.799999999999997</v>
      </c>
      <c r="E481">
        <v>9.6</v>
      </c>
      <c r="F481">
        <v>0</v>
      </c>
      <c r="G481">
        <v>143.30000000000001</v>
      </c>
      <c r="H481">
        <v>4000</v>
      </c>
      <c r="I481">
        <v>4201.8</v>
      </c>
      <c r="J481">
        <v>1</v>
      </c>
      <c r="K481">
        <f>J481+energy_grid_portfolio_dataset!G481</f>
        <v>144.30000000000001</v>
      </c>
      <c r="L481">
        <f>HOUR(energy_timestamp[[#This Row],[timestamp]])</f>
        <v>23</v>
      </c>
    </row>
    <row r="482" spans="1:12" x14ac:dyDescent="0.3">
      <c r="A482" s="12" t="s">
        <v>187</v>
      </c>
      <c r="B482" s="12" t="s">
        <v>11</v>
      </c>
      <c r="C482">
        <v>20.7</v>
      </c>
      <c r="D482">
        <v>18.2</v>
      </c>
      <c r="E482">
        <v>13.2</v>
      </c>
      <c r="F482">
        <v>0</v>
      </c>
      <c r="G482">
        <v>367.7</v>
      </c>
      <c r="H482">
        <v>4000</v>
      </c>
      <c r="I482">
        <v>4653.1000000000004</v>
      </c>
      <c r="J482">
        <v>1</v>
      </c>
      <c r="K482">
        <f>J482+energy_grid_portfolio_dataset!G482</f>
        <v>368.7</v>
      </c>
      <c r="L482">
        <f>HOUR(energy_timestamp[[#This Row],[timestamp]])</f>
        <v>0</v>
      </c>
    </row>
    <row r="483" spans="1:12" x14ac:dyDescent="0.3">
      <c r="A483" s="12" t="s">
        <v>188</v>
      </c>
      <c r="B483" s="12" t="s">
        <v>11</v>
      </c>
      <c r="C483">
        <v>19.2</v>
      </c>
      <c r="D483">
        <v>0</v>
      </c>
      <c r="E483">
        <v>10.6</v>
      </c>
      <c r="F483">
        <v>0</v>
      </c>
      <c r="G483">
        <v>188.9</v>
      </c>
      <c r="H483">
        <v>4000</v>
      </c>
      <c r="I483">
        <v>5261.1</v>
      </c>
      <c r="J483">
        <v>1</v>
      </c>
      <c r="K483">
        <f>J483+energy_grid_portfolio_dataset!G483</f>
        <v>189.9</v>
      </c>
      <c r="L483">
        <f>HOUR(energy_timestamp[[#This Row],[timestamp]])</f>
        <v>1</v>
      </c>
    </row>
    <row r="484" spans="1:12" x14ac:dyDescent="0.3">
      <c r="A484" s="12" t="s">
        <v>189</v>
      </c>
      <c r="B484" s="12" t="s">
        <v>11</v>
      </c>
      <c r="C484">
        <v>22.5</v>
      </c>
      <c r="D484">
        <v>14.3</v>
      </c>
      <c r="E484">
        <v>14.5</v>
      </c>
      <c r="F484">
        <v>0</v>
      </c>
      <c r="G484">
        <v>486.1</v>
      </c>
      <c r="H484">
        <v>4000</v>
      </c>
      <c r="I484">
        <v>5115.1000000000004</v>
      </c>
      <c r="J484">
        <v>1</v>
      </c>
      <c r="K484">
        <f>J484+energy_grid_portfolio_dataset!G484</f>
        <v>487.1</v>
      </c>
      <c r="L484">
        <f>HOUR(energy_timestamp[[#This Row],[timestamp]])</f>
        <v>2</v>
      </c>
    </row>
    <row r="485" spans="1:12" x14ac:dyDescent="0.3">
      <c r="A485" s="12" t="s">
        <v>190</v>
      </c>
      <c r="B485" s="12" t="s">
        <v>11</v>
      </c>
      <c r="C485">
        <v>21.1</v>
      </c>
      <c r="D485">
        <v>100</v>
      </c>
      <c r="E485">
        <v>4.5</v>
      </c>
      <c r="F485">
        <v>0</v>
      </c>
      <c r="G485">
        <v>14.4</v>
      </c>
      <c r="H485">
        <v>4000</v>
      </c>
      <c r="I485">
        <v>4880.2</v>
      </c>
      <c r="J485">
        <v>1</v>
      </c>
      <c r="K485">
        <f>J485+energy_grid_portfolio_dataset!G485</f>
        <v>15.4</v>
      </c>
      <c r="L485">
        <f>HOUR(energy_timestamp[[#This Row],[timestamp]])</f>
        <v>3</v>
      </c>
    </row>
    <row r="486" spans="1:12" x14ac:dyDescent="0.3">
      <c r="A486" s="12" t="s">
        <v>191</v>
      </c>
      <c r="B486" s="12" t="s">
        <v>11</v>
      </c>
      <c r="C486">
        <v>22.5</v>
      </c>
      <c r="D486">
        <v>72.099999999999994</v>
      </c>
      <c r="E486">
        <v>12.5</v>
      </c>
      <c r="F486">
        <v>0</v>
      </c>
      <c r="G486">
        <v>311.7</v>
      </c>
      <c r="H486">
        <v>4000</v>
      </c>
      <c r="I486">
        <v>4988.1000000000004</v>
      </c>
      <c r="J486">
        <v>1</v>
      </c>
      <c r="K486">
        <f>J486+energy_grid_portfolio_dataset!G486</f>
        <v>312.7</v>
      </c>
      <c r="L486">
        <f>HOUR(energy_timestamp[[#This Row],[timestamp]])</f>
        <v>4</v>
      </c>
    </row>
    <row r="487" spans="1:12" x14ac:dyDescent="0.3">
      <c r="A487" s="12" t="s">
        <v>192</v>
      </c>
      <c r="B487" s="12" t="s">
        <v>11</v>
      </c>
      <c r="C487">
        <v>22.6</v>
      </c>
      <c r="D487">
        <v>51.7</v>
      </c>
      <c r="E487">
        <v>10.3</v>
      </c>
      <c r="F487">
        <v>0</v>
      </c>
      <c r="G487">
        <v>174</v>
      </c>
      <c r="H487">
        <v>4000</v>
      </c>
      <c r="I487">
        <v>4996.2</v>
      </c>
      <c r="J487">
        <v>1</v>
      </c>
      <c r="K487">
        <f>J487+energy_grid_portfolio_dataset!G487</f>
        <v>175</v>
      </c>
      <c r="L487">
        <f>HOUR(energy_timestamp[[#This Row],[timestamp]])</f>
        <v>5</v>
      </c>
    </row>
    <row r="488" spans="1:12" x14ac:dyDescent="0.3">
      <c r="A488" s="12" t="s">
        <v>193</v>
      </c>
      <c r="B488" s="12" t="s">
        <v>11</v>
      </c>
      <c r="C488">
        <v>23.6</v>
      </c>
      <c r="D488">
        <v>54.4</v>
      </c>
      <c r="E488">
        <v>11.9</v>
      </c>
      <c r="F488">
        <v>224.8</v>
      </c>
      <c r="G488">
        <v>266.5</v>
      </c>
      <c r="H488">
        <v>4000</v>
      </c>
      <c r="I488">
        <v>5043.2</v>
      </c>
      <c r="J488">
        <v>1</v>
      </c>
      <c r="K488">
        <f>J488+energy_grid_portfolio_dataset!G488</f>
        <v>267.5</v>
      </c>
      <c r="L488">
        <f>HOUR(energy_timestamp[[#This Row],[timestamp]])</f>
        <v>6</v>
      </c>
    </row>
    <row r="489" spans="1:12" x14ac:dyDescent="0.3">
      <c r="A489" s="12" t="s">
        <v>194</v>
      </c>
      <c r="B489" s="12" t="s">
        <v>11</v>
      </c>
      <c r="C489">
        <v>25</v>
      </c>
      <c r="D489">
        <v>0.7</v>
      </c>
      <c r="E489">
        <v>18.3</v>
      </c>
      <c r="F489">
        <v>648.20000000000005</v>
      </c>
      <c r="G489">
        <v>982.1</v>
      </c>
      <c r="H489">
        <v>3488.6</v>
      </c>
      <c r="I489">
        <v>5118.8999999999996</v>
      </c>
      <c r="J489">
        <v>0</v>
      </c>
      <c r="K489">
        <f>J489+energy_grid_portfolio_dataset!G489</f>
        <v>982.1</v>
      </c>
      <c r="L489">
        <f>HOUR(energy_timestamp[[#This Row],[timestamp]])</f>
        <v>7</v>
      </c>
    </row>
    <row r="490" spans="1:12" x14ac:dyDescent="0.3">
      <c r="A490" s="12" t="s">
        <v>195</v>
      </c>
      <c r="B490" s="12" t="s">
        <v>11</v>
      </c>
      <c r="C490">
        <v>25.3</v>
      </c>
      <c r="D490">
        <v>30.1</v>
      </c>
      <c r="E490">
        <v>18.899999999999999</v>
      </c>
      <c r="F490">
        <v>766.3</v>
      </c>
      <c r="G490">
        <v>1075.4000000000001</v>
      </c>
      <c r="H490">
        <v>2972.4</v>
      </c>
      <c r="I490">
        <v>4814.1000000000004</v>
      </c>
      <c r="J490">
        <v>0</v>
      </c>
      <c r="K490">
        <f>J490+energy_grid_portfolio_dataset!G490</f>
        <v>1075.4000000000001</v>
      </c>
      <c r="L490">
        <f>HOUR(energy_timestamp[[#This Row],[timestamp]])</f>
        <v>8</v>
      </c>
    </row>
    <row r="491" spans="1:12" x14ac:dyDescent="0.3">
      <c r="A491" s="12" t="s">
        <v>196</v>
      </c>
      <c r="B491" s="12" t="s">
        <v>11</v>
      </c>
      <c r="C491">
        <v>30</v>
      </c>
      <c r="D491">
        <v>71.400000000000006</v>
      </c>
      <c r="E491">
        <v>13.1</v>
      </c>
      <c r="F491">
        <v>670.3</v>
      </c>
      <c r="G491">
        <v>361</v>
      </c>
      <c r="H491">
        <v>3598.3</v>
      </c>
      <c r="I491">
        <v>4629.6000000000004</v>
      </c>
      <c r="J491">
        <v>0</v>
      </c>
      <c r="K491">
        <f>J491+energy_grid_portfolio_dataset!G491</f>
        <v>361</v>
      </c>
      <c r="L491">
        <f>HOUR(energy_timestamp[[#This Row],[timestamp]])</f>
        <v>9</v>
      </c>
    </row>
    <row r="492" spans="1:12" x14ac:dyDescent="0.3">
      <c r="A492" s="12" t="s">
        <v>197</v>
      </c>
      <c r="B492" s="12" t="s">
        <v>11</v>
      </c>
      <c r="C492">
        <v>27.7</v>
      </c>
      <c r="D492">
        <v>58</v>
      </c>
      <c r="E492">
        <v>15.2</v>
      </c>
      <c r="F492">
        <v>880.9</v>
      </c>
      <c r="G492">
        <v>564.79999999999995</v>
      </c>
      <c r="H492">
        <v>4000</v>
      </c>
      <c r="I492">
        <v>7141.8</v>
      </c>
      <c r="J492">
        <v>1</v>
      </c>
      <c r="K492">
        <f>J492+energy_grid_portfolio_dataset!G492</f>
        <v>565.79999999999995</v>
      </c>
      <c r="L492">
        <f>HOUR(energy_timestamp[[#This Row],[timestamp]])</f>
        <v>10</v>
      </c>
    </row>
    <row r="493" spans="1:12" x14ac:dyDescent="0.3">
      <c r="A493" s="12" t="s">
        <v>198</v>
      </c>
      <c r="B493" s="12" t="s">
        <v>11</v>
      </c>
      <c r="C493">
        <v>28</v>
      </c>
      <c r="D493">
        <v>40.1</v>
      </c>
      <c r="E493">
        <v>11.2</v>
      </c>
      <c r="F493">
        <v>1110.8</v>
      </c>
      <c r="G493">
        <v>227.4</v>
      </c>
      <c r="H493">
        <v>4000</v>
      </c>
      <c r="I493">
        <v>7233.3</v>
      </c>
      <c r="J493">
        <v>1</v>
      </c>
      <c r="K493">
        <f>J493+energy_grid_portfolio_dataset!G493</f>
        <v>228.4</v>
      </c>
      <c r="L493">
        <f>HOUR(energy_timestamp[[#This Row],[timestamp]])</f>
        <v>11</v>
      </c>
    </row>
    <row r="494" spans="1:12" x14ac:dyDescent="0.3">
      <c r="A494" s="12" t="s">
        <v>199</v>
      </c>
      <c r="B494" s="12" t="s">
        <v>11</v>
      </c>
      <c r="C494">
        <v>29.1</v>
      </c>
      <c r="D494">
        <v>59.8</v>
      </c>
      <c r="E494">
        <v>0</v>
      </c>
      <c r="F494">
        <v>961.4</v>
      </c>
      <c r="G494">
        <v>0</v>
      </c>
      <c r="H494">
        <v>4000</v>
      </c>
      <c r="I494">
        <v>7120.8</v>
      </c>
      <c r="J494">
        <v>1</v>
      </c>
      <c r="K494">
        <f>J494+energy_grid_portfolio_dataset!G494</f>
        <v>1</v>
      </c>
      <c r="L494">
        <f>HOUR(energy_timestamp[[#This Row],[timestamp]])</f>
        <v>12</v>
      </c>
    </row>
    <row r="495" spans="1:12" x14ac:dyDescent="0.3">
      <c r="A495" s="12" t="s">
        <v>200</v>
      </c>
      <c r="B495" s="12" t="s">
        <v>11</v>
      </c>
      <c r="C495">
        <v>28.1</v>
      </c>
      <c r="D495">
        <v>44.5</v>
      </c>
      <c r="E495">
        <v>10.1</v>
      </c>
      <c r="F495">
        <v>1071.5999999999999</v>
      </c>
      <c r="G495">
        <v>162.80000000000001</v>
      </c>
      <c r="H495">
        <v>4000</v>
      </c>
      <c r="I495">
        <v>7248.4</v>
      </c>
      <c r="J495">
        <v>1</v>
      </c>
      <c r="K495">
        <f>J495+energy_grid_portfolio_dataset!G495</f>
        <v>163.80000000000001</v>
      </c>
      <c r="L495">
        <f>HOUR(energy_timestamp[[#This Row],[timestamp]])</f>
        <v>13</v>
      </c>
    </row>
    <row r="496" spans="1:12" x14ac:dyDescent="0.3">
      <c r="A496" s="12" t="s">
        <v>201</v>
      </c>
      <c r="B496" s="12" t="s">
        <v>11</v>
      </c>
      <c r="C496">
        <v>28.4</v>
      </c>
      <c r="D496">
        <v>25.7</v>
      </c>
      <c r="E496">
        <v>14</v>
      </c>
      <c r="F496">
        <v>1143.2</v>
      </c>
      <c r="G496">
        <v>442.4</v>
      </c>
      <c r="H496">
        <v>4000</v>
      </c>
      <c r="I496">
        <v>7318.6</v>
      </c>
      <c r="J496">
        <v>1</v>
      </c>
      <c r="K496">
        <f>J496+energy_grid_portfolio_dataset!G496</f>
        <v>443.4</v>
      </c>
      <c r="L496">
        <f>HOUR(energy_timestamp[[#This Row],[timestamp]])</f>
        <v>14</v>
      </c>
    </row>
    <row r="497" spans="1:12" x14ac:dyDescent="0.3">
      <c r="A497" s="12" t="s">
        <v>202</v>
      </c>
      <c r="B497" s="12" t="s">
        <v>11</v>
      </c>
      <c r="C497">
        <v>25.4</v>
      </c>
      <c r="D497">
        <v>29.3</v>
      </c>
      <c r="E497">
        <v>16.3</v>
      </c>
      <c r="F497">
        <v>966.4</v>
      </c>
      <c r="G497">
        <v>694.4</v>
      </c>
      <c r="H497">
        <v>3143.5</v>
      </c>
      <c r="I497">
        <v>4804.3</v>
      </c>
      <c r="J497">
        <v>0</v>
      </c>
      <c r="K497">
        <f>J497+energy_grid_portfolio_dataset!G497</f>
        <v>694.4</v>
      </c>
      <c r="L497">
        <f>HOUR(energy_timestamp[[#This Row],[timestamp]])</f>
        <v>15</v>
      </c>
    </row>
    <row r="498" spans="1:12" x14ac:dyDescent="0.3">
      <c r="A498" s="12" t="s">
        <v>203</v>
      </c>
      <c r="B498" s="12" t="s">
        <v>11</v>
      </c>
      <c r="C498">
        <v>26.5</v>
      </c>
      <c r="D498">
        <v>63.1</v>
      </c>
      <c r="E498">
        <v>14.6</v>
      </c>
      <c r="F498">
        <v>581</v>
      </c>
      <c r="G498">
        <v>496</v>
      </c>
      <c r="H498">
        <v>4000</v>
      </c>
      <c r="I498">
        <v>5093</v>
      </c>
      <c r="J498">
        <v>1</v>
      </c>
      <c r="K498">
        <f>J498+energy_grid_portfolio_dataset!G498</f>
        <v>497</v>
      </c>
      <c r="L498">
        <f>HOUR(energy_timestamp[[#This Row],[timestamp]])</f>
        <v>16</v>
      </c>
    </row>
    <row r="499" spans="1:12" x14ac:dyDescent="0.3">
      <c r="A499" s="12" t="s">
        <v>204</v>
      </c>
      <c r="B499" s="12" t="s">
        <v>11</v>
      </c>
      <c r="C499">
        <v>25.5</v>
      </c>
      <c r="D499">
        <v>65</v>
      </c>
      <c r="E499">
        <v>15.8</v>
      </c>
      <c r="F499">
        <v>397</v>
      </c>
      <c r="G499">
        <v>627.70000000000005</v>
      </c>
      <c r="H499">
        <v>3829.1</v>
      </c>
      <c r="I499">
        <v>4853.8</v>
      </c>
      <c r="J499">
        <v>0</v>
      </c>
      <c r="K499">
        <f>J499+energy_grid_portfolio_dataset!G499</f>
        <v>627.70000000000005</v>
      </c>
      <c r="L499">
        <f>HOUR(energy_timestamp[[#This Row],[timestamp]])</f>
        <v>17</v>
      </c>
    </row>
    <row r="500" spans="1:12" x14ac:dyDescent="0.3">
      <c r="A500" s="12" t="s">
        <v>205</v>
      </c>
      <c r="B500" s="12" t="s">
        <v>11</v>
      </c>
      <c r="C500">
        <v>24.7</v>
      </c>
      <c r="D500">
        <v>53.8</v>
      </c>
      <c r="E500">
        <v>17.399999999999999</v>
      </c>
      <c r="F500">
        <v>226.1</v>
      </c>
      <c r="G500">
        <v>835.7</v>
      </c>
      <c r="H500">
        <v>4000</v>
      </c>
      <c r="I500">
        <v>7878.3</v>
      </c>
      <c r="J500">
        <v>1</v>
      </c>
      <c r="K500">
        <f>J500+energy_grid_portfolio_dataset!G500</f>
        <v>836.7</v>
      </c>
      <c r="L500">
        <f>HOUR(energy_timestamp[[#This Row],[timestamp]])</f>
        <v>18</v>
      </c>
    </row>
    <row r="501" spans="1:12" x14ac:dyDescent="0.3">
      <c r="A501" s="12" t="s">
        <v>206</v>
      </c>
      <c r="B501" s="12" t="s">
        <v>11</v>
      </c>
      <c r="C501">
        <v>22.1</v>
      </c>
      <c r="D501">
        <v>40.9</v>
      </c>
      <c r="E501">
        <v>8.3000000000000007</v>
      </c>
      <c r="F501">
        <v>0</v>
      </c>
      <c r="G501">
        <v>90.7</v>
      </c>
      <c r="H501">
        <v>4000</v>
      </c>
      <c r="I501">
        <v>7696</v>
      </c>
      <c r="J501">
        <v>1</v>
      </c>
      <c r="K501">
        <f>J501+energy_grid_portfolio_dataset!G501</f>
        <v>91.7</v>
      </c>
      <c r="L501">
        <f>HOUR(energy_timestamp[[#This Row],[timestamp]])</f>
        <v>19</v>
      </c>
    </row>
    <row r="502" spans="1:12" x14ac:dyDescent="0.3">
      <c r="A502" s="12" t="s">
        <v>207</v>
      </c>
      <c r="B502" s="12" t="s">
        <v>11</v>
      </c>
      <c r="C502">
        <v>21.9</v>
      </c>
      <c r="D502">
        <v>25.2</v>
      </c>
      <c r="E502">
        <v>10.5</v>
      </c>
      <c r="F502">
        <v>0</v>
      </c>
      <c r="G502">
        <v>183.1</v>
      </c>
      <c r="H502">
        <v>4000</v>
      </c>
      <c r="I502">
        <v>7598.7</v>
      </c>
      <c r="J502">
        <v>1</v>
      </c>
      <c r="K502">
        <f>J502+energy_grid_portfolio_dataset!G502</f>
        <v>184.1</v>
      </c>
      <c r="L502">
        <f>HOUR(energy_timestamp[[#This Row],[timestamp]])</f>
        <v>20</v>
      </c>
    </row>
    <row r="503" spans="1:12" x14ac:dyDescent="0.3">
      <c r="A503" s="12" t="s">
        <v>208</v>
      </c>
      <c r="B503" s="12" t="s">
        <v>11</v>
      </c>
      <c r="C503">
        <v>21.4</v>
      </c>
      <c r="D503">
        <v>45</v>
      </c>
      <c r="E503">
        <v>7.9</v>
      </c>
      <c r="F503">
        <v>0</v>
      </c>
      <c r="G503">
        <v>79.3</v>
      </c>
      <c r="H503">
        <v>4000</v>
      </c>
      <c r="I503">
        <v>7416</v>
      </c>
      <c r="J503">
        <v>1</v>
      </c>
      <c r="K503">
        <f>J503+energy_grid_portfolio_dataset!G503</f>
        <v>80.3</v>
      </c>
      <c r="L503">
        <f>HOUR(energy_timestamp[[#This Row],[timestamp]])</f>
        <v>21</v>
      </c>
    </row>
    <row r="504" spans="1:12" x14ac:dyDescent="0.3">
      <c r="A504" s="12" t="s">
        <v>209</v>
      </c>
      <c r="B504" s="12" t="s">
        <v>11</v>
      </c>
      <c r="C504">
        <v>21.5</v>
      </c>
      <c r="D504">
        <v>4.8</v>
      </c>
      <c r="E504">
        <v>8.1999999999999993</v>
      </c>
      <c r="F504">
        <v>0</v>
      </c>
      <c r="G504">
        <v>87.8</v>
      </c>
      <c r="H504">
        <v>4000</v>
      </c>
      <c r="I504">
        <v>5048.8999999999996</v>
      </c>
      <c r="J504">
        <v>1</v>
      </c>
      <c r="K504">
        <f>J504+energy_grid_portfolio_dataset!G504</f>
        <v>88.8</v>
      </c>
      <c r="L504">
        <f>HOUR(energy_timestamp[[#This Row],[timestamp]])</f>
        <v>22</v>
      </c>
    </row>
    <row r="505" spans="1:12" x14ac:dyDescent="0.3">
      <c r="A505" s="12" t="s">
        <v>210</v>
      </c>
      <c r="B505" s="12" t="s">
        <v>11</v>
      </c>
      <c r="C505">
        <v>19.2</v>
      </c>
      <c r="D505">
        <v>65.7</v>
      </c>
      <c r="E505">
        <v>11</v>
      </c>
      <c r="F505">
        <v>0</v>
      </c>
      <c r="G505">
        <v>214.8</v>
      </c>
      <c r="H505">
        <v>4000</v>
      </c>
      <c r="I505">
        <v>4834.6000000000004</v>
      </c>
      <c r="J505">
        <v>1</v>
      </c>
      <c r="K505">
        <f>J505+energy_grid_portfolio_dataset!G505</f>
        <v>215.8</v>
      </c>
      <c r="L505">
        <f>HOUR(energy_timestamp[[#This Row],[timestamp]])</f>
        <v>23</v>
      </c>
    </row>
    <row r="506" spans="1:12" x14ac:dyDescent="0.3">
      <c r="A506" s="12" t="s">
        <v>211</v>
      </c>
      <c r="B506" s="12" t="s">
        <v>11</v>
      </c>
      <c r="C506">
        <v>18</v>
      </c>
      <c r="D506">
        <v>60.9</v>
      </c>
      <c r="E506">
        <v>5.8</v>
      </c>
      <c r="F506">
        <v>0</v>
      </c>
      <c r="G506">
        <v>31.3</v>
      </c>
      <c r="H506">
        <v>4000</v>
      </c>
      <c r="I506">
        <v>4910.3</v>
      </c>
      <c r="J506">
        <v>1</v>
      </c>
      <c r="K506">
        <f>J506+energy_grid_portfolio_dataset!G506</f>
        <v>32.299999999999997</v>
      </c>
      <c r="L506">
        <f>HOUR(energy_timestamp[[#This Row],[timestamp]])</f>
        <v>0</v>
      </c>
    </row>
    <row r="507" spans="1:12" x14ac:dyDescent="0.3">
      <c r="A507" s="12" t="s">
        <v>212</v>
      </c>
      <c r="B507" s="12" t="s">
        <v>11</v>
      </c>
      <c r="C507">
        <v>20.399999999999999</v>
      </c>
      <c r="D507">
        <v>79</v>
      </c>
      <c r="E507">
        <v>5.5</v>
      </c>
      <c r="F507">
        <v>0</v>
      </c>
      <c r="G507">
        <v>26</v>
      </c>
      <c r="H507">
        <v>4000</v>
      </c>
      <c r="I507">
        <v>4959</v>
      </c>
      <c r="J507">
        <v>1</v>
      </c>
      <c r="K507">
        <f>J507+energy_grid_portfolio_dataset!G507</f>
        <v>27</v>
      </c>
      <c r="L507">
        <f>HOUR(energy_timestamp[[#This Row],[timestamp]])</f>
        <v>1</v>
      </c>
    </row>
    <row r="508" spans="1:12" x14ac:dyDescent="0.3">
      <c r="A508" s="12" t="s">
        <v>213</v>
      </c>
      <c r="B508" s="12" t="s">
        <v>11</v>
      </c>
      <c r="C508">
        <v>20.7</v>
      </c>
      <c r="D508">
        <v>90</v>
      </c>
      <c r="E508">
        <v>18.2</v>
      </c>
      <c r="F508">
        <v>0</v>
      </c>
      <c r="G508">
        <v>963.7</v>
      </c>
      <c r="H508">
        <v>3533.4</v>
      </c>
      <c r="I508">
        <v>4497.1000000000004</v>
      </c>
      <c r="J508">
        <v>0</v>
      </c>
      <c r="K508">
        <f>J508+energy_grid_portfolio_dataset!G508</f>
        <v>963.7</v>
      </c>
      <c r="L508">
        <f>HOUR(energy_timestamp[[#This Row],[timestamp]])</f>
        <v>2</v>
      </c>
    </row>
    <row r="509" spans="1:12" x14ac:dyDescent="0.3">
      <c r="A509" s="12" t="s">
        <v>214</v>
      </c>
      <c r="B509" s="12" t="s">
        <v>11</v>
      </c>
      <c r="C509">
        <v>20.7</v>
      </c>
      <c r="D509">
        <v>65.2</v>
      </c>
      <c r="E509">
        <v>7.1</v>
      </c>
      <c r="F509">
        <v>0</v>
      </c>
      <c r="G509">
        <v>58.1</v>
      </c>
      <c r="H509">
        <v>4000</v>
      </c>
      <c r="I509">
        <v>4981.3999999999996</v>
      </c>
      <c r="J509">
        <v>1</v>
      </c>
      <c r="K509">
        <f>J509+energy_grid_portfolio_dataset!G509</f>
        <v>59.1</v>
      </c>
      <c r="L509">
        <f>HOUR(energy_timestamp[[#This Row],[timestamp]])</f>
        <v>3</v>
      </c>
    </row>
    <row r="510" spans="1:12" x14ac:dyDescent="0.3">
      <c r="A510" s="12" t="s">
        <v>215</v>
      </c>
      <c r="B510" s="12" t="s">
        <v>11</v>
      </c>
      <c r="C510">
        <v>22.5</v>
      </c>
      <c r="D510">
        <v>71.5</v>
      </c>
      <c r="E510">
        <v>25.8</v>
      </c>
      <c r="F510">
        <v>0</v>
      </c>
      <c r="G510">
        <v>0</v>
      </c>
      <c r="H510">
        <v>4000</v>
      </c>
      <c r="I510">
        <v>5021.5</v>
      </c>
      <c r="J510">
        <v>1</v>
      </c>
      <c r="K510">
        <f>J510+energy_grid_portfolio_dataset!G510</f>
        <v>1</v>
      </c>
      <c r="L510">
        <f>HOUR(energy_timestamp[[#This Row],[timestamp]])</f>
        <v>4</v>
      </c>
    </row>
    <row r="511" spans="1:12" x14ac:dyDescent="0.3">
      <c r="A511" s="12" t="s">
        <v>216</v>
      </c>
      <c r="B511" s="12" t="s">
        <v>11</v>
      </c>
      <c r="C511">
        <v>22.5</v>
      </c>
      <c r="D511">
        <v>44.4</v>
      </c>
      <c r="E511">
        <v>3.2</v>
      </c>
      <c r="F511">
        <v>0</v>
      </c>
      <c r="G511">
        <v>5</v>
      </c>
      <c r="H511">
        <v>4000</v>
      </c>
      <c r="I511">
        <v>5008.8999999999996</v>
      </c>
      <c r="J511">
        <v>1</v>
      </c>
      <c r="K511">
        <f>J511+energy_grid_portfolio_dataset!G511</f>
        <v>6</v>
      </c>
      <c r="L511">
        <f>HOUR(energy_timestamp[[#This Row],[timestamp]])</f>
        <v>5</v>
      </c>
    </row>
    <row r="512" spans="1:12" x14ac:dyDescent="0.3">
      <c r="A512" s="12" t="s">
        <v>217</v>
      </c>
      <c r="B512" s="12" t="s">
        <v>11</v>
      </c>
      <c r="C512">
        <v>23.6</v>
      </c>
      <c r="D512">
        <v>31.9</v>
      </c>
      <c r="E512">
        <v>12.8</v>
      </c>
      <c r="F512">
        <v>269.89999999999998</v>
      </c>
      <c r="G512">
        <v>332.5</v>
      </c>
      <c r="H512">
        <v>4000</v>
      </c>
      <c r="I512">
        <v>4845.8</v>
      </c>
      <c r="J512">
        <v>1</v>
      </c>
      <c r="K512">
        <f>J512+energy_grid_portfolio_dataset!G512</f>
        <v>333.5</v>
      </c>
      <c r="L512">
        <f>HOUR(energy_timestamp[[#This Row],[timestamp]])</f>
        <v>6</v>
      </c>
    </row>
    <row r="513" spans="1:12" x14ac:dyDescent="0.3">
      <c r="A513" s="12" t="s">
        <v>218</v>
      </c>
      <c r="B513" s="12" t="s">
        <v>11</v>
      </c>
      <c r="C513">
        <v>26.2</v>
      </c>
      <c r="D513">
        <v>45</v>
      </c>
      <c r="E513">
        <v>12</v>
      </c>
      <c r="F513">
        <v>475.1</v>
      </c>
      <c r="G513">
        <v>273.3</v>
      </c>
      <c r="H513">
        <v>4000</v>
      </c>
      <c r="I513">
        <v>4826.6000000000004</v>
      </c>
      <c r="J513">
        <v>1</v>
      </c>
      <c r="K513">
        <f>J513+energy_grid_portfolio_dataset!G513</f>
        <v>274.3</v>
      </c>
      <c r="L513">
        <f>HOUR(energy_timestamp[[#This Row],[timestamp]])</f>
        <v>7</v>
      </c>
    </row>
    <row r="514" spans="1:12" x14ac:dyDescent="0.3">
      <c r="A514" s="12" t="s">
        <v>219</v>
      </c>
      <c r="B514" s="12" t="s">
        <v>11</v>
      </c>
      <c r="C514">
        <v>26.2</v>
      </c>
      <c r="D514">
        <v>65.599999999999994</v>
      </c>
      <c r="E514">
        <v>7.7</v>
      </c>
      <c r="F514">
        <v>567</v>
      </c>
      <c r="G514">
        <v>72</v>
      </c>
      <c r="H514">
        <v>4000</v>
      </c>
      <c r="I514">
        <v>4900.8</v>
      </c>
      <c r="J514">
        <v>1</v>
      </c>
      <c r="K514">
        <f>J514+energy_grid_portfolio_dataset!G514</f>
        <v>73</v>
      </c>
      <c r="L514">
        <f>HOUR(energy_timestamp[[#This Row],[timestamp]])</f>
        <v>8</v>
      </c>
    </row>
    <row r="515" spans="1:12" x14ac:dyDescent="0.3">
      <c r="A515" s="12" t="s">
        <v>220</v>
      </c>
      <c r="B515" s="12" t="s">
        <v>11</v>
      </c>
      <c r="C515">
        <v>26.5</v>
      </c>
      <c r="D515">
        <v>11.4</v>
      </c>
      <c r="E515">
        <v>7.9</v>
      </c>
      <c r="F515">
        <v>1092.9000000000001</v>
      </c>
      <c r="G515">
        <v>79</v>
      </c>
      <c r="H515">
        <v>3679.4</v>
      </c>
      <c r="I515">
        <v>4851.3</v>
      </c>
      <c r="J515">
        <v>0</v>
      </c>
      <c r="K515">
        <f>J515+energy_grid_portfolio_dataset!G515</f>
        <v>79</v>
      </c>
      <c r="L515">
        <f>HOUR(energy_timestamp[[#This Row],[timestamp]])</f>
        <v>9</v>
      </c>
    </row>
    <row r="516" spans="1:12" x14ac:dyDescent="0.3">
      <c r="A516" s="12" t="s">
        <v>221</v>
      </c>
      <c r="B516" s="12" t="s">
        <v>11</v>
      </c>
      <c r="C516">
        <v>28.3</v>
      </c>
      <c r="D516">
        <v>51.6</v>
      </c>
      <c r="E516">
        <v>13</v>
      </c>
      <c r="F516">
        <v>933.3</v>
      </c>
      <c r="G516">
        <v>348.9</v>
      </c>
      <c r="H516">
        <v>4000</v>
      </c>
      <c r="I516">
        <v>7078.6</v>
      </c>
      <c r="J516">
        <v>1</v>
      </c>
      <c r="K516">
        <f>J516+energy_grid_portfolio_dataset!G516</f>
        <v>349.9</v>
      </c>
      <c r="L516">
        <f>HOUR(energy_timestamp[[#This Row],[timestamp]])</f>
        <v>10</v>
      </c>
    </row>
    <row r="517" spans="1:12" x14ac:dyDescent="0.3">
      <c r="A517" s="12" t="s">
        <v>222</v>
      </c>
      <c r="B517" s="12" t="s">
        <v>11</v>
      </c>
      <c r="C517">
        <v>27.7</v>
      </c>
      <c r="D517">
        <v>54.8</v>
      </c>
      <c r="E517">
        <v>11.5</v>
      </c>
      <c r="F517">
        <v>981.9</v>
      </c>
      <c r="G517">
        <v>242.3</v>
      </c>
      <c r="H517">
        <v>4000</v>
      </c>
      <c r="I517">
        <v>7277.6</v>
      </c>
      <c r="J517">
        <v>1</v>
      </c>
      <c r="K517">
        <f>J517+energy_grid_portfolio_dataset!G517</f>
        <v>243.3</v>
      </c>
      <c r="L517">
        <f>HOUR(energy_timestamp[[#This Row],[timestamp]])</f>
        <v>11</v>
      </c>
    </row>
    <row r="518" spans="1:12" x14ac:dyDescent="0.3">
      <c r="A518" s="12" t="s">
        <v>223</v>
      </c>
      <c r="B518" s="12" t="s">
        <v>11</v>
      </c>
      <c r="C518">
        <v>27.4</v>
      </c>
      <c r="D518">
        <v>0</v>
      </c>
      <c r="E518">
        <v>11.3</v>
      </c>
      <c r="F518">
        <v>1500</v>
      </c>
      <c r="G518">
        <v>232.6</v>
      </c>
      <c r="H518">
        <v>4000</v>
      </c>
      <c r="I518">
        <v>7189.8</v>
      </c>
      <c r="J518">
        <v>1</v>
      </c>
      <c r="K518">
        <f>J518+energy_grid_portfolio_dataset!G518</f>
        <v>233.6</v>
      </c>
      <c r="L518">
        <f>HOUR(energy_timestamp[[#This Row],[timestamp]])</f>
        <v>12</v>
      </c>
    </row>
    <row r="519" spans="1:12" x14ac:dyDescent="0.3">
      <c r="A519" s="12" t="s">
        <v>224</v>
      </c>
      <c r="B519" s="12" t="s">
        <v>11</v>
      </c>
      <c r="C519">
        <v>28.8</v>
      </c>
      <c r="D519">
        <v>69.099999999999994</v>
      </c>
      <c r="E519">
        <v>18.2</v>
      </c>
      <c r="F519">
        <v>855.8</v>
      </c>
      <c r="G519">
        <v>961.5</v>
      </c>
      <c r="H519">
        <v>4000</v>
      </c>
      <c r="I519">
        <v>7363.4</v>
      </c>
      <c r="J519">
        <v>1</v>
      </c>
      <c r="K519">
        <f>J519+energy_grid_portfolio_dataset!G519</f>
        <v>962.5</v>
      </c>
      <c r="L519">
        <f>HOUR(energy_timestamp[[#This Row],[timestamp]])</f>
        <v>13</v>
      </c>
    </row>
    <row r="520" spans="1:12" x14ac:dyDescent="0.3">
      <c r="A520" s="12" t="s">
        <v>225</v>
      </c>
      <c r="B520" s="12" t="s">
        <v>11</v>
      </c>
      <c r="C520">
        <v>27.7</v>
      </c>
      <c r="D520">
        <v>29.6</v>
      </c>
      <c r="E520">
        <v>10.4</v>
      </c>
      <c r="F520">
        <v>1111.8</v>
      </c>
      <c r="G520">
        <v>181</v>
      </c>
      <c r="H520">
        <v>4000</v>
      </c>
      <c r="I520">
        <v>7163.3</v>
      </c>
      <c r="J520">
        <v>1</v>
      </c>
      <c r="K520">
        <f>J520+energy_grid_portfolio_dataset!G520</f>
        <v>182</v>
      </c>
      <c r="L520">
        <f>HOUR(energy_timestamp[[#This Row],[timestamp]])</f>
        <v>14</v>
      </c>
    </row>
    <row r="521" spans="1:12" x14ac:dyDescent="0.3">
      <c r="A521" s="12" t="s">
        <v>226</v>
      </c>
      <c r="B521" s="12" t="s">
        <v>11</v>
      </c>
      <c r="C521">
        <v>28</v>
      </c>
      <c r="D521">
        <v>41.5</v>
      </c>
      <c r="E521">
        <v>9.6999999999999993</v>
      </c>
      <c r="F521">
        <v>880.6</v>
      </c>
      <c r="G521">
        <v>148.30000000000001</v>
      </c>
      <c r="H521">
        <v>4000</v>
      </c>
      <c r="I521">
        <v>5042.3999999999996</v>
      </c>
      <c r="J521">
        <v>1</v>
      </c>
      <c r="K521">
        <f>J521+energy_grid_portfolio_dataset!G521</f>
        <v>149.30000000000001</v>
      </c>
      <c r="L521">
        <f>HOUR(energy_timestamp[[#This Row],[timestamp]])</f>
        <v>15</v>
      </c>
    </row>
    <row r="522" spans="1:12" x14ac:dyDescent="0.3">
      <c r="A522" s="12" t="s">
        <v>227</v>
      </c>
      <c r="B522" s="12" t="s">
        <v>11</v>
      </c>
      <c r="C522">
        <v>26.6</v>
      </c>
      <c r="D522">
        <v>8.9</v>
      </c>
      <c r="E522">
        <v>0.5</v>
      </c>
      <c r="F522">
        <v>885.3</v>
      </c>
      <c r="G522">
        <v>0</v>
      </c>
      <c r="H522">
        <v>4000</v>
      </c>
      <c r="I522">
        <v>4950.1000000000004</v>
      </c>
      <c r="J522">
        <v>1</v>
      </c>
      <c r="K522">
        <f>J522+energy_grid_portfolio_dataset!G522</f>
        <v>1</v>
      </c>
      <c r="L522">
        <f>HOUR(energy_timestamp[[#This Row],[timestamp]])</f>
        <v>16</v>
      </c>
    </row>
    <row r="523" spans="1:12" x14ac:dyDescent="0.3">
      <c r="A523" s="12" t="s">
        <v>228</v>
      </c>
      <c r="B523" s="12" t="s">
        <v>11</v>
      </c>
      <c r="C523">
        <v>23.8</v>
      </c>
      <c r="D523">
        <v>32.299999999999997</v>
      </c>
      <c r="E523">
        <v>11.3</v>
      </c>
      <c r="F523">
        <v>524.70000000000005</v>
      </c>
      <c r="G523">
        <v>228.5</v>
      </c>
      <c r="H523">
        <v>4000</v>
      </c>
      <c r="I523">
        <v>4867.3999999999996</v>
      </c>
      <c r="J523">
        <v>1</v>
      </c>
      <c r="K523">
        <f>J523+energy_grid_portfolio_dataset!G523</f>
        <v>229.5</v>
      </c>
      <c r="L523">
        <f>HOUR(energy_timestamp[[#This Row],[timestamp]])</f>
        <v>17</v>
      </c>
    </row>
    <row r="524" spans="1:12" x14ac:dyDescent="0.3">
      <c r="A524" s="12" t="s">
        <v>229</v>
      </c>
      <c r="B524" s="12" t="s">
        <v>11</v>
      </c>
      <c r="C524">
        <v>25.5</v>
      </c>
      <c r="D524">
        <v>53.2</v>
      </c>
      <c r="E524">
        <v>13.5</v>
      </c>
      <c r="F524">
        <v>227.3</v>
      </c>
      <c r="G524">
        <v>393.9</v>
      </c>
      <c r="H524">
        <v>4000</v>
      </c>
      <c r="I524">
        <v>7632</v>
      </c>
      <c r="J524">
        <v>1</v>
      </c>
      <c r="K524">
        <f>J524+energy_grid_portfolio_dataset!G524</f>
        <v>394.9</v>
      </c>
      <c r="L524">
        <f>HOUR(energy_timestamp[[#This Row],[timestamp]])</f>
        <v>18</v>
      </c>
    </row>
    <row r="525" spans="1:12" x14ac:dyDescent="0.3">
      <c r="A525" s="12" t="s">
        <v>230</v>
      </c>
      <c r="B525" s="12" t="s">
        <v>11</v>
      </c>
      <c r="C525">
        <v>21.8</v>
      </c>
      <c r="D525">
        <v>71</v>
      </c>
      <c r="E525">
        <v>11.6</v>
      </c>
      <c r="F525">
        <v>0</v>
      </c>
      <c r="G525">
        <v>251.1</v>
      </c>
      <c r="H525">
        <v>4000</v>
      </c>
      <c r="I525">
        <v>7793.3</v>
      </c>
      <c r="J525">
        <v>1</v>
      </c>
      <c r="K525">
        <f>J525+energy_grid_portfolio_dataset!G525</f>
        <v>252.1</v>
      </c>
      <c r="L525">
        <f>HOUR(energy_timestamp[[#This Row],[timestamp]])</f>
        <v>19</v>
      </c>
    </row>
    <row r="526" spans="1:12" x14ac:dyDescent="0.3">
      <c r="A526" s="12" t="s">
        <v>231</v>
      </c>
      <c r="B526" s="12" t="s">
        <v>11</v>
      </c>
      <c r="C526">
        <v>20.9</v>
      </c>
      <c r="D526">
        <v>6.2</v>
      </c>
      <c r="E526">
        <v>16.100000000000001</v>
      </c>
      <c r="F526">
        <v>0</v>
      </c>
      <c r="G526">
        <v>666.4</v>
      </c>
      <c r="H526">
        <v>4000</v>
      </c>
      <c r="I526">
        <v>7800.6</v>
      </c>
      <c r="J526">
        <v>1</v>
      </c>
      <c r="K526">
        <f>J526+energy_grid_portfolio_dataset!G526</f>
        <v>667.4</v>
      </c>
      <c r="L526">
        <f>HOUR(energy_timestamp[[#This Row],[timestamp]])</f>
        <v>20</v>
      </c>
    </row>
    <row r="527" spans="1:12" x14ac:dyDescent="0.3">
      <c r="A527" s="12" t="s">
        <v>232</v>
      </c>
      <c r="B527" s="12" t="s">
        <v>11</v>
      </c>
      <c r="C527">
        <v>20.3</v>
      </c>
      <c r="D527">
        <v>23.3</v>
      </c>
      <c r="E527">
        <v>17.600000000000001</v>
      </c>
      <c r="F527">
        <v>0</v>
      </c>
      <c r="G527">
        <v>876.3</v>
      </c>
      <c r="H527">
        <v>4000</v>
      </c>
      <c r="I527">
        <v>7756.5</v>
      </c>
      <c r="J527">
        <v>1</v>
      </c>
      <c r="K527">
        <f>J527+energy_grid_portfolio_dataset!G527</f>
        <v>877.3</v>
      </c>
      <c r="L527">
        <f>HOUR(energy_timestamp[[#This Row],[timestamp]])</f>
        <v>21</v>
      </c>
    </row>
    <row r="528" spans="1:12" x14ac:dyDescent="0.3">
      <c r="A528" s="12" t="s">
        <v>233</v>
      </c>
      <c r="B528" s="12" t="s">
        <v>11</v>
      </c>
      <c r="C528">
        <v>22.2</v>
      </c>
      <c r="D528">
        <v>22.5</v>
      </c>
      <c r="E528">
        <v>15.2</v>
      </c>
      <c r="F528">
        <v>0</v>
      </c>
      <c r="G528">
        <v>561</v>
      </c>
      <c r="H528">
        <v>4000</v>
      </c>
      <c r="I528">
        <v>4771.6000000000004</v>
      </c>
      <c r="J528">
        <v>1</v>
      </c>
      <c r="K528">
        <f>J528+energy_grid_portfolio_dataset!G528</f>
        <v>562</v>
      </c>
      <c r="L528">
        <f>HOUR(energy_timestamp[[#This Row],[timestamp]])</f>
        <v>22</v>
      </c>
    </row>
    <row r="529" spans="1:12" x14ac:dyDescent="0.3">
      <c r="A529" s="12" t="s">
        <v>234</v>
      </c>
      <c r="B529" s="12" t="s">
        <v>11</v>
      </c>
      <c r="C529">
        <v>20.7</v>
      </c>
      <c r="D529">
        <v>31.4</v>
      </c>
      <c r="E529">
        <v>11.2</v>
      </c>
      <c r="F529">
        <v>0</v>
      </c>
      <c r="G529">
        <v>223.9</v>
      </c>
      <c r="H529">
        <v>4000</v>
      </c>
      <c r="I529">
        <v>4900.7</v>
      </c>
      <c r="J529">
        <v>1</v>
      </c>
      <c r="K529">
        <f>J529+energy_grid_portfolio_dataset!G529</f>
        <v>224.9</v>
      </c>
      <c r="L529">
        <f>HOUR(energy_timestamp[[#This Row],[timestamp]])</f>
        <v>23</v>
      </c>
    </row>
    <row r="530" spans="1:12" x14ac:dyDescent="0.3">
      <c r="A530" s="12" t="s">
        <v>235</v>
      </c>
      <c r="B530" s="12" t="s">
        <v>11</v>
      </c>
      <c r="C530">
        <v>19</v>
      </c>
      <c r="D530">
        <v>63.5</v>
      </c>
      <c r="E530">
        <v>9.4</v>
      </c>
      <c r="F530">
        <v>0</v>
      </c>
      <c r="G530">
        <v>134.30000000000001</v>
      </c>
      <c r="H530">
        <v>4000</v>
      </c>
      <c r="I530">
        <v>4956.1000000000004</v>
      </c>
      <c r="J530">
        <v>1</v>
      </c>
      <c r="K530">
        <f>J530+energy_grid_portfolio_dataset!G530</f>
        <v>135.30000000000001</v>
      </c>
      <c r="L530">
        <f>HOUR(energy_timestamp[[#This Row],[timestamp]])</f>
        <v>0</v>
      </c>
    </row>
    <row r="531" spans="1:12" x14ac:dyDescent="0.3">
      <c r="A531" s="12" t="s">
        <v>236</v>
      </c>
      <c r="B531" s="12" t="s">
        <v>11</v>
      </c>
      <c r="C531">
        <v>19.100000000000001</v>
      </c>
      <c r="D531">
        <v>0</v>
      </c>
      <c r="E531">
        <v>11</v>
      </c>
      <c r="F531">
        <v>0</v>
      </c>
      <c r="G531">
        <v>215.6</v>
      </c>
      <c r="H531">
        <v>4000</v>
      </c>
      <c r="I531">
        <v>4915.7</v>
      </c>
      <c r="J531">
        <v>1</v>
      </c>
      <c r="K531">
        <f>J531+energy_grid_portfolio_dataset!G531</f>
        <v>216.6</v>
      </c>
      <c r="L531">
        <f>HOUR(energy_timestamp[[#This Row],[timestamp]])</f>
        <v>1</v>
      </c>
    </row>
    <row r="532" spans="1:12" x14ac:dyDescent="0.3">
      <c r="A532" s="12" t="s">
        <v>237</v>
      </c>
      <c r="B532" s="12" t="s">
        <v>11</v>
      </c>
      <c r="C532">
        <v>21.3</v>
      </c>
      <c r="D532">
        <v>44.5</v>
      </c>
      <c r="E532">
        <v>10.7</v>
      </c>
      <c r="F532">
        <v>0</v>
      </c>
      <c r="G532">
        <v>195.2</v>
      </c>
      <c r="H532">
        <v>4000</v>
      </c>
      <c r="I532">
        <v>5311.9</v>
      </c>
      <c r="J532">
        <v>1</v>
      </c>
      <c r="K532">
        <f>J532+energy_grid_portfolio_dataset!G532</f>
        <v>196.2</v>
      </c>
      <c r="L532">
        <f>HOUR(energy_timestamp[[#This Row],[timestamp]])</f>
        <v>2</v>
      </c>
    </row>
    <row r="533" spans="1:12" x14ac:dyDescent="0.3">
      <c r="A533" s="12" t="s">
        <v>238</v>
      </c>
      <c r="B533" s="12" t="s">
        <v>11</v>
      </c>
      <c r="C533">
        <v>21.7</v>
      </c>
      <c r="D533">
        <v>15.5</v>
      </c>
      <c r="E533">
        <v>17.600000000000001</v>
      </c>
      <c r="F533">
        <v>0</v>
      </c>
      <c r="G533">
        <v>868.1</v>
      </c>
      <c r="H533">
        <v>4000</v>
      </c>
      <c r="I533">
        <v>4953.3999999999996</v>
      </c>
      <c r="J533">
        <v>1</v>
      </c>
      <c r="K533">
        <f>J533+energy_grid_portfolio_dataset!G533</f>
        <v>869.1</v>
      </c>
      <c r="L533">
        <f>HOUR(energy_timestamp[[#This Row],[timestamp]])</f>
        <v>3</v>
      </c>
    </row>
    <row r="534" spans="1:12" x14ac:dyDescent="0.3">
      <c r="A534" s="12" t="s">
        <v>239</v>
      </c>
      <c r="B534" s="12" t="s">
        <v>11</v>
      </c>
      <c r="C534">
        <v>22.7</v>
      </c>
      <c r="D534">
        <v>56</v>
      </c>
      <c r="E534">
        <v>12.1</v>
      </c>
      <c r="F534">
        <v>0</v>
      </c>
      <c r="G534">
        <v>283.3</v>
      </c>
      <c r="H534">
        <v>4000</v>
      </c>
      <c r="I534">
        <v>5057.3</v>
      </c>
      <c r="J534">
        <v>1</v>
      </c>
      <c r="K534">
        <f>J534+energy_grid_portfolio_dataset!G534</f>
        <v>284.3</v>
      </c>
      <c r="L534">
        <f>HOUR(energy_timestamp[[#This Row],[timestamp]])</f>
        <v>4</v>
      </c>
    </row>
    <row r="535" spans="1:12" x14ac:dyDescent="0.3">
      <c r="A535" s="12" t="s">
        <v>240</v>
      </c>
      <c r="B535" s="12" t="s">
        <v>11</v>
      </c>
      <c r="C535">
        <v>23.6</v>
      </c>
      <c r="D535">
        <v>36.1</v>
      </c>
      <c r="E535">
        <v>9.1</v>
      </c>
      <c r="F535">
        <v>0</v>
      </c>
      <c r="G535">
        <v>121.8</v>
      </c>
      <c r="H535">
        <v>4000</v>
      </c>
      <c r="I535">
        <v>5050.8999999999996</v>
      </c>
      <c r="J535">
        <v>1</v>
      </c>
      <c r="K535">
        <f>J535+energy_grid_portfolio_dataset!G535</f>
        <v>122.8</v>
      </c>
      <c r="L535">
        <f>HOUR(energy_timestamp[[#This Row],[timestamp]])</f>
        <v>5</v>
      </c>
    </row>
    <row r="536" spans="1:12" x14ac:dyDescent="0.3">
      <c r="A536" s="12" t="s">
        <v>241</v>
      </c>
      <c r="B536" s="12" t="s">
        <v>11</v>
      </c>
      <c r="C536">
        <v>25.5</v>
      </c>
      <c r="D536">
        <v>14</v>
      </c>
      <c r="E536">
        <v>4.7</v>
      </c>
      <c r="F536">
        <v>305.7</v>
      </c>
      <c r="G536">
        <v>16.2</v>
      </c>
      <c r="H536">
        <v>4000</v>
      </c>
      <c r="I536">
        <v>4965.3</v>
      </c>
      <c r="J536">
        <v>1</v>
      </c>
      <c r="K536">
        <f>J536+energy_grid_portfolio_dataset!G536</f>
        <v>17.2</v>
      </c>
      <c r="L536">
        <f>HOUR(energy_timestamp[[#This Row],[timestamp]])</f>
        <v>6</v>
      </c>
    </row>
    <row r="537" spans="1:12" x14ac:dyDescent="0.3">
      <c r="A537" s="12" t="s">
        <v>242</v>
      </c>
      <c r="B537" s="12" t="s">
        <v>11</v>
      </c>
      <c r="C537">
        <v>25.1</v>
      </c>
      <c r="D537">
        <v>49.3</v>
      </c>
      <c r="E537">
        <v>13.2</v>
      </c>
      <c r="F537">
        <v>458.2</v>
      </c>
      <c r="G537">
        <v>369.7</v>
      </c>
      <c r="H537">
        <v>4000</v>
      </c>
      <c r="I537">
        <v>4974.7</v>
      </c>
      <c r="J537">
        <v>1</v>
      </c>
      <c r="K537">
        <f>J537+energy_grid_portfolio_dataset!G537</f>
        <v>370.7</v>
      </c>
      <c r="L537">
        <f>HOUR(energy_timestamp[[#This Row],[timestamp]])</f>
        <v>7</v>
      </c>
    </row>
    <row r="538" spans="1:12" x14ac:dyDescent="0.3">
      <c r="A538" s="12" t="s">
        <v>243</v>
      </c>
      <c r="B538" s="12" t="s">
        <v>11</v>
      </c>
      <c r="C538">
        <v>27.5</v>
      </c>
      <c r="D538">
        <v>5</v>
      </c>
      <c r="E538">
        <v>7.9</v>
      </c>
      <c r="F538">
        <v>907.3</v>
      </c>
      <c r="G538">
        <v>77.599999999999994</v>
      </c>
      <c r="H538">
        <v>3931.6</v>
      </c>
      <c r="I538">
        <v>4916.5</v>
      </c>
      <c r="J538">
        <v>0</v>
      </c>
      <c r="K538">
        <f>J538+energy_grid_portfolio_dataset!G538</f>
        <v>77.599999999999994</v>
      </c>
      <c r="L538">
        <f>HOUR(energy_timestamp[[#This Row],[timestamp]])</f>
        <v>8</v>
      </c>
    </row>
    <row r="539" spans="1:12" x14ac:dyDescent="0.3">
      <c r="A539" s="12" t="s">
        <v>244</v>
      </c>
      <c r="B539" s="12" t="s">
        <v>11</v>
      </c>
      <c r="C539">
        <v>25.2</v>
      </c>
      <c r="D539">
        <v>40.6</v>
      </c>
      <c r="E539">
        <v>20.3</v>
      </c>
      <c r="F539">
        <v>887</v>
      </c>
      <c r="G539">
        <v>1339.9</v>
      </c>
      <c r="H539">
        <v>2707.6</v>
      </c>
      <c r="I539">
        <v>4934.5</v>
      </c>
      <c r="J539">
        <v>0</v>
      </c>
      <c r="K539">
        <f>J539+energy_grid_portfolio_dataset!G539</f>
        <v>1339.9</v>
      </c>
      <c r="L539">
        <f>HOUR(energy_timestamp[[#This Row],[timestamp]])</f>
        <v>9</v>
      </c>
    </row>
    <row r="540" spans="1:12" x14ac:dyDescent="0.3">
      <c r="A540" s="12" t="s">
        <v>245</v>
      </c>
      <c r="B540" s="12" t="s">
        <v>11</v>
      </c>
      <c r="C540">
        <v>27.7</v>
      </c>
      <c r="D540">
        <v>13.5</v>
      </c>
      <c r="E540">
        <v>8.9</v>
      </c>
      <c r="F540">
        <v>1242</v>
      </c>
      <c r="G540">
        <v>113.5</v>
      </c>
      <c r="H540">
        <v>4000</v>
      </c>
      <c r="I540">
        <v>7153.1</v>
      </c>
      <c r="J540">
        <v>1</v>
      </c>
      <c r="K540">
        <f>J540+energy_grid_portfolio_dataset!G540</f>
        <v>114.5</v>
      </c>
      <c r="L540">
        <f>HOUR(energy_timestamp[[#This Row],[timestamp]])</f>
        <v>10</v>
      </c>
    </row>
    <row r="541" spans="1:12" x14ac:dyDescent="0.3">
      <c r="A541" s="12" t="s">
        <v>246</v>
      </c>
      <c r="B541" s="12" t="s">
        <v>11</v>
      </c>
      <c r="C541">
        <v>27.5</v>
      </c>
      <c r="D541">
        <v>77</v>
      </c>
      <c r="E541">
        <v>14.8</v>
      </c>
      <c r="F541">
        <v>786.4</v>
      </c>
      <c r="G541">
        <v>517.5</v>
      </c>
      <c r="H541">
        <v>4000</v>
      </c>
      <c r="I541">
        <v>7093.7</v>
      </c>
      <c r="J541">
        <v>1</v>
      </c>
      <c r="K541">
        <f>J541+energy_grid_portfolio_dataset!G541</f>
        <v>518.5</v>
      </c>
      <c r="L541">
        <f>HOUR(energy_timestamp[[#This Row],[timestamp]])</f>
        <v>11</v>
      </c>
    </row>
    <row r="542" spans="1:12" x14ac:dyDescent="0.3">
      <c r="A542" s="12" t="s">
        <v>247</v>
      </c>
      <c r="B542" s="12" t="s">
        <v>11</v>
      </c>
      <c r="C542">
        <v>28.2</v>
      </c>
      <c r="D542">
        <v>57.5</v>
      </c>
      <c r="E542">
        <v>17.7</v>
      </c>
      <c r="F542">
        <v>982.9</v>
      </c>
      <c r="G542">
        <v>887.3</v>
      </c>
      <c r="H542">
        <v>4000</v>
      </c>
      <c r="I542">
        <v>6983.3</v>
      </c>
      <c r="J542">
        <v>1</v>
      </c>
      <c r="K542">
        <f>J542+energy_grid_portfolio_dataset!G542</f>
        <v>888.3</v>
      </c>
      <c r="L542">
        <f>HOUR(energy_timestamp[[#This Row],[timestamp]])</f>
        <v>12</v>
      </c>
    </row>
    <row r="543" spans="1:12" x14ac:dyDescent="0.3">
      <c r="A543" s="12" t="s">
        <v>248</v>
      </c>
      <c r="B543" s="12" t="s">
        <v>11</v>
      </c>
      <c r="C543">
        <v>26.8</v>
      </c>
      <c r="D543">
        <v>24.7</v>
      </c>
      <c r="E543">
        <v>5.7</v>
      </c>
      <c r="F543">
        <v>1245.4000000000001</v>
      </c>
      <c r="G543">
        <v>29.8</v>
      </c>
      <c r="H543">
        <v>4000</v>
      </c>
      <c r="I543">
        <v>7387.1</v>
      </c>
      <c r="J543">
        <v>1</v>
      </c>
      <c r="K543">
        <f>J543+energy_grid_portfolio_dataset!G543</f>
        <v>30.8</v>
      </c>
      <c r="L543">
        <f>HOUR(energy_timestamp[[#This Row],[timestamp]])</f>
        <v>13</v>
      </c>
    </row>
    <row r="544" spans="1:12" x14ac:dyDescent="0.3">
      <c r="A544" s="12" t="s">
        <v>249</v>
      </c>
      <c r="B544" s="12" t="s">
        <v>11</v>
      </c>
      <c r="C544">
        <v>27.9</v>
      </c>
      <c r="D544">
        <v>69.7</v>
      </c>
      <c r="E544">
        <v>11.6</v>
      </c>
      <c r="F544">
        <v>786.4</v>
      </c>
      <c r="G544">
        <v>251.1</v>
      </c>
      <c r="H544">
        <v>4000</v>
      </c>
      <c r="I544">
        <v>7114.9</v>
      </c>
      <c r="J544">
        <v>1</v>
      </c>
      <c r="K544">
        <f>J544+energy_grid_portfolio_dataset!G544</f>
        <v>252.1</v>
      </c>
      <c r="L544">
        <f>HOUR(energy_timestamp[[#This Row],[timestamp]])</f>
        <v>14</v>
      </c>
    </row>
    <row r="545" spans="1:12" x14ac:dyDescent="0.3">
      <c r="A545" s="12" t="s">
        <v>250</v>
      </c>
      <c r="B545" s="12" t="s">
        <v>11</v>
      </c>
      <c r="C545">
        <v>27</v>
      </c>
      <c r="D545">
        <v>24.1</v>
      </c>
      <c r="E545">
        <v>22.4</v>
      </c>
      <c r="F545">
        <v>1003</v>
      </c>
      <c r="G545">
        <v>1809.8</v>
      </c>
      <c r="H545">
        <v>2089.1999999999998</v>
      </c>
      <c r="I545">
        <v>4902</v>
      </c>
      <c r="J545">
        <v>0</v>
      </c>
      <c r="K545">
        <f>J545+energy_grid_portfolio_dataset!G545</f>
        <v>1809.8</v>
      </c>
      <c r="L545">
        <f>HOUR(energy_timestamp[[#This Row],[timestamp]])</f>
        <v>15</v>
      </c>
    </row>
    <row r="546" spans="1:12" x14ac:dyDescent="0.3">
      <c r="A546" s="12" t="s">
        <v>251</v>
      </c>
      <c r="B546" s="12" t="s">
        <v>11</v>
      </c>
      <c r="C546">
        <v>26.2</v>
      </c>
      <c r="D546">
        <v>95.6</v>
      </c>
      <c r="E546">
        <v>12</v>
      </c>
      <c r="F546">
        <v>398.8</v>
      </c>
      <c r="G546">
        <v>278.8</v>
      </c>
      <c r="H546">
        <v>4000</v>
      </c>
      <c r="I546">
        <v>4708.8999999999996</v>
      </c>
      <c r="J546">
        <v>1</v>
      </c>
      <c r="K546">
        <f>J546+energy_grid_portfolio_dataset!G546</f>
        <v>279.8</v>
      </c>
      <c r="L546">
        <f>HOUR(energy_timestamp[[#This Row],[timestamp]])</f>
        <v>16</v>
      </c>
    </row>
    <row r="547" spans="1:12" x14ac:dyDescent="0.3">
      <c r="A547" s="12" t="s">
        <v>252</v>
      </c>
      <c r="B547" s="12" t="s">
        <v>11</v>
      </c>
      <c r="C547">
        <v>24.7</v>
      </c>
      <c r="D547">
        <v>40.5</v>
      </c>
      <c r="E547">
        <v>18.899999999999999</v>
      </c>
      <c r="F547">
        <v>492.7</v>
      </c>
      <c r="G547">
        <v>1074.0999999999999</v>
      </c>
      <c r="H547">
        <v>3354.7</v>
      </c>
      <c r="I547">
        <v>4921.5</v>
      </c>
      <c r="J547">
        <v>0</v>
      </c>
      <c r="K547">
        <f>J547+energy_grid_portfolio_dataset!G547</f>
        <v>1074.0999999999999</v>
      </c>
      <c r="L547">
        <f>HOUR(energy_timestamp[[#This Row],[timestamp]])</f>
        <v>17</v>
      </c>
    </row>
    <row r="548" spans="1:12" x14ac:dyDescent="0.3">
      <c r="A548" s="12" t="s">
        <v>253</v>
      </c>
      <c r="B548" s="12" t="s">
        <v>11</v>
      </c>
      <c r="C548">
        <v>25.5</v>
      </c>
      <c r="D548">
        <v>9.4</v>
      </c>
      <c r="E548">
        <v>10.7</v>
      </c>
      <c r="F548">
        <v>315</v>
      </c>
      <c r="G548">
        <v>194.2</v>
      </c>
      <c r="H548">
        <v>4000</v>
      </c>
      <c r="I548">
        <v>7368.2</v>
      </c>
      <c r="J548">
        <v>1</v>
      </c>
      <c r="K548">
        <f>J548+energy_grid_portfolio_dataset!G548</f>
        <v>195.2</v>
      </c>
      <c r="L548">
        <f>HOUR(energy_timestamp[[#This Row],[timestamp]])</f>
        <v>18</v>
      </c>
    </row>
    <row r="549" spans="1:12" x14ac:dyDescent="0.3">
      <c r="A549" s="12" t="s">
        <v>254</v>
      </c>
      <c r="B549" s="12" t="s">
        <v>11</v>
      </c>
      <c r="C549">
        <v>23.6</v>
      </c>
      <c r="D549">
        <v>5</v>
      </c>
      <c r="E549">
        <v>14.3</v>
      </c>
      <c r="F549">
        <v>0</v>
      </c>
      <c r="G549">
        <v>468.9</v>
      </c>
      <c r="H549">
        <v>4000</v>
      </c>
      <c r="I549">
        <v>7635.6</v>
      </c>
      <c r="J549">
        <v>1</v>
      </c>
      <c r="K549">
        <f>J549+energy_grid_portfolio_dataset!G549</f>
        <v>469.9</v>
      </c>
      <c r="L549">
        <f>HOUR(energy_timestamp[[#This Row],[timestamp]])</f>
        <v>19</v>
      </c>
    </row>
    <row r="550" spans="1:12" x14ac:dyDescent="0.3">
      <c r="A550" s="12" t="s">
        <v>255</v>
      </c>
      <c r="B550" s="12" t="s">
        <v>11</v>
      </c>
      <c r="C550">
        <v>20.6</v>
      </c>
      <c r="D550">
        <v>49.7</v>
      </c>
      <c r="E550">
        <v>8.6999999999999993</v>
      </c>
      <c r="F550">
        <v>0</v>
      </c>
      <c r="G550">
        <v>105</v>
      </c>
      <c r="H550">
        <v>4000</v>
      </c>
      <c r="I550">
        <v>8003.6</v>
      </c>
      <c r="J550">
        <v>1</v>
      </c>
      <c r="K550">
        <f>J550+energy_grid_portfolio_dataset!G550</f>
        <v>106</v>
      </c>
      <c r="L550">
        <f>HOUR(energy_timestamp[[#This Row],[timestamp]])</f>
        <v>20</v>
      </c>
    </row>
    <row r="551" spans="1:12" x14ac:dyDescent="0.3">
      <c r="A551" s="12" t="s">
        <v>256</v>
      </c>
      <c r="B551" s="12" t="s">
        <v>11</v>
      </c>
      <c r="C551">
        <v>21.2</v>
      </c>
      <c r="D551">
        <v>29</v>
      </c>
      <c r="E551">
        <v>14.4</v>
      </c>
      <c r="F551">
        <v>0</v>
      </c>
      <c r="G551">
        <v>481.7</v>
      </c>
      <c r="H551">
        <v>4000</v>
      </c>
      <c r="I551">
        <v>7763.9</v>
      </c>
      <c r="J551">
        <v>1</v>
      </c>
      <c r="K551">
        <f>J551+energy_grid_portfolio_dataset!G551</f>
        <v>482.7</v>
      </c>
      <c r="L551">
        <f>HOUR(energy_timestamp[[#This Row],[timestamp]])</f>
        <v>21</v>
      </c>
    </row>
    <row r="552" spans="1:12" x14ac:dyDescent="0.3">
      <c r="A552" s="12" t="s">
        <v>257</v>
      </c>
      <c r="B552" s="12" t="s">
        <v>11</v>
      </c>
      <c r="C552">
        <v>20.3</v>
      </c>
      <c r="D552">
        <v>63</v>
      </c>
      <c r="E552">
        <v>5.5</v>
      </c>
      <c r="F552">
        <v>0</v>
      </c>
      <c r="G552">
        <v>27.1</v>
      </c>
      <c r="H552">
        <v>4000</v>
      </c>
      <c r="I552">
        <v>5220.7</v>
      </c>
      <c r="J552">
        <v>1</v>
      </c>
      <c r="K552">
        <f>J552+energy_grid_portfolio_dataset!G552</f>
        <v>28.1</v>
      </c>
      <c r="L552">
        <f>HOUR(energy_timestamp[[#This Row],[timestamp]])</f>
        <v>22</v>
      </c>
    </row>
    <row r="553" spans="1:12" x14ac:dyDescent="0.3">
      <c r="A553" s="12" t="s">
        <v>258</v>
      </c>
      <c r="B553" s="12" t="s">
        <v>11</v>
      </c>
      <c r="C553">
        <v>20.6</v>
      </c>
      <c r="D553">
        <v>82.1</v>
      </c>
      <c r="E553">
        <v>13.8</v>
      </c>
      <c r="F553">
        <v>0</v>
      </c>
      <c r="G553">
        <v>418.5</v>
      </c>
      <c r="H553">
        <v>4000</v>
      </c>
      <c r="I553">
        <v>4806.5</v>
      </c>
      <c r="J553">
        <v>1</v>
      </c>
      <c r="K553">
        <f>J553+energy_grid_portfolio_dataset!G553</f>
        <v>419.5</v>
      </c>
      <c r="L553">
        <f>HOUR(energy_timestamp[[#This Row],[timestamp]])</f>
        <v>23</v>
      </c>
    </row>
    <row r="554" spans="1:12" x14ac:dyDescent="0.3">
      <c r="A554" s="12" t="s">
        <v>259</v>
      </c>
      <c r="B554" s="12" t="s">
        <v>11</v>
      </c>
      <c r="C554">
        <v>20</v>
      </c>
      <c r="D554">
        <v>13.7</v>
      </c>
      <c r="E554">
        <v>15</v>
      </c>
      <c r="F554">
        <v>0</v>
      </c>
      <c r="G554">
        <v>542.4</v>
      </c>
      <c r="H554">
        <v>4000</v>
      </c>
      <c r="I554">
        <v>4903</v>
      </c>
      <c r="J554">
        <v>1</v>
      </c>
      <c r="K554">
        <f>J554+energy_grid_portfolio_dataset!G554</f>
        <v>543.4</v>
      </c>
      <c r="L554">
        <f>HOUR(energy_timestamp[[#This Row],[timestamp]])</f>
        <v>0</v>
      </c>
    </row>
    <row r="555" spans="1:12" x14ac:dyDescent="0.3">
      <c r="A555" s="12" t="s">
        <v>260</v>
      </c>
      <c r="B555" s="12" t="s">
        <v>11</v>
      </c>
      <c r="C555">
        <v>19.7</v>
      </c>
      <c r="D555">
        <v>33.200000000000003</v>
      </c>
      <c r="E555">
        <v>13.3</v>
      </c>
      <c r="F555">
        <v>0</v>
      </c>
      <c r="G555">
        <v>378.9</v>
      </c>
      <c r="H555">
        <v>4000</v>
      </c>
      <c r="I555">
        <v>5082.3</v>
      </c>
      <c r="J555">
        <v>1</v>
      </c>
      <c r="K555">
        <f>J555+energy_grid_portfolio_dataset!G555</f>
        <v>379.9</v>
      </c>
      <c r="L555">
        <f>HOUR(energy_timestamp[[#This Row],[timestamp]])</f>
        <v>1</v>
      </c>
    </row>
    <row r="556" spans="1:12" x14ac:dyDescent="0.3">
      <c r="A556" s="12" t="s">
        <v>261</v>
      </c>
      <c r="B556" s="12" t="s">
        <v>11</v>
      </c>
      <c r="C556">
        <v>20.5</v>
      </c>
      <c r="D556">
        <v>97.5</v>
      </c>
      <c r="E556">
        <v>10.8</v>
      </c>
      <c r="F556">
        <v>0</v>
      </c>
      <c r="G556">
        <v>199.6</v>
      </c>
      <c r="H556">
        <v>4000</v>
      </c>
      <c r="I556">
        <v>4884.5</v>
      </c>
      <c r="J556">
        <v>1</v>
      </c>
      <c r="K556">
        <f>J556+energy_grid_portfolio_dataset!G556</f>
        <v>200.6</v>
      </c>
      <c r="L556">
        <f>HOUR(energy_timestamp[[#This Row],[timestamp]])</f>
        <v>2</v>
      </c>
    </row>
    <row r="557" spans="1:12" x14ac:dyDescent="0.3">
      <c r="A557" s="12" t="s">
        <v>262</v>
      </c>
      <c r="B557" s="12" t="s">
        <v>11</v>
      </c>
      <c r="C557">
        <v>20.5</v>
      </c>
      <c r="D557">
        <v>63.6</v>
      </c>
      <c r="E557">
        <v>11.1</v>
      </c>
      <c r="F557">
        <v>0</v>
      </c>
      <c r="G557">
        <v>218.5</v>
      </c>
      <c r="H557">
        <v>4000</v>
      </c>
      <c r="I557">
        <v>4896.2</v>
      </c>
      <c r="J557">
        <v>1</v>
      </c>
      <c r="K557">
        <f>J557+energy_grid_portfolio_dataset!G557</f>
        <v>219.5</v>
      </c>
      <c r="L557">
        <f>HOUR(energy_timestamp[[#This Row],[timestamp]])</f>
        <v>3</v>
      </c>
    </row>
    <row r="558" spans="1:12" x14ac:dyDescent="0.3">
      <c r="A558" s="12" t="s">
        <v>263</v>
      </c>
      <c r="B558" s="12" t="s">
        <v>11</v>
      </c>
      <c r="C558">
        <v>23.3</v>
      </c>
      <c r="D558">
        <v>80.5</v>
      </c>
      <c r="E558">
        <v>9</v>
      </c>
      <c r="F558">
        <v>0</v>
      </c>
      <c r="G558">
        <v>116.6</v>
      </c>
      <c r="H558">
        <v>4000</v>
      </c>
      <c r="I558">
        <v>4852.6000000000004</v>
      </c>
      <c r="J558">
        <v>1</v>
      </c>
      <c r="K558">
        <f>J558+energy_grid_portfolio_dataset!G558</f>
        <v>117.6</v>
      </c>
      <c r="L558">
        <f>HOUR(energy_timestamp[[#This Row],[timestamp]])</f>
        <v>4</v>
      </c>
    </row>
    <row r="559" spans="1:12" x14ac:dyDescent="0.3">
      <c r="A559" s="12" t="s">
        <v>264</v>
      </c>
      <c r="B559" s="12" t="s">
        <v>11</v>
      </c>
      <c r="C559">
        <v>24</v>
      </c>
      <c r="D559">
        <v>27.9</v>
      </c>
      <c r="E559">
        <v>16</v>
      </c>
      <c r="F559">
        <v>0</v>
      </c>
      <c r="G559">
        <v>649.6</v>
      </c>
      <c r="H559">
        <v>4000</v>
      </c>
      <c r="I559">
        <v>4670</v>
      </c>
      <c r="J559">
        <v>1</v>
      </c>
      <c r="K559">
        <f>J559+energy_grid_portfolio_dataset!G559</f>
        <v>650.6</v>
      </c>
      <c r="L559">
        <f>HOUR(energy_timestamp[[#This Row],[timestamp]])</f>
        <v>5</v>
      </c>
    </row>
    <row r="560" spans="1:12" x14ac:dyDescent="0.3">
      <c r="A560" s="12" t="s">
        <v>265</v>
      </c>
      <c r="B560" s="12" t="s">
        <v>11</v>
      </c>
      <c r="C560">
        <v>24.9</v>
      </c>
      <c r="D560">
        <v>14.7</v>
      </c>
      <c r="E560">
        <v>15.7</v>
      </c>
      <c r="F560">
        <v>304.3</v>
      </c>
      <c r="G560">
        <v>613.70000000000005</v>
      </c>
      <c r="H560">
        <v>3736.5</v>
      </c>
      <c r="I560">
        <v>4654.5</v>
      </c>
      <c r="J560">
        <v>0</v>
      </c>
      <c r="K560">
        <f>J560+energy_grid_portfolio_dataset!G560</f>
        <v>613.70000000000005</v>
      </c>
      <c r="L560">
        <f>HOUR(energy_timestamp[[#This Row],[timestamp]])</f>
        <v>6</v>
      </c>
    </row>
    <row r="561" spans="1:12" x14ac:dyDescent="0.3">
      <c r="A561" s="12" t="s">
        <v>266</v>
      </c>
      <c r="B561" s="12" t="s">
        <v>11</v>
      </c>
      <c r="C561">
        <v>24.1</v>
      </c>
      <c r="D561">
        <v>34.799999999999997</v>
      </c>
      <c r="E561">
        <v>15.4</v>
      </c>
      <c r="F561">
        <v>514.79999999999995</v>
      </c>
      <c r="G561">
        <v>588</v>
      </c>
      <c r="H561">
        <v>3849.3</v>
      </c>
      <c r="I561">
        <v>4952.1000000000004</v>
      </c>
      <c r="J561">
        <v>0</v>
      </c>
      <c r="K561">
        <f>J561+energy_grid_portfolio_dataset!G561</f>
        <v>588</v>
      </c>
      <c r="L561">
        <f>HOUR(energy_timestamp[[#This Row],[timestamp]])</f>
        <v>7</v>
      </c>
    </row>
    <row r="562" spans="1:12" x14ac:dyDescent="0.3">
      <c r="A562" s="12" t="s">
        <v>267</v>
      </c>
      <c r="B562" s="12" t="s">
        <v>11</v>
      </c>
      <c r="C562">
        <v>26.6</v>
      </c>
      <c r="D562">
        <v>94.4</v>
      </c>
      <c r="E562">
        <v>4.2</v>
      </c>
      <c r="F562">
        <v>405.5</v>
      </c>
      <c r="G562">
        <v>11.7</v>
      </c>
      <c r="H562">
        <v>4000</v>
      </c>
      <c r="I562">
        <v>4965.8999999999996</v>
      </c>
      <c r="J562">
        <v>1</v>
      </c>
      <c r="K562">
        <f>J562+energy_grid_portfolio_dataset!G562</f>
        <v>12.7</v>
      </c>
      <c r="L562">
        <f>HOUR(energy_timestamp[[#This Row],[timestamp]])</f>
        <v>8</v>
      </c>
    </row>
    <row r="563" spans="1:12" x14ac:dyDescent="0.3">
      <c r="A563" s="12" t="s">
        <v>268</v>
      </c>
      <c r="B563" s="12" t="s">
        <v>11</v>
      </c>
      <c r="C563">
        <v>26.9</v>
      </c>
      <c r="D563">
        <v>22.5</v>
      </c>
      <c r="E563">
        <v>5.3</v>
      </c>
      <c r="F563">
        <v>1014.2</v>
      </c>
      <c r="G563">
        <v>24.5</v>
      </c>
      <c r="H563">
        <v>4000</v>
      </c>
      <c r="I563">
        <v>5192.6000000000004</v>
      </c>
      <c r="J563">
        <v>1</v>
      </c>
      <c r="K563">
        <f>J563+energy_grid_portfolio_dataset!G563</f>
        <v>25.5</v>
      </c>
      <c r="L563">
        <f>HOUR(energy_timestamp[[#This Row],[timestamp]])</f>
        <v>9</v>
      </c>
    </row>
    <row r="564" spans="1:12" x14ac:dyDescent="0.3">
      <c r="A564" s="12" t="s">
        <v>269</v>
      </c>
      <c r="B564" s="12" t="s">
        <v>11</v>
      </c>
      <c r="C564">
        <v>28.4</v>
      </c>
      <c r="D564">
        <v>41.8</v>
      </c>
      <c r="E564">
        <v>19.600000000000001</v>
      </c>
      <c r="F564">
        <v>1012.4</v>
      </c>
      <c r="G564">
        <v>1196.5999999999999</v>
      </c>
      <c r="H564">
        <v>4000</v>
      </c>
      <c r="I564">
        <v>7121.6</v>
      </c>
      <c r="J564">
        <v>1</v>
      </c>
      <c r="K564">
        <f>J564+energy_grid_portfolio_dataset!G564</f>
        <v>1197.5999999999999</v>
      </c>
      <c r="L564">
        <f>HOUR(energy_timestamp[[#This Row],[timestamp]])</f>
        <v>10</v>
      </c>
    </row>
    <row r="565" spans="1:12" x14ac:dyDescent="0.3">
      <c r="A565" s="12" t="s">
        <v>270</v>
      </c>
      <c r="B565" s="12" t="s">
        <v>11</v>
      </c>
      <c r="C565">
        <v>27.9</v>
      </c>
      <c r="D565">
        <v>13.7</v>
      </c>
      <c r="E565">
        <v>13.8</v>
      </c>
      <c r="F565">
        <v>1342.3</v>
      </c>
      <c r="G565">
        <v>422.2</v>
      </c>
      <c r="H565">
        <v>4000</v>
      </c>
      <c r="I565">
        <v>6932.3</v>
      </c>
      <c r="J565">
        <v>1</v>
      </c>
      <c r="K565">
        <f>J565+energy_grid_portfolio_dataset!G565</f>
        <v>423.2</v>
      </c>
      <c r="L565">
        <f>HOUR(energy_timestamp[[#This Row],[timestamp]])</f>
        <v>11</v>
      </c>
    </row>
    <row r="566" spans="1:12" x14ac:dyDescent="0.3">
      <c r="A566" s="12" t="s">
        <v>271</v>
      </c>
      <c r="B566" s="12" t="s">
        <v>11</v>
      </c>
      <c r="C566">
        <v>27.6</v>
      </c>
      <c r="D566">
        <v>0</v>
      </c>
      <c r="E566">
        <v>13</v>
      </c>
      <c r="F566">
        <v>1500</v>
      </c>
      <c r="G566">
        <v>351.1</v>
      </c>
      <c r="H566">
        <v>4000</v>
      </c>
      <c r="I566">
        <v>7283</v>
      </c>
      <c r="J566">
        <v>1</v>
      </c>
      <c r="K566">
        <f>J566+energy_grid_portfolio_dataset!G566</f>
        <v>352.1</v>
      </c>
      <c r="L566">
        <f>HOUR(energy_timestamp[[#This Row],[timestamp]])</f>
        <v>12</v>
      </c>
    </row>
    <row r="567" spans="1:12" x14ac:dyDescent="0.3">
      <c r="A567" s="12" t="s">
        <v>272</v>
      </c>
      <c r="B567" s="12" t="s">
        <v>11</v>
      </c>
      <c r="C567">
        <v>28.3</v>
      </c>
      <c r="D567">
        <v>75.900000000000006</v>
      </c>
      <c r="E567">
        <v>6.6</v>
      </c>
      <c r="F567">
        <v>796.5</v>
      </c>
      <c r="G567">
        <v>46.9</v>
      </c>
      <c r="H567">
        <v>4000</v>
      </c>
      <c r="I567">
        <v>7215.5</v>
      </c>
      <c r="J567">
        <v>1</v>
      </c>
      <c r="K567">
        <f>J567+energy_grid_portfolio_dataset!G567</f>
        <v>47.9</v>
      </c>
      <c r="L567">
        <f>HOUR(energy_timestamp[[#This Row],[timestamp]])</f>
        <v>13</v>
      </c>
    </row>
    <row r="568" spans="1:12" x14ac:dyDescent="0.3">
      <c r="A568" s="12" t="s">
        <v>273</v>
      </c>
      <c r="B568" s="12" t="s">
        <v>11</v>
      </c>
      <c r="C568">
        <v>28.7</v>
      </c>
      <c r="D568">
        <v>0.5</v>
      </c>
      <c r="E568">
        <v>13.6</v>
      </c>
      <c r="F568">
        <v>1347.1</v>
      </c>
      <c r="G568">
        <v>402.3</v>
      </c>
      <c r="H568">
        <v>4000</v>
      </c>
      <c r="I568">
        <v>7252</v>
      </c>
      <c r="J568">
        <v>1</v>
      </c>
      <c r="K568">
        <f>J568+energy_grid_portfolio_dataset!G568</f>
        <v>403.3</v>
      </c>
      <c r="L568">
        <f>HOUR(energy_timestamp[[#This Row],[timestamp]])</f>
        <v>14</v>
      </c>
    </row>
    <row r="569" spans="1:12" x14ac:dyDescent="0.3">
      <c r="A569" s="12" t="s">
        <v>274</v>
      </c>
      <c r="B569" s="12" t="s">
        <v>11</v>
      </c>
      <c r="C569">
        <v>26.7</v>
      </c>
      <c r="D569">
        <v>53.7</v>
      </c>
      <c r="E569">
        <v>9.6</v>
      </c>
      <c r="F569">
        <v>794.9</v>
      </c>
      <c r="G569">
        <v>140</v>
      </c>
      <c r="H569">
        <v>3939.5</v>
      </c>
      <c r="I569">
        <v>4874.3999999999996</v>
      </c>
      <c r="J569">
        <v>0</v>
      </c>
      <c r="K569">
        <f>J569+energy_grid_portfolio_dataset!G569</f>
        <v>140</v>
      </c>
      <c r="L569">
        <f>HOUR(energy_timestamp[[#This Row],[timestamp]])</f>
        <v>15</v>
      </c>
    </row>
    <row r="570" spans="1:12" x14ac:dyDescent="0.3">
      <c r="A570" s="12" t="s">
        <v>275</v>
      </c>
      <c r="B570" s="12" t="s">
        <v>11</v>
      </c>
      <c r="C570">
        <v>26</v>
      </c>
      <c r="D570">
        <v>17.8</v>
      </c>
      <c r="E570">
        <v>6.6</v>
      </c>
      <c r="F570">
        <v>835.2</v>
      </c>
      <c r="G570">
        <v>45.4</v>
      </c>
      <c r="H570">
        <v>3968</v>
      </c>
      <c r="I570">
        <v>4848.6000000000004</v>
      </c>
      <c r="J570">
        <v>0</v>
      </c>
      <c r="K570">
        <f>J570+energy_grid_portfolio_dataset!G570</f>
        <v>45.4</v>
      </c>
      <c r="L570">
        <f>HOUR(energy_timestamp[[#This Row],[timestamp]])</f>
        <v>16</v>
      </c>
    </row>
    <row r="571" spans="1:12" x14ac:dyDescent="0.3">
      <c r="A571" s="12" t="s">
        <v>276</v>
      </c>
      <c r="B571" s="12" t="s">
        <v>11</v>
      </c>
      <c r="C571">
        <v>23.9</v>
      </c>
      <c r="D571">
        <v>61.7</v>
      </c>
      <c r="E571">
        <v>14.3</v>
      </c>
      <c r="F571">
        <v>410.1</v>
      </c>
      <c r="G571">
        <v>469.1</v>
      </c>
      <c r="H571">
        <v>4000</v>
      </c>
      <c r="I571">
        <v>5051.8999999999996</v>
      </c>
      <c r="J571">
        <v>1</v>
      </c>
      <c r="K571">
        <f>J571+energy_grid_portfolio_dataset!G571</f>
        <v>470.1</v>
      </c>
      <c r="L571">
        <f>HOUR(energy_timestamp[[#This Row],[timestamp]])</f>
        <v>17</v>
      </c>
    </row>
    <row r="572" spans="1:12" x14ac:dyDescent="0.3">
      <c r="A572" s="12" t="s">
        <v>277</v>
      </c>
      <c r="B572" s="12" t="s">
        <v>11</v>
      </c>
      <c r="C572">
        <v>23.3</v>
      </c>
      <c r="D572">
        <v>74.900000000000006</v>
      </c>
      <c r="E572">
        <v>7.1</v>
      </c>
      <c r="F572">
        <v>183.9</v>
      </c>
      <c r="G572">
        <v>57.1</v>
      </c>
      <c r="H572">
        <v>4000</v>
      </c>
      <c r="I572">
        <v>7441.1</v>
      </c>
      <c r="J572">
        <v>1</v>
      </c>
      <c r="K572">
        <f>J572+energy_grid_portfolio_dataset!G572</f>
        <v>58.1</v>
      </c>
      <c r="L572">
        <f>HOUR(energy_timestamp[[#This Row],[timestamp]])</f>
        <v>18</v>
      </c>
    </row>
    <row r="573" spans="1:12" x14ac:dyDescent="0.3">
      <c r="A573" s="12" t="s">
        <v>278</v>
      </c>
      <c r="B573" s="12" t="s">
        <v>11</v>
      </c>
      <c r="C573">
        <v>23.4</v>
      </c>
      <c r="D573">
        <v>64.599999999999994</v>
      </c>
      <c r="E573">
        <v>10.7</v>
      </c>
      <c r="F573">
        <v>0</v>
      </c>
      <c r="G573">
        <v>198.3</v>
      </c>
      <c r="H573">
        <v>4000</v>
      </c>
      <c r="I573">
        <v>7630.3</v>
      </c>
      <c r="J573">
        <v>1</v>
      </c>
      <c r="K573">
        <f>J573+energy_grid_portfolio_dataset!G573</f>
        <v>199.3</v>
      </c>
      <c r="L573">
        <f>HOUR(energy_timestamp[[#This Row],[timestamp]])</f>
        <v>19</v>
      </c>
    </row>
    <row r="574" spans="1:12" x14ac:dyDescent="0.3">
      <c r="A574" s="12" t="s">
        <v>279</v>
      </c>
      <c r="B574" s="12" t="s">
        <v>11</v>
      </c>
      <c r="C574">
        <v>23.4</v>
      </c>
      <c r="D574">
        <v>88.5</v>
      </c>
      <c r="E574">
        <v>16.899999999999999</v>
      </c>
      <c r="F574">
        <v>0</v>
      </c>
      <c r="G574">
        <v>771.5</v>
      </c>
      <c r="H574">
        <v>4000</v>
      </c>
      <c r="I574">
        <v>7610.4</v>
      </c>
      <c r="J574">
        <v>1</v>
      </c>
      <c r="K574">
        <f>J574+energy_grid_portfolio_dataset!G574</f>
        <v>772.5</v>
      </c>
      <c r="L574">
        <f>HOUR(energy_timestamp[[#This Row],[timestamp]])</f>
        <v>20</v>
      </c>
    </row>
    <row r="575" spans="1:12" x14ac:dyDescent="0.3">
      <c r="A575" s="12" t="s">
        <v>280</v>
      </c>
      <c r="B575" s="12" t="s">
        <v>11</v>
      </c>
      <c r="C575">
        <v>20.399999999999999</v>
      </c>
      <c r="D575">
        <v>24.2</v>
      </c>
      <c r="E575">
        <v>14.6</v>
      </c>
      <c r="F575">
        <v>0</v>
      </c>
      <c r="G575">
        <v>499.2</v>
      </c>
      <c r="H575">
        <v>4000</v>
      </c>
      <c r="I575">
        <v>7712.8</v>
      </c>
      <c r="J575">
        <v>1</v>
      </c>
      <c r="K575">
        <f>J575+energy_grid_portfolio_dataset!G575</f>
        <v>500.2</v>
      </c>
      <c r="L575">
        <f>HOUR(energy_timestamp[[#This Row],[timestamp]])</f>
        <v>21</v>
      </c>
    </row>
    <row r="576" spans="1:12" x14ac:dyDescent="0.3">
      <c r="A576" s="12" t="s">
        <v>281</v>
      </c>
      <c r="B576" s="12" t="s">
        <v>11</v>
      </c>
      <c r="C576">
        <v>21.9</v>
      </c>
      <c r="D576">
        <v>61.3</v>
      </c>
      <c r="E576">
        <v>4.5</v>
      </c>
      <c r="F576">
        <v>0</v>
      </c>
      <c r="G576">
        <v>14.4</v>
      </c>
      <c r="H576">
        <v>4000</v>
      </c>
      <c r="I576">
        <v>5012.8</v>
      </c>
      <c r="J576">
        <v>1</v>
      </c>
      <c r="K576">
        <f>J576+energy_grid_portfolio_dataset!G576</f>
        <v>15.4</v>
      </c>
      <c r="L576">
        <f>HOUR(energy_timestamp[[#This Row],[timestamp]])</f>
        <v>22</v>
      </c>
    </row>
    <row r="577" spans="1:12" x14ac:dyDescent="0.3">
      <c r="A577" s="12" t="s">
        <v>282</v>
      </c>
      <c r="B577" s="12" t="s">
        <v>11</v>
      </c>
      <c r="C577">
        <v>19.100000000000001</v>
      </c>
      <c r="D577">
        <v>35.4</v>
      </c>
      <c r="E577">
        <v>13.3</v>
      </c>
      <c r="F577">
        <v>0</v>
      </c>
      <c r="G577">
        <v>372.3</v>
      </c>
      <c r="H577">
        <v>4000</v>
      </c>
      <c r="I577">
        <v>5107.8</v>
      </c>
      <c r="J577">
        <v>1</v>
      </c>
      <c r="K577">
        <f>J577+energy_grid_portfolio_dataset!G577</f>
        <v>373.3</v>
      </c>
      <c r="L577">
        <f>HOUR(energy_timestamp[[#This Row],[timestamp]])</f>
        <v>23</v>
      </c>
    </row>
    <row r="578" spans="1:12" x14ac:dyDescent="0.3">
      <c r="A578" s="12" t="s">
        <v>283</v>
      </c>
      <c r="B578" s="12" t="s">
        <v>11</v>
      </c>
      <c r="C578">
        <v>23.1</v>
      </c>
      <c r="D578">
        <v>60.2</v>
      </c>
      <c r="E578">
        <v>11.1</v>
      </c>
      <c r="F578">
        <v>0</v>
      </c>
      <c r="G578">
        <v>217.9</v>
      </c>
      <c r="H578">
        <v>4000</v>
      </c>
      <c r="I578">
        <v>5249.4</v>
      </c>
      <c r="J578">
        <v>1</v>
      </c>
      <c r="K578">
        <f>J578+energy_grid_portfolio_dataset!G578</f>
        <v>218.9</v>
      </c>
      <c r="L578">
        <f>HOUR(energy_timestamp[[#This Row],[timestamp]])</f>
        <v>0</v>
      </c>
    </row>
    <row r="579" spans="1:12" x14ac:dyDescent="0.3">
      <c r="A579" s="12" t="s">
        <v>284</v>
      </c>
      <c r="B579" s="12" t="s">
        <v>11</v>
      </c>
      <c r="C579">
        <v>21</v>
      </c>
      <c r="D579">
        <v>37</v>
      </c>
      <c r="E579">
        <v>21</v>
      </c>
      <c r="F579">
        <v>0</v>
      </c>
      <c r="G579">
        <v>1476.7</v>
      </c>
      <c r="H579">
        <v>3553.5</v>
      </c>
      <c r="I579">
        <v>5030.2</v>
      </c>
      <c r="J579">
        <v>0</v>
      </c>
      <c r="K579">
        <f>J579+energy_grid_portfolio_dataset!G579</f>
        <v>1476.7</v>
      </c>
      <c r="L579">
        <f>HOUR(energy_timestamp[[#This Row],[timestamp]])</f>
        <v>1</v>
      </c>
    </row>
    <row r="580" spans="1:12" x14ac:dyDescent="0.3">
      <c r="A580" s="12" t="s">
        <v>285</v>
      </c>
      <c r="B580" s="12" t="s">
        <v>11</v>
      </c>
      <c r="C580">
        <v>21</v>
      </c>
      <c r="D580">
        <v>61.6</v>
      </c>
      <c r="E580">
        <v>14.1</v>
      </c>
      <c r="F580">
        <v>0</v>
      </c>
      <c r="G580">
        <v>449.3</v>
      </c>
      <c r="H580">
        <v>4000</v>
      </c>
      <c r="I580">
        <v>4984.5</v>
      </c>
      <c r="J580">
        <v>1</v>
      </c>
      <c r="K580">
        <f>J580+energy_grid_portfolio_dataset!G580</f>
        <v>450.3</v>
      </c>
      <c r="L580">
        <f>HOUR(energy_timestamp[[#This Row],[timestamp]])</f>
        <v>2</v>
      </c>
    </row>
    <row r="581" spans="1:12" x14ac:dyDescent="0.3">
      <c r="A581" s="12" t="s">
        <v>286</v>
      </c>
      <c r="B581" s="12" t="s">
        <v>11</v>
      </c>
      <c r="C581">
        <v>20.6</v>
      </c>
      <c r="D581">
        <v>31</v>
      </c>
      <c r="E581">
        <v>6.5</v>
      </c>
      <c r="F581">
        <v>0</v>
      </c>
      <c r="G581">
        <v>43.9</v>
      </c>
      <c r="H581">
        <v>4000</v>
      </c>
      <c r="I581">
        <v>5075.8</v>
      </c>
      <c r="J581">
        <v>1</v>
      </c>
      <c r="K581">
        <f>J581+energy_grid_portfolio_dataset!G581</f>
        <v>44.9</v>
      </c>
      <c r="L581">
        <f>HOUR(energy_timestamp[[#This Row],[timestamp]])</f>
        <v>3</v>
      </c>
    </row>
    <row r="582" spans="1:12" x14ac:dyDescent="0.3">
      <c r="A582" s="12" t="s">
        <v>287</v>
      </c>
      <c r="B582" s="12" t="s">
        <v>11</v>
      </c>
      <c r="C582">
        <v>22.8</v>
      </c>
      <c r="D582">
        <v>56.4</v>
      </c>
      <c r="E582">
        <v>20.399999999999999</v>
      </c>
      <c r="F582">
        <v>0</v>
      </c>
      <c r="G582">
        <v>1352.9</v>
      </c>
      <c r="H582">
        <v>3663</v>
      </c>
      <c r="I582">
        <v>5015.8999999999996</v>
      </c>
      <c r="J582">
        <v>0</v>
      </c>
      <c r="K582">
        <f>J582+energy_grid_portfolio_dataset!G582</f>
        <v>1352.9</v>
      </c>
      <c r="L582">
        <f>HOUR(energy_timestamp[[#This Row],[timestamp]])</f>
        <v>4</v>
      </c>
    </row>
    <row r="583" spans="1:12" x14ac:dyDescent="0.3">
      <c r="A583" s="12" t="s">
        <v>288</v>
      </c>
      <c r="B583" s="12" t="s">
        <v>11</v>
      </c>
      <c r="C583">
        <v>23.6</v>
      </c>
      <c r="D583">
        <v>17.7</v>
      </c>
      <c r="E583">
        <v>10.1</v>
      </c>
      <c r="F583">
        <v>0</v>
      </c>
      <c r="G583">
        <v>163.1</v>
      </c>
      <c r="H583">
        <v>4000</v>
      </c>
      <c r="I583">
        <v>4949.2</v>
      </c>
      <c r="J583">
        <v>1</v>
      </c>
      <c r="K583">
        <f>J583+energy_grid_portfolio_dataset!G583</f>
        <v>164.1</v>
      </c>
      <c r="L583">
        <f>HOUR(energy_timestamp[[#This Row],[timestamp]])</f>
        <v>5</v>
      </c>
    </row>
    <row r="584" spans="1:12" x14ac:dyDescent="0.3">
      <c r="A584" s="12" t="s">
        <v>289</v>
      </c>
      <c r="B584" s="12" t="s">
        <v>11</v>
      </c>
      <c r="C584">
        <v>24.8</v>
      </c>
      <c r="D584">
        <v>37.700000000000003</v>
      </c>
      <c r="E584">
        <v>11.6</v>
      </c>
      <c r="F584">
        <v>258.39999999999998</v>
      </c>
      <c r="G584">
        <v>252.5</v>
      </c>
      <c r="H584">
        <v>4000</v>
      </c>
      <c r="I584">
        <v>5054.3</v>
      </c>
      <c r="J584">
        <v>1</v>
      </c>
      <c r="K584">
        <f>J584+energy_grid_portfolio_dataset!G584</f>
        <v>253.5</v>
      </c>
      <c r="L584">
        <f>HOUR(energy_timestamp[[#This Row],[timestamp]])</f>
        <v>6</v>
      </c>
    </row>
    <row r="585" spans="1:12" x14ac:dyDescent="0.3">
      <c r="A585" s="12" t="s">
        <v>290</v>
      </c>
      <c r="B585" s="12" t="s">
        <v>11</v>
      </c>
      <c r="C585">
        <v>24.7</v>
      </c>
      <c r="D585">
        <v>67.3</v>
      </c>
      <c r="E585">
        <v>14.9</v>
      </c>
      <c r="F585">
        <v>388.2</v>
      </c>
      <c r="G585">
        <v>526.70000000000005</v>
      </c>
      <c r="H585">
        <v>3807.4</v>
      </c>
      <c r="I585">
        <v>4722.3</v>
      </c>
      <c r="J585">
        <v>0</v>
      </c>
      <c r="K585">
        <f>J585+energy_grid_portfolio_dataset!G585</f>
        <v>526.70000000000005</v>
      </c>
      <c r="L585">
        <f>HOUR(energy_timestamp[[#This Row],[timestamp]])</f>
        <v>7</v>
      </c>
    </row>
    <row r="586" spans="1:12" x14ac:dyDescent="0.3">
      <c r="A586" s="12" t="s">
        <v>291</v>
      </c>
      <c r="B586" s="12" t="s">
        <v>11</v>
      </c>
      <c r="C586">
        <v>26</v>
      </c>
      <c r="D586">
        <v>45.2</v>
      </c>
      <c r="E586">
        <v>8.6999999999999993</v>
      </c>
      <c r="F586">
        <v>681.7</v>
      </c>
      <c r="G586">
        <v>105.3</v>
      </c>
      <c r="H586">
        <v>4000</v>
      </c>
      <c r="I586">
        <v>5025.1000000000004</v>
      </c>
      <c r="J586">
        <v>1</v>
      </c>
      <c r="K586">
        <f>J586+energy_grid_portfolio_dataset!G586</f>
        <v>106.3</v>
      </c>
      <c r="L586">
        <f>HOUR(energy_timestamp[[#This Row],[timestamp]])</f>
        <v>8</v>
      </c>
    </row>
    <row r="587" spans="1:12" x14ac:dyDescent="0.3">
      <c r="A587" s="12" t="s">
        <v>292</v>
      </c>
      <c r="B587" s="12" t="s">
        <v>11</v>
      </c>
      <c r="C587">
        <v>27.2</v>
      </c>
      <c r="D587">
        <v>57.3</v>
      </c>
      <c r="E587">
        <v>9.4</v>
      </c>
      <c r="F587">
        <v>769.6</v>
      </c>
      <c r="G587">
        <v>131.6</v>
      </c>
      <c r="H587">
        <v>4000</v>
      </c>
      <c r="I587">
        <v>5054.8</v>
      </c>
      <c r="J587">
        <v>1</v>
      </c>
      <c r="K587">
        <f>J587+energy_grid_portfolio_dataset!G587</f>
        <v>132.6</v>
      </c>
      <c r="L587">
        <f>HOUR(energy_timestamp[[#This Row],[timestamp]])</f>
        <v>9</v>
      </c>
    </row>
    <row r="588" spans="1:12" x14ac:dyDescent="0.3">
      <c r="A588" s="12" t="s">
        <v>293</v>
      </c>
      <c r="B588" s="12" t="s">
        <v>11</v>
      </c>
      <c r="C588">
        <v>28.6</v>
      </c>
      <c r="D588">
        <v>33</v>
      </c>
      <c r="E588">
        <v>7.7</v>
      </c>
      <c r="F588">
        <v>1083.5999999999999</v>
      </c>
      <c r="G588">
        <v>72.7</v>
      </c>
      <c r="H588">
        <v>4000</v>
      </c>
      <c r="I588">
        <v>6827</v>
      </c>
      <c r="J588">
        <v>1</v>
      </c>
      <c r="K588">
        <f>J588+energy_grid_portfolio_dataset!G588</f>
        <v>73.7</v>
      </c>
      <c r="L588">
        <f>HOUR(energy_timestamp[[#This Row],[timestamp]])</f>
        <v>10</v>
      </c>
    </row>
    <row r="589" spans="1:12" x14ac:dyDescent="0.3">
      <c r="A589" s="12" t="s">
        <v>294</v>
      </c>
      <c r="B589" s="12" t="s">
        <v>11</v>
      </c>
      <c r="C589">
        <v>27.5</v>
      </c>
      <c r="D589">
        <v>71.5</v>
      </c>
      <c r="E589">
        <v>15.1</v>
      </c>
      <c r="F589">
        <v>835</v>
      </c>
      <c r="G589">
        <v>549.20000000000005</v>
      </c>
      <c r="H589">
        <v>4000</v>
      </c>
      <c r="I589">
        <v>7254</v>
      </c>
      <c r="J589">
        <v>1</v>
      </c>
      <c r="K589">
        <f>J589+energy_grid_portfolio_dataset!G589</f>
        <v>550.20000000000005</v>
      </c>
      <c r="L589">
        <f>HOUR(energy_timestamp[[#This Row],[timestamp]])</f>
        <v>11</v>
      </c>
    </row>
    <row r="590" spans="1:12" x14ac:dyDescent="0.3">
      <c r="A590" s="12" t="s">
        <v>295</v>
      </c>
      <c r="B590" s="12" t="s">
        <v>11</v>
      </c>
      <c r="C590">
        <v>26.6</v>
      </c>
      <c r="D590">
        <v>75.3</v>
      </c>
      <c r="E590">
        <v>13.3</v>
      </c>
      <c r="F590">
        <v>822.3</v>
      </c>
      <c r="G590">
        <v>377</v>
      </c>
      <c r="H590">
        <v>4000</v>
      </c>
      <c r="I590">
        <v>7252.5</v>
      </c>
      <c r="J590">
        <v>1</v>
      </c>
      <c r="K590">
        <f>J590+energy_grid_portfolio_dataset!G590</f>
        <v>378</v>
      </c>
      <c r="L590">
        <f>HOUR(energy_timestamp[[#This Row],[timestamp]])</f>
        <v>12</v>
      </c>
    </row>
    <row r="591" spans="1:12" x14ac:dyDescent="0.3">
      <c r="A591" s="12" t="s">
        <v>296</v>
      </c>
      <c r="B591" s="12" t="s">
        <v>11</v>
      </c>
      <c r="C591">
        <v>28</v>
      </c>
      <c r="D591">
        <v>0.6</v>
      </c>
      <c r="E591">
        <v>14</v>
      </c>
      <c r="F591">
        <v>1457.2</v>
      </c>
      <c r="G591">
        <v>443.1</v>
      </c>
      <c r="H591">
        <v>4000</v>
      </c>
      <c r="I591">
        <v>7094.6</v>
      </c>
      <c r="J591">
        <v>1</v>
      </c>
      <c r="K591">
        <f>J591+energy_grid_portfolio_dataset!G591</f>
        <v>444.1</v>
      </c>
      <c r="L591">
        <f>HOUR(energy_timestamp[[#This Row],[timestamp]])</f>
        <v>13</v>
      </c>
    </row>
    <row r="592" spans="1:12" x14ac:dyDescent="0.3">
      <c r="A592" s="12" t="s">
        <v>297</v>
      </c>
      <c r="B592" s="12" t="s">
        <v>11</v>
      </c>
      <c r="C592">
        <v>26.1</v>
      </c>
      <c r="D592">
        <v>6.9</v>
      </c>
      <c r="E592">
        <v>17.600000000000001</v>
      </c>
      <c r="F592">
        <v>1295.2</v>
      </c>
      <c r="G592">
        <v>866.9</v>
      </c>
      <c r="H592">
        <v>4000</v>
      </c>
      <c r="I592">
        <v>6995.6</v>
      </c>
      <c r="J592">
        <v>1</v>
      </c>
      <c r="K592">
        <f>J592+energy_grid_portfolio_dataset!G592</f>
        <v>867.9</v>
      </c>
      <c r="L592">
        <f>HOUR(energy_timestamp[[#This Row],[timestamp]])</f>
        <v>14</v>
      </c>
    </row>
    <row r="593" spans="1:12" x14ac:dyDescent="0.3">
      <c r="A593" s="12" t="s">
        <v>298</v>
      </c>
      <c r="B593" s="12" t="s">
        <v>11</v>
      </c>
      <c r="C593">
        <v>28.4</v>
      </c>
      <c r="D593">
        <v>31.6</v>
      </c>
      <c r="E593">
        <v>3.5</v>
      </c>
      <c r="F593">
        <v>950.4</v>
      </c>
      <c r="G593">
        <v>6.6</v>
      </c>
      <c r="H593">
        <v>3898.6</v>
      </c>
      <c r="I593">
        <v>4855.6000000000004</v>
      </c>
      <c r="J593">
        <v>0</v>
      </c>
      <c r="K593">
        <f>J593+energy_grid_portfolio_dataset!G593</f>
        <v>6.6</v>
      </c>
      <c r="L593">
        <f>HOUR(energy_timestamp[[#This Row],[timestamp]])</f>
        <v>15</v>
      </c>
    </row>
    <row r="594" spans="1:12" x14ac:dyDescent="0.3">
      <c r="A594" s="12" t="s">
        <v>299</v>
      </c>
      <c r="B594" s="12" t="s">
        <v>11</v>
      </c>
      <c r="C594">
        <v>27.2</v>
      </c>
      <c r="D594">
        <v>41.1</v>
      </c>
      <c r="E594">
        <v>9.3000000000000007</v>
      </c>
      <c r="F594">
        <v>704.6</v>
      </c>
      <c r="G594">
        <v>127</v>
      </c>
      <c r="H594">
        <v>3950.9</v>
      </c>
      <c r="I594">
        <v>4782.5</v>
      </c>
      <c r="J594">
        <v>0</v>
      </c>
      <c r="K594">
        <f>J594+energy_grid_portfolio_dataset!G594</f>
        <v>127</v>
      </c>
      <c r="L594">
        <f>HOUR(energy_timestamp[[#This Row],[timestamp]])</f>
        <v>16</v>
      </c>
    </row>
    <row r="595" spans="1:12" x14ac:dyDescent="0.3">
      <c r="A595" s="12" t="s">
        <v>300</v>
      </c>
      <c r="B595" s="12" t="s">
        <v>11</v>
      </c>
      <c r="C595">
        <v>25.5</v>
      </c>
      <c r="D595">
        <v>72.900000000000006</v>
      </c>
      <c r="E595">
        <v>19.2</v>
      </c>
      <c r="F595">
        <v>366</v>
      </c>
      <c r="G595">
        <v>1140</v>
      </c>
      <c r="H595">
        <v>3468</v>
      </c>
      <c r="I595">
        <v>4974</v>
      </c>
      <c r="J595">
        <v>0</v>
      </c>
      <c r="K595">
        <f>J595+energy_grid_portfolio_dataset!G595</f>
        <v>1140</v>
      </c>
      <c r="L595">
        <f>HOUR(energy_timestamp[[#This Row],[timestamp]])</f>
        <v>17</v>
      </c>
    </row>
    <row r="596" spans="1:12" x14ac:dyDescent="0.3">
      <c r="A596" s="12" t="s">
        <v>301</v>
      </c>
      <c r="B596" s="12" t="s">
        <v>11</v>
      </c>
      <c r="C596">
        <v>22.7</v>
      </c>
      <c r="D596">
        <v>34.700000000000003</v>
      </c>
      <c r="E596">
        <v>13.3</v>
      </c>
      <c r="F596">
        <v>264.39999999999998</v>
      </c>
      <c r="G596">
        <v>376.5</v>
      </c>
      <c r="H596">
        <v>4000</v>
      </c>
      <c r="I596">
        <v>7646</v>
      </c>
      <c r="J596">
        <v>1</v>
      </c>
      <c r="K596">
        <f>J596+energy_grid_portfolio_dataset!G596</f>
        <v>377.5</v>
      </c>
      <c r="L596">
        <f>HOUR(energy_timestamp[[#This Row],[timestamp]])</f>
        <v>18</v>
      </c>
    </row>
    <row r="597" spans="1:12" x14ac:dyDescent="0.3">
      <c r="A597" s="12" t="s">
        <v>302</v>
      </c>
      <c r="B597" s="12" t="s">
        <v>11</v>
      </c>
      <c r="C597">
        <v>22</v>
      </c>
      <c r="D597">
        <v>53.6</v>
      </c>
      <c r="E597">
        <v>11.8</v>
      </c>
      <c r="F597">
        <v>0</v>
      </c>
      <c r="G597">
        <v>260</v>
      </c>
      <c r="H597">
        <v>4000</v>
      </c>
      <c r="I597">
        <v>7555.4</v>
      </c>
      <c r="J597">
        <v>1</v>
      </c>
      <c r="K597">
        <f>J597+energy_grid_portfolio_dataset!G597</f>
        <v>261</v>
      </c>
      <c r="L597">
        <f>HOUR(energy_timestamp[[#This Row],[timestamp]])</f>
        <v>19</v>
      </c>
    </row>
    <row r="598" spans="1:12" x14ac:dyDescent="0.3">
      <c r="A598" s="12" t="s">
        <v>303</v>
      </c>
      <c r="B598" s="12" t="s">
        <v>11</v>
      </c>
      <c r="C598">
        <v>21.2</v>
      </c>
      <c r="D598">
        <v>39.200000000000003</v>
      </c>
      <c r="E598">
        <v>7.4</v>
      </c>
      <c r="F598">
        <v>0</v>
      </c>
      <c r="G598">
        <v>64.3</v>
      </c>
      <c r="H598">
        <v>4000</v>
      </c>
      <c r="I598">
        <v>7704.9</v>
      </c>
      <c r="J598">
        <v>1</v>
      </c>
      <c r="K598">
        <f>J598+energy_grid_portfolio_dataset!G598</f>
        <v>65.3</v>
      </c>
      <c r="L598">
        <f>HOUR(energy_timestamp[[#This Row],[timestamp]])</f>
        <v>20</v>
      </c>
    </row>
    <row r="599" spans="1:12" x14ac:dyDescent="0.3">
      <c r="A599" s="12" t="s">
        <v>304</v>
      </c>
      <c r="B599" s="12" t="s">
        <v>11</v>
      </c>
      <c r="C599">
        <v>22.2</v>
      </c>
      <c r="D599">
        <v>0</v>
      </c>
      <c r="E599">
        <v>7.4</v>
      </c>
      <c r="F599">
        <v>0</v>
      </c>
      <c r="G599">
        <v>63.6</v>
      </c>
      <c r="H599">
        <v>4000</v>
      </c>
      <c r="I599">
        <v>7833.5</v>
      </c>
      <c r="J599">
        <v>1</v>
      </c>
      <c r="K599">
        <f>J599+energy_grid_portfolio_dataset!G599</f>
        <v>64.599999999999994</v>
      </c>
      <c r="L599">
        <f>HOUR(energy_timestamp[[#This Row],[timestamp]])</f>
        <v>21</v>
      </c>
    </row>
    <row r="600" spans="1:12" x14ac:dyDescent="0.3">
      <c r="A600" s="12" t="s">
        <v>305</v>
      </c>
      <c r="B600" s="12" t="s">
        <v>11</v>
      </c>
      <c r="C600">
        <v>19.899999999999999</v>
      </c>
      <c r="D600">
        <v>42.9</v>
      </c>
      <c r="E600">
        <v>4.8</v>
      </c>
      <c r="F600">
        <v>0</v>
      </c>
      <c r="G600">
        <v>17.2</v>
      </c>
      <c r="H600">
        <v>4000</v>
      </c>
      <c r="I600">
        <v>4725.5</v>
      </c>
      <c r="J600">
        <v>1</v>
      </c>
      <c r="K600">
        <f>J600+energy_grid_portfolio_dataset!G600</f>
        <v>18.2</v>
      </c>
      <c r="L600">
        <f>HOUR(energy_timestamp[[#This Row],[timestamp]])</f>
        <v>22</v>
      </c>
    </row>
    <row r="601" spans="1:12" x14ac:dyDescent="0.3">
      <c r="A601" s="12" t="s">
        <v>306</v>
      </c>
      <c r="B601" s="12" t="s">
        <v>11</v>
      </c>
      <c r="C601">
        <v>19.100000000000001</v>
      </c>
      <c r="D601">
        <v>50.2</v>
      </c>
      <c r="E601">
        <v>12.3</v>
      </c>
      <c r="F601">
        <v>0</v>
      </c>
      <c r="G601">
        <v>301.10000000000002</v>
      </c>
      <c r="H601">
        <v>4000</v>
      </c>
      <c r="I601">
        <v>4811.7</v>
      </c>
      <c r="J601">
        <v>1</v>
      </c>
      <c r="K601">
        <f>J601+energy_grid_portfolio_dataset!G601</f>
        <v>302.10000000000002</v>
      </c>
      <c r="L601">
        <f>HOUR(energy_timestamp[[#This Row],[timestamp]])</f>
        <v>23</v>
      </c>
    </row>
    <row r="602" spans="1:12" x14ac:dyDescent="0.3">
      <c r="A602" s="12" t="s">
        <v>307</v>
      </c>
      <c r="B602" s="12" t="s">
        <v>11</v>
      </c>
      <c r="C602">
        <v>20.2</v>
      </c>
      <c r="D602">
        <v>31.3</v>
      </c>
      <c r="E602">
        <v>10.6</v>
      </c>
      <c r="F602">
        <v>0</v>
      </c>
      <c r="G602">
        <v>192.8</v>
      </c>
      <c r="H602">
        <v>4000</v>
      </c>
      <c r="I602">
        <v>4211.7</v>
      </c>
      <c r="J602">
        <v>1</v>
      </c>
      <c r="K602">
        <f>J602+energy_grid_portfolio_dataset!G602</f>
        <v>193.8</v>
      </c>
      <c r="L602">
        <f>HOUR(energy_timestamp[[#This Row],[timestamp]])</f>
        <v>0</v>
      </c>
    </row>
    <row r="603" spans="1:12" x14ac:dyDescent="0.3">
      <c r="A603" s="12" t="s">
        <v>308</v>
      </c>
      <c r="B603" s="12" t="s">
        <v>11</v>
      </c>
      <c r="C603">
        <v>21.5</v>
      </c>
      <c r="D603">
        <v>12.5</v>
      </c>
      <c r="E603">
        <v>16.100000000000001</v>
      </c>
      <c r="F603">
        <v>0</v>
      </c>
      <c r="G603">
        <v>673.8</v>
      </c>
      <c r="H603">
        <v>3897.2</v>
      </c>
      <c r="I603">
        <v>4571</v>
      </c>
      <c r="J603">
        <v>0</v>
      </c>
      <c r="K603">
        <f>J603+energy_grid_portfolio_dataset!G603</f>
        <v>673.8</v>
      </c>
      <c r="L603">
        <f>HOUR(energy_timestamp[[#This Row],[timestamp]])</f>
        <v>1</v>
      </c>
    </row>
    <row r="604" spans="1:12" x14ac:dyDescent="0.3">
      <c r="A604" s="12" t="s">
        <v>309</v>
      </c>
      <c r="B604" s="12" t="s">
        <v>11</v>
      </c>
      <c r="C604">
        <v>19.399999999999999</v>
      </c>
      <c r="D604">
        <v>65.5</v>
      </c>
      <c r="E604">
        <v>19.7</v>
      </c>
      <c r="F604">
        <v>0</v>
      </c>
      <c r="G604">
        <v>1221.3</v>
      </c>
      <c r="H604">
        <v>3220.4</v>
      </c>
      <c r="I604">
        <v>4441.7</v>
      </c>
      <c r="J604">
        <v>0</v>
      </c>
      <c r="K604">
        <f>J604+energy_grid_portfolio_dataset!G604</f>
        <v>1221.3</v>
      </c>
      <c r="L604">
        <f>HOUR(energy_timestamp[[#This Row],[timestamp]])</f>
        <v>2</v>
      </c>
    </row>
    <row r="605" spans="1:12" x14ac:dyDescent="0.3">
      <c r="A605" s="12" t="s">
        <v>310</v>
      </c>
      <c r="B605" s="12" t="s">
        <v>11</v>
      </c>
      <c r="C605">
        <v>20.3</v>
      </c>
      <c r="D605">
        <v>70.400000000000006</v>
      </c>
      <c r="E605">
        <v>13.4</v>
      </c>
      <c r="F605">
        <v>0</v>
      </c>
      <c r="G605">
        <v>381.3</v>
      </c>
      <c r="H605">
        <v>3770.3</v>
      </c>
      <c r="I605">
        <v>4151.6000000000004</v>
      </c>
      <c r="J605">
        <v>0</v>
      </c>
      <c r="K605">
        <f>J605+energy_grid_portfolio_dataset!G605</f>
        <v>381.3</v>
      </c>
      <c r="L605">
        <f>HOUR(energy_timestamp[[#This Row],[timestamp]])</f>
        <v>3</v>
      </c>
    </row>
    <row r="606" spans="1:12" x14ac:dyDescent="0.3">
      <c r="A606" s="12" t="s">
        <v>311</v>
      </c>
      <c r="B606" s="12" t="s">
        <v>11</v>
      </c>
      <c r="C606">
        <v>22.3</v>
      </c>
      <c r="D606">
        <v>54.8</v>
      </c>
      <c r="E606">
        <v>5.4</v>
      </c>
      <c r="F606">
        <v>0</v>
      </c>
      <c r="G606">
        <v>24.7</v>
      </c>
      <c r="H606">
        <v>4000</v>
      </c>
      <c r="I606">
        <v>4402.7</v>
      </c>
      <c r="J606">
        <v>1</v>
      </c>
      <c r="K606">
        <f>J606+energy_grid_portfolio_dataset!G606</f>
        <v>25.7</v>
      </c>
      <c r="L606">
        <f>HOUR(energy_timestamp[[#This Row],[timestamp]])</f>
        <v>4</v>
      </c>
    </row>
    <row r="607" spans="1:12" x14ac:dyDescent="0.3">
      <c r="A607" s="12" t="s">
        <v>312</v>
      </c>
      <c r="B607" s="12" t="s">
        <v>11</v>
      </c>
      <c r="C607">
        <v>24.1</v>
      </c>
      <c r="D607">
        <v>39.299999999999997</v>
      </c>
      <c r="E607">
        <v>11.8</v>
      </c>
      <c r="F607">
        <v>0</v>
      </c>
      <c r="G607">
        <v>261.7</v>
      </c>
      <c r="H607">
        <v>4000</v>
      </c>
      <c r="I607">
        <v>4477.1000000000004</v>
      </c>
      <c r="J607">
        <v>1</v>
      </c>
      <c r="K607">
        <f>J607+energy_grid_portfolio_dataset!G607</f>
        <v>262.7</v>
      </c>
      <c r="L607">
        <f>HOUR(energy_timestamp[[#This Row],[timestamp]])</f>
        <v>5</v>
      </c>
    </row>
    <row r="608" spans="1:12" x14ac:dyDescent="0.3">
      <c r="A608" s="12" t="s">
        <v>313</v>
      </c>
      <c r="B608" s="12" t="s">
        <v>11</v>
      </c>
      <c r="C608">
        <v>24.5</v>
      </c>
      <c r="D608">
        <v>59.3</v>
      </c>
      <c r="E608">
        <v>11.7</v>
      </c>
      <c r="F608">
        <v>215</v>
      </c>
      <c r="G608">
        <v>255.5</v>
      </c>
      <c r="H608">
        <v>3619.8</v>
      </c>
      <c r="I608">
        <v>4090.3</v>
      </c>
      <c r="J608">
        <v>0</v>
      </c>
      <c r="K608">
        <f>J608+energy_grid_portfolio_dataset!G608</f>
        <v>255.5</v>
      </c>
      <c r="L608">
        <f>HOUR(energy_timestamp[[#This Row],[timestamp]])</f>
        <v>6</v>
      </c>
    </row>
    <row r="609" spans="1:12" x14ac:dyDescent="0.3">
      <c r="A609" s="12" t="s">
        <v>314</v>
      </c>
      <c r="B609" s="12" t="s">
        <v>11</v>
      </c>
      <c r="C609">
        <v>24.7</v>
      </c>
      <c r="D609">
        <v>59.1</v>
      </c>
      <c r="E609">
        <v>6.9</v>
      </c>
      <c r="F609">
        <v>420</v>
      </c>
      <c r="G609">
        <v>52.6</v>
      </c>
      <c r="H609">
        <v>4000</v>
      </c>
      <c r="I609">
        <v>4488.7</v>
      </c>
      <c r="J609">
        <v>1</v>
      </c>
      <c r="K609">
        <f>J609+energy_grid_portfolio_dataset!G609</f>
        <v>53.6</v>
      </c>
      <c r="L609">
        <f>HOUR(energy_timestamp[[#This Row],[timestamp]])</f>
        <v>7</v>
      </c>
    </row>
    <row r="610" spans="1:12" x14ac:dyDescent="0.3">
      <c r="A610" s="12" t="s">
        <v>315</v>
      </c>
      <c r="B610" s="12" t="s">
        <v>11</v>
      </c>
      <c r="C610">
        <v>25.8</v>
      </c>
      <c r="D610">
        <v>50.6</v>
      </c>
      <c r="E610">
        <v>10.199999999999999</v>
      </c>
      <c r="F610">
        <v>651.1</v>
      </c>
      <c r="G610">
        <v>167.4</v>
      </c>
      <c r="H610">
        <v>3498</v>
      </c>
      <c r="I610">
        <v>4316.5</v>
      </c>
      <c r="J610">
        <v>0</v>
      </c>
      <c r="K610">
        <f>J610+energy_grid_portfolio_dataset!G610</f>
        <v>167.4</v>
      </c>
      <c r="L610">
        <f>HOUR(energy_timestamp[[#This Row],[timestamp]])</f>
        <v>8</v>
      </c>
    </row>
    <row r="611" spans="1:12" x14ac:dyDescent="0.3">
      <c r="A611" s="12" t="s">
        <v>316</v>
      </c>
      <c r="B611" s="12" t="s">
        <v>11</v>
      </c>
      <c r="C611">
        <v>27.7</v>
      </c>
      <c r="D611">
        <v>34.1</v>
      </c>
      <c r="E611">
        <v>4</v>
      </c>
      <c r="F611">
        <v>932.9</v>
      </c>
      <c r="G611">
        <v>10</v>
      </c>
      <c r="H611">
        <v>3357.4</v>
      </c>
      <c r="I611">
        <v>4300.3</v>
      </c>
      <c r="J611">
        <v>0</v>
      </c>
      <c r="K611">
        <f>J611+energy_grid_portfolio_dataset!G611</f>
        <v>10</v>
      </c>
      <c r="L611">
        <f>HOUR(energy_timestamp[[#This Row],[timestamp]])</f>
        <v>9</v>
      </c>
    </row>
    <row r="612" spans="1:12" x14ac:dyDescent="0.3">
      <c r="A612" s="12" t="s">
        <v>317</v>
      </c>
      <c r="B612" s="12" t="s">
        <v>11</v>
      </c>
      <c r="C612">
        <v>28.8</v>
      </c>
      <c r="D612">
        <v>12.7</v>
      </c>
      <c r="E612">
        <v>15.4</v>
      </c>
      <c r="F612">
        <v>1248.5</v>
      </c>
      <c r="G612">
        <v>589.9</v>
      </c>
      <c r="H612">
        <v>4000</v>
      </c>
      <c r="I612">
        <v>6502.4</v>
      </c>
      <c r="J612">
        <v>1</v>
      </c>
      <c r="K612">
        <f>J612+energy_grid_portfolio_dataset!G612</f>
        <v>590.9</v>
      </c>
      <c r="L612">
        <f>HOUR(energy_timestamp[[#This Row],[timestamp]])</f>
        <v>10</v>
      </c>
    </row>
    <row r="613" spans="1:12" x14ac:dyDescent="0.3">
      <c r="A613" s="12" t="s">
        <v>318</v>
      </c>
      <c r="B613" s="12" t="s">
        <v>11</v>
      </c>
      <c r="C613">
        <v>28.1</v>
      </c>
      <c r="D613">
        <v>52.4</v>
      </c>
      <c r="E613">
        <v>10.8</v>
      </c>
      <c r="F613">
        <v>1003</v>
      </c>
      <c r="G613">
        <v>203.1</v>
      </c>
      <c r="H613">
        <v>4000</v>
      </c>
      <c r="I613">
        <v>6164.6</v>
      </c>
      <c r="J613">
        <v>1</v>
      </c>
      <c r="K613">
        <f>J613+energy_grid_portfolio_dataset!G613</f>
        <v>204.1</v>
      </c>
      <c r="L613">
        <f>HOUR(energy_timestamp[[#This Row],[timestamp]])</f>
        <v>11</v>
      </c>
    </row>
    <row r="614" spans="1:12" x14ac:dyDescent="0.3">
      <c r="A614" s="12" t="s">
        <v>319</v>
      </c>
      <c r="B614" s="12" t="s">
        <v>11</v>
      </c>
      <c r="C614">
        <v>27.3</v>
      </c>
      <c r="D614">
        <v>22.1</v>
      </c>
      <c r="E614">
        <v>7.8</v>
      </c>
      <c r="F614">
        <v>1301.0999999999999</v>
      </c>
      <c r="G614">
        <v>77.099999999999994</v>
      </c>
      <c r="H614">
        <v>4000</v>
      </c>
      <c r="I614">
        <v>6122.4</v>
      </c>
      <c r="J614">
        <v>1</v>
      </c>
      <c r="K614">
        <f>J614+energy_grid_portfolio_dataset!G614</f>
        <v>78.099999999999994</v>
      </c>
      <c r="L614">
        <f>HOUR(energy_timestamp[[#This Row],[timestamp]])</f>
        <v>12</v>
      </c>
    </row>
    <row r="615" spans="1:12" x14ac:dyDescent="0.3">
      <c r="A615" s="12" t="s">
        <v>320</v>
      </c>
      <c r="B615" s="12" t="s">
        <v>11</v>
      </c>
      <c r="C615">
        <v>27.1</v>
      </c>
      <c r="D615">
        <v>62.1</v>
      </c>
      <c r="E615">
        <v>19.399999999999999</v>
      </c>
      <c r="F615">
        <v>917.9</v>
      </c>
      <c r="G615">
        <v>1174.8</v>
      </c>
      <c r="H615">
        <v>4000</v>
      </c>
      <c r="I615">
        <v>6229.9</v>
      </c>
      <c r="J615">
        <v>1</v>
      </c>
      <c r="K615">
        <f>J615+energy_grid_portfolio_dataset!G615</f>
        <v>1175.8</v>
      </c>
      <c r="L615">
        <f>HOUR(energy_timestamp[[#This Row],[timestamp]])</f>
        <v>13</v>
      </c>
    </row>
    <row r="616" spans="1:12" x14ac:dyDescent="0.3">
      <c r="A616" s="12" t="s">
        <v>321</v>
      </c>
      <c r="B616" s="12" t="s">
        <v>11</v>
      </c>
      <c r="C616">
        <v>27.7</v>
      </c>
      <c r="D616">
        <v>57.5</v>
      </c>
      <c r="E616">
        <v>14.4</v>
      </c>
      <c r="F616">
        <v>885.3</v>
      </c>
      <c r="G616">
        <v>473.8</v>
      </c>
      <c r="H616">
        <v>4000</v>
      </c>
      <c r="I616">
        <v>6153</v>
      </c>
      <c r="J616">
        <v>1</v>
      </c>
      <c r="K616">
        <f>J616+energy_grid_portfolio_dataset!G616</f>
        <v>474.8</v>
      </c>
      <c r="L616">
        <f>HOUR(energy_timestamp[[#This Row],[timestamp]])</f>
        <v>14</v>
      </c>
    </row>
    <row r="617" spans="1:12" x14ac:dyDescent="0.3">
      <c r="A617" s="12" t="s">
        <v>322</v>
      </c>
      <c r="B617" s="12" t="s">
        <v>11</v>
      </c>
      <c r="C617">
        <v>27.6</v>
      </c>
      <c r="D617">
        <v>57.1</v>
      </c>
      <c r="E617">
        <v>5.8</v>
      </c>
      <c r="F617">
        <v>771.3</v>
      </c>
      <c r="G617">
        <v>31.4</v>
      </c>
      <c r="H617">
        <v>3528.7</v>
      </c>
      <c r="I617">
        <v>4331.3999999999996</v>
      </c>
      <c r="J617">
        <v>0</v>
      </c>
      <c r="K617">
        <f>J617+energy_grid_portfolio_dataset!G617</f>
        <v>31.4</v>
      </c>
      <c r="L617">
        <f>HOUR(energy_timestamp[[#This Row],[timestamp]])</f>
        <v>15</v>
      </c>
    </row>
    <row r="618" spans="1:12" x14ac:dyDescent="0.3">
      <c r="A618" s="12" t="s">
        <v>323</v>
      </c>
      <c r="B618" s="12" t="s">
        <v>11</v>
      </c>
      <c r="C618">
        <v>26.9</v>
      </c>
      <c r="D618">
        <v>25.9</v>
      </c>
      <c r="E618">
        <v>12.2</v>
      </c>
      <c r="F618">
        <v>789.8</v>
      </c>
      <c r="G618">
        <v>289.8</v>
      </c>
      <c r="H618">
        <v>3370.8</v>
      </c>
      <c r="I618">
        <v>4450.3999999999996</v>
      </c>
      <c r="J618">
        <v>0</v>
      </c>
      <c r="K618">
        <f>J618+energy_grid_portfolio_dataset!G618</f>
        <v>289.8</v>
      </c>
      <c r="L618">
        <f>HOUR(energy_timestamp[[#This Row],[timestamp]])</f>
        <v>16</v>
      </c>
    </row>
    <row r="619" spans="1:12" x14ac:dyDescent="0.3">
      <c r="A619" s="12" t="s">
        <v>324</v>
      </c>
      <c r="B619" s="12" t="s">
        <v>11</v>
      </c>
      <c r="C619">
        <v>24.8</v>
      </c>
      <c r="D619">
        <v>71.8</v>
      </c>
      <c r="E619">
        <v>23.8</v>
      </c>
      <c r="F619">
        <v>370.4</v>
      </c>
      <c r="G619">
        <v>2162.3000000000002</v>
      </c>
      <c r="H619">
        <v>1889.8</v>
      </c>
      <c r="I619">
        <v>4422.5</v>
      </c>
      <c r="J619">
        <v>0</v>
      </c>
      <c r="K619">
        <f>J619+energy_grid_portfolio_dataset!G619</f>
        <v>2162.3000000000002</v>
      </c>
      <c r="L619">
        <f>HOUR(energy_timestamp[[#This Row],[timestamp]])</f>
        <v>17</v>
      </c>
    </row>
    <row r="620" spans="1:12" x14ac:dyDescent="0.3">
      <c r="A620" s="12" t="s">
        <v>325</v>
      </c>
      <c r="B620" s="12" t="s">
        <v>11</v>
      </c>
      <c r="C620">
        <v>22.6</v>
      </c>
      <c r="D620">
        <v>52.6</v>
      </c>
      <c r="E620">
        <v>15.6</v>
      </c>
      <c r="F620">
        <v>228.4</v>
      </c>
      <c r="G620">
        <v>608.29999999999995</v>
      </c>
      <c r="H620">
        <v>4000</v>
      </c>
      <c r="I620">
        <v>6602.1</v>
      </c>
      <c r="J620">
        <v>1</v>
      </c>
      <c r="K620">
        <f>J620+energy_grid_portfolio_dataset!G620</f>
        <v>609.29999999999995</v>
      </c>
      <c r="L620">
        <f>HOUR(energy_timestamp[[#This Row],[timestamp]])</f>
        <v>18</v>
      </c>
    </row>
    <row r="621" spans="1:12" x14ac:dyDescent="0.3">
      <c r="A621" s="12" t="s">
        <v>326</v>
      </c>
      <c r="B621" s="12" t="s">
        <v>11</v>
      </c>
      <c r="C621">
        <v>24.4</v>
      </c>
      <c r="D621">
        <v>11.5</v>
      </c>
      <c r="E621">
        <v>15.5</v>
      </c>
      <c r="F621">
        <v>0</v>
      </c>
      <c r="G621">
        <v>591.70000000000005</v>
      </c>
      <c r="H621">
        <v>4000</v>
      </c>
      <c r="I621">
        <v>6685.4</v>
      </c>
      <c r="J621">
        <v>1</v>
      </c>
      <c r="K621">
        <f>J621+energy_grid_portfolio_dataset!G621</f>
        <v>592.70000000000005</v>
      </c>
      <c r="L621">
        <f>HOUR(energy_timestamp[[#This Row],[timestamp]])</f>
        <v>19</v>
      </c>
    </row>
    <row r="622" spans="1:12" x14ac:dyDescent="0.3">
      <c r="A622" s="12" t="s">
        <v>327</v>
      </c>
      <c r="B622" s="12" t="s">
        <v>11</v>
      </c>
      <c r="C622">
        <v>23.7</v>
      </c>
      <c r="D622">
        <v>94.8</v>
      </c>
      <c r="E622">
        <v>8.1999999999999993</v>
      </c>
      <c r="F622">
        <v>0</v>
      </c>
      <c r="G622">
        <v>87.1</v>
      </c>
      <c r="H622">
        <v>4000</v>
      </c>
      <c r="I622">
        <v>6629.1</v>
      </c>
      <c r="J622">
        <v>1</v>
      </c>
      <c r="K622">
        <f>J622+energy_grid_portfolio_dataset!G622</f>
        <v>88.1</v>
      </c>
      <c r="L622">
        <f>HOUR(energy_timestamp[[#This Row],[timestamp]])</f>
        <v>20</v>
      </c>
    </row>
    <row r="623" spans="1:12" x14ac:dyDescent="0.3">
      <c r="A623" s="12" t="s">
        <v>328</v>
      </c>
      <c r="B623" s="12" t="s">
        <v>11</v>
      </c>
      <c r="C623">
        <v>22</v>
      </c>
      <c r="D623">
        <v>35.299999999999997</v>
      </c>
      <c r="E623">
        <v>11.8</v>
      </c>
      <c r="F623">
        <v>0</v>
      </c>
      <c r="G623">
        <v>261.10000000000002</v>
      </c>
      <c r="H623">
        <v>4000</v>
      </c>
      <c r="I623">
        <v>6637.6</v>
      </c>
      <c r="J623">
        <v>1</v>
      </c>
      <c r="K623">
        <f>J623+energy_grid_portfolio_dataset!G623</f>
        <v>262.10000000000002</v>
      </c>
      <c r="L623">
        <f>HOUR(energy_timestamp[[#This Row],[timestamp]])</f>
        <v>21</v>
      </c>
    </row>
    <row r="624" spans="1:12" x14ac:dyDescent="0.3">
      <c r="A624" s="12" t="s">
        <v>329</v>
      </c>
      <c r="B624" s="12" t="s">
        <v>11</v>
      </c>
      <c r="C624">
        <v>18.600000000000001</v>
      </c>
      <c r="D624">
        <v>44.7</v>
      </c>
      <c r="E624">
        <v>8.6</v>
      </c>
      <c r="F624">
        <v>0</v>
      </c>
      <c r="G624">
        <v>100.1</v>
      </c>
      <c r="H624">
        <v>4000</v>
      </c>
      <c r="I624">
        <v>4323.8</v>
      </c>
      <c r="J624">
        <v>1</v>
      </c>
      <c r="K624">
        <f>J624+energy_grid_portfolio_dataset!G624</f>
        <v>101.1</v>
      </c>
      <c r="L624">
        <f>HOUR(energy_timestamp[[#This Row],[timestamp]])</f>
        <v>22</v>
      </c>
    </row>
    <row r="625" spans="1:12" x14ac:dyDescent="0.3">
      <c r="A625" s="12" t="s">
        <v>330</v>
      </c>
      <c r="B625" s="12" t="s">
        <v>11</v>
      </c>
      <c r="C625">
        <v>21.6</v>
      </c>
      <c r="D625">
        <v>13.6</v>
      </c>
      <c r="E625">
        <v>16.100000000000001</v>
      </c>
      <c r="F625">
        <v>0</v>
      </c>
      <c r="G625">
        <v>663.5</v>
      </c>
      <c r="H625">
        <v>3582.5</v>
      </c>
      <c r="I625">
        <v>4246</v>
      </c>
      <c r="J625">
        <v>0</v>
      </c>
      <c r="K625">
        <f>J625+energy_grid_portfolio_dataset!G625</f>
        <v>663.5</v>
      </c>
      <c r="L625">
        <f>HOUR(energy_timestamp[[#This Row],[timestamp]])</f>
        <v>23</v>
      </c>
    </row>
    <row r="626" spans="1:12" x14ac:dyDescent="0.3">
      <c r="A626" s="12" t="s">
        <v>331</v>
      </c>
      <c r="B626" s="12" t="s">
        <v>11</v>
      </c>
      <c r="C626">
        <v>19.7</v>
      </c>
      <c r="D626">
        <v>64.8</v>
      </c>
      <c r="E626">
        <v>13.7</v>
      </c>
      <c r="F626">
        <v>0</v>
      </c>
      <c r="G626">
        <v>411.4</v>
      </c>
      <c r="H626">
        <v>3866.8</v>
      </c>
      <c r="I626">
        <v>4278.2</v>
      </c>
      <c r="J626">
        <v>0</v>
      </c>
      <c r="K626">
        <f>J626+energy_grid_portfolio_dataset!G626</f>
        <v>411.4</v>
      </c>
      <c r="L626">
        <f>HOUR(energy_timestamp[[#This Row],[timestamp]])</f>
        <v>0</v>
      </c>
    </row>
    <row r="627" spans="1:12" x14ac:dyDescent="0.3">
      <c r="A627" s="12" t="s">
        <v>332</v>
      </c>
      <c r="B627" s="12" t="s">
        <v>11</v>
      </c>
      <c r="C627">
        <v>21.1</v>
      </c>
      <c r="D627">
        <v>36.700000000000003</v>
      </c>
      <c r="E627">
        <v>8.9</v>
      </c>
      <c r="F627">
        <v>0</v>
      </c>
      <c r="G627">
        <v>114.3</v>
      </c>
      <c r="H627">
        <v>4000</v>
      </c>
      <c r="I627">
        <v>4405.6000000000004</v>
      </c>
      <c r="J627">
        <v>1</v>
      </c>
      <c r="K627">
        <f>J627+energy_grid_portfolio_dataset!G627</f>
        <v>115.3</v>
      </c>
      <c r="L627">
        <f>HOUR(energy_timestamp[[#This Row],[timestamp]])</f>
        <v>1</v>
      </c>
    </row>
    <row r="628" spans="1:12" x14ac:dyDescent="0.3">
      <c r="A628" s="12" t="s">
        <v>333</v>
      </c>
      <c r="B628" s="12" t="s">
        <v>11</v>
      </c>
      <c r="C628">
        <v>19.7</v>
      </c>
      <c r="D628">
        <v>100</v>
      </c>
      <c r="E628">
        <v>18.2</v>
      </c>
      <c r="F628">
        <v>0</v>
      </c>
      <c r="G628">
        <v>968.3</v>
      </c>
      <c r="H628">
        <v>3188.9</v>
      </c>
      <c r="I628">
        <v>4157.2</v>
      </c>
      <c r="J628">
        <v>0</v>
      </c>
      <c r="K628">
        <f>J628+energy_grid_portfolio_dataset!G628</f>
        <v>968.3</v>
      </c>
      <c r="L628">
        <f>HOUR(energy_timestamp[[#This Row],[timestamp]])</f>
        <v>2</v>
      </c>
    </row>
    <row r="629" spans="1:12" x14ac:dyDescent="0.3">
      <c r="A629" s="12" t="s">
        <v>334</v>
      </c>
      <c r="B629" s="12" t="s">
        <v>11</v>
      </c>
      <c r="C629">
        <v>19.8</v>
      </c>
      <c r="D629">
        <v>57</v>
      </c>
      <c r="E629">
        <v>14.7</v>
      </c>
      <c r="F629">
        <v>0</v>
      </c>
      <c r="G629">
        <v>512</v>
      </c>
      <c r="H629">
        <v>3605.3</v>
      </c>
      <c r="I629">
        <v>4117.3</v>
      </c>
      <c r="J629">
        <v>0</v>
      </c>
      <c r="K629">
        <f>J629+energy_grid_portfolio_dataset!G629</f>
        <v>512</v>
      </c>
      <c r="L629">
        <f>HOUR(energy_timestamp[[#This Row],[timestamp]])</f>
        <v>3</v>
      </c>
    </row>
    <row r="630" spans="1:12" x14ac:dyDescent="0.3">
      <c r="A630" s="12" t="s">
        <v>335</v>
      </c>
      <c r="B630" s="12" t="s">
        <v>11</v>
      </c>
      <c r="C630">
        <v>21.7</v>
      </c>
      <c r="D630">
        <v>41.9</v>
      </c>
      <c r="E630">
        <v>13.6</v>
      </c>
      <c r="F630">
        <v>0</v>
      </c>
      <c r="G630">
        <v>406</v>
      </c>
      <c r="H630">
        <v>3996.3</v>
      </c>
      <c r="I630">
        <v>4402.3</v>
      </c>
      <c r="J630">
        <v>0</v>
      </c>
      <c r="K630">
        <f>J630+energy_grid_portfolio_dataset!G630</f>
        <v>406</v>
      </c>
      <c r="L630">
        <f>HOUR(energy_timestamp[[#This Row],[timestamp]])</f>
        <v>4</v>
      </c>
    </row>
    <row r="631" spans="1:12" x14ac:dyDescent="0.3">
      <c r="A631" s="12" t="s">
        <v>336</v>
      </c>
      <c r="B631" s="12" t="s">
        <v>11</v>
      </c>
      <c r="C631">
        <v>20.7</v>
      </c>
      <c r="D631">
        <v>39.299999999999997</v>
      </c>
      <c r="E631">
        <v>7.7</v>
      </c>
      <c r="F631">
        <v>0</v>
      </c>
      <c r="G631">
        <v>74.3</v>
      </c>
      <c r="H631">
        <v>4000</v>
      </c>
      <c r="I631">
        <v>4332.8999999999996</v>
      </c>
      <c r="J631">
        <v>1</v>
      </c>
      <c r="K631">
        <f>J631+energy_grid_portfolio_dataset!G631</f>
        <v>75.3</v>
      </c>
      <c r="L631">
        <f>HOUR(energy_timestamp[[#This Row],[timestamp]])</f>
        <v>5</v>
      </c>
    </row>
    <row r="632" spans="1:12" x14ac:dyDescent="0.3">
      <c r="A632" s="12" t="s">
        <v>337</v>
      </c>
      <c r="B632" s="12" t="s">
        <v>11</v>
      </c>
      <c r="C632">
        <v>27</v>
      </c>
      <c r="D632">
        <v>54.2</v>
      </c>
      <c r="E632">
        <v>10.4</v>
      </c>
      <c r="F632">
        <v>225.3</v>
      </c>
      <c r="G632">
        <v>181.7</v>
      </c>
      <c r="H632">
        <v>3939.3</v>
      </c>
      <c r="I632">
        <v>4346.3</v>
      </c>
      <c r="J632">
        <v>0</v>
      </c>
      <c r="K632">
        <f>J632+energy_grid_portfolio_dataset!G632</f>
        <v>181.7</v>
      </c>
      <c r="L632">
        <f>HOUR(energy_timestamp[[#This Row],[timestamp]])</f>
        <v>6</v>
      </c>
    </row>
    <row r="633" spans="1:12" x14ac:dyDescent="0.3">
      <c r="A633" s="12" t="s">
        <v>338</v>
      </c>
      <c r="B633" s="12" t="s">
        <v>11</v>
      </c>
      <c r="C633">
        <v>25.5</v>
      </c>
      <c r="D633">
        <v>55.5</v>
      </c>
      <c r="E633">
        <v>15</v>
      </c>
      <c r="F633">
        <v>434.1</v>
      </c>
      <c r="G633">
        <v>543.70000000000005</v>
      </c>
      <c r="H633">
        <v>3480.5</v>
      </c>
      <c r="I633">
        <v>4458.3</v>
      </c>
      <c r="J633">
        <v>0</v>
      </c>
      <c r="K633">
        <f>J633+energy_grid_portfolio_dataset!G633</f>
        <v>543.70000000000005</v>
      </c>
      <c r="L633">
        <f>HOUR(energy_timestamp[[#This Row],[timestamp]])</f>
        <v>7</v>
      </c>
    </row>
    <row r="634" spans="1:12" x14ac:dyDescent="0.3">
      <c r="A634" s="12" t="s">
        <v>339</v>
      </c>
      <c r="B634" s="12" t="s">
        <v>11</v>
      </c>
      <c r="C634">
        <v>24.9</v>
      </c>
      <c r="D634">
        <v>56.8</v>
      </c>
      <c r="E634">
        <v>7.4</v>
      </c>
      <c r="F634">
        <v>616.29999999999995</v>
      </c>
      <c r="G634">
        <v>64</v>
      </c>
      <c r="H634">
        <v>3948.2</v>
      </c>
      <c r="I634">
        <v>4628.5</v>
      </c>
      <c r="J634">
        <v>0</v>
      </c>
      <c r="K634">
        <f>J634+energy_grid_portfolio_dataset!G634</f>
        <v>64</v>
      </c>
      <c r="L634">
        <f>HOUR(energy_timestamp[[#This Row],[timestamp]])</f>
        <v>8</v>
      </c>
    </row>
    <row r="635" spans="1:12" x14ac:dyDescent="0.3">
      <c r="A635" s="12" t="s">
        <v>340</v>
      </c>
      <c r="B635" s="12" t="s">
        <v>11</v>
      </c>
      <c r="C635">
        <v>25.9</v>
      </c>
      <c r="D635">
        <v>34.6</v>
      </c>
      <c r="E635">
        <v>10.5</v>
      </c>
      <c r="F635">
        <v>929.5</v>
      </c>
      <c r="G635">
        <v>186.5</v>
      </c>
      <c r="H635">
        <v>3287.3</v>
      </c>
      <c r="I635">
        <v>4403.3</v>
      </c>
      <c r="J635">
        <v>0</v>
      </c>
      <c r="K635">
        <f>J635+energy_grid_portfolio_dataset!G635</f>
        <v>186.5</v>
      </c>
      <c r="L635">
        <f>HOUR(energy_timestamp[[#This Row],[timestamp]])</f>
        <v>9</v>
      </c>
    </row>
    <row r="636" spans="1:12" x14ac:dyDescent="0.3">
      <c r="A636" s="12" t="s">
        <v>341</v>
      </c>
      <c r="B636" s="12" t="s">
        <v>11</v>
      </c>
      <c r="C636">
        <v>28.4</v>
      </c>
      <c r="D636">
        <v>13.9</v>
      </c>
      <c r="E636">
        <v>12.3</v>
      </c>
      <c r="F636">
        <v>1239.0999999999999</v>
      </c>
      <c r="G636">
        <v>295.89999999999998</v>
      </c>
      <c r="H636">
        <v>4000</v>
      </c>
      <c r="I636">
        <v>6386.4</v>
      </c>
      <c r="J636">
        <v>1</v>
      </c>
      <c r="K636">
        <f>J636+energy_grid_portfolio_dataset!G636</f>
        <v>296.89999999999998</v>
      </c>
      <c r="L636">
        <f>HOUR(energy_timestamp[[#This Row],[timestamp]])</f>
        <v>10</v>
      </c>
    </row>
    <row r="637" spans="1:12" x14ac:dyDescent="0.3">
      <c r="A637" s="12" t="s">
        <v>342</v>
      </c>
      <c r="B637" s="12" t="s">
        <v>11</v>
      </c>
      <c r="C637">
        <v>26.6</v>
      </c>
      <c r="D637">
        <v>39.6</v>
      </c>
      <c r="E637">
        <v>10.5</v>
      </c>
      <c r="F637">
        <v>1115.2</v>
      </c>
      <c r="G637">
        <v>183</v>
      </c>
      <c r="H637">
        <v>4000</v>
      </c>
      <c r="I637">
        <v>6133.6</v>
      </c>
      <c r="J637">
        <v>1</v>
      </c>
      <c r="K637">
        <f>J637+energy_grid_portfolio_dataset!G637</f>
        <v>184</v>
      </c>
      <c r="L637">
        <f>HOUR(energy_timestamp[[#This Row],[timestamp]])</f>
        <v>11</v>
      </c>
    </row>
    <row r="638" spans="1:12" x14ac:dyDescent="0.3">
      <c r="A638" s="12" t="s">
        <v>343</v>
      </c>
      <c r="B638" s="12" t="s">
        <v>11</v>
      </c>
      <c r="C638">
        <v>28.4</v>
      </c>
      <c r="D638">
        <v>10.6</v>
      </c>
      <c r="E638">
        <v>9.1999999999999993</v>
      </c>
      <c r="F638">
        <v>1405</v>
      </c>
      <c r="G638">
        <v>123.6</v>
      </c>
      <c r="H638">
        <v>4000</v>
      </c>
      <c r="I638">
        <v>6604</v>
      </c>
      <c r="J638">
        <v>1</v>
      </c>
      <c r="K638">
        <f>J638+energy_grid_portfolio_dataset!G638</f>
        <v>124.6</v>
      </c>
      <c r="L638">
        <f>HOUR(energy_timestamp[[#This Row],[timestamp]])</f>
        <v>12</v>
      </c>
    </row>
    <row r="639" spans="1:12" x14ac:dyDescent="0.3">
      <c r="A639" s="12" t="s">
        <v>344</v>
      </c>
      <c r="B639" s="12" t="s">
        <v>11</v>
      </c>
      <c r="C639">
        <v>30</v>
      </c>
      <c r="D639">
        <v>5.4</v>
      </c>
      <c r="E639">
        <v>2.6</v>
      </c>
      <c r="F639">
        <v>1415.4</v>
      </c>
      <c r="G639">
        <v>2.8</v>
      </c>
      <c r="H639">
        <v>4000</v>
      </c>
      <c r="I639">
        <v>6393.2</v>
      </c>
      <c r="J639">
        <v>1</v>
      </c>
      <c r="K639">
        <f>J639+energy_grid_portfolio_dataset!G639</f>
        <v>3.8</v>
      </c>
      <c r="L639">
        <f>HOUR(energy_timestamp[[#This Row],[timestamp]])</f>
        <v>13</v>
      </c>
    </row>
    <row r="640" spans="1:12" x14ac:dyDescent="0.3">
      <c r="A640" s="12" t="s">
        <v>345</v>
      </c>
      <c r="B640" s="12" t="s">
        <v>11</v>
      </c>
      <c r="C640">
        <v>27.9</v>
      </c>
      <c r="D640">
        <v>23.3</v>
      </c>
      <c r="E640">
        <v>14.7</v>
      </c>
      <c r="F640">
        <v>1162.5999999999999</v>
      </c>
      <c r="G640">
        <v>505.5</v>
      </c>
      <c r="H640">
        <v>4000</v>
      </c>
      <c r="I640">
        <v>6520.6</v>
      </c>
      <c r="J640">
        <v>1</v>
      </c>
      <c r="K640">
        <f>J640+energy_grid_portfolio_dataset!G640</f>
        <v>506.5</v>
      </c>
      <c r="L640">
        <f>HOUR(energy_timestamp[[#This Row],[timestamp]])</f>
        <v>14</v>
      </c>
    </row>
    <row r="641" spans="1:12" x14ac:dyDescent="0.3">
      <c r="A641" s="12" t="s">
        <v>346</v>
      </c>
      <c r="B641" s="12" t="s">
        <v>11</v>
      </c>
      <c r="C641">
        <v>26.8</v>
      </c>
      <c r="D641">
        <v>53.2</v>
      </c>
      <c r="E641">
        <v>16.600000000000001</v>
      </c>
      <c r="F641">
        <v>798.4</v>
      </c>
      <c r="G641">
        <v>734.7</v>
      </c>
      <c r="H641">
        <v>2391.5</v>
      </c>
      <c r="I641">
        <v>3924.6</v>
      </c>
      <c r="J641">
        <v>0</v>
      </c>
      <c r="K641">
        <f>J641+energy_grid_portfolio_dataset!G641</f>
        <v>734.7</v>
      </c>
      <c r="L641">
        <f>HOUR(energy_timestamp[[#This Row],[timestamp]])</f>
        <v>15</v>
      </c>
    </row>
    <row r="642" spans="1:12" x14ac:dyDescent="0.3">
      <c r="A642" s="12" t="s">
        <v>347</v>
      </c>
      <c r="B642" s="12" t="s">
        <v>11</v>
      </c>
      <c r="C642">
        <v>26.1</v>
      </c>
      <c r="D642">
        <v>21.9</v>
      </c>
      <c r="E642">
        <v>13.3</v>
      </c>
      <c r="F642">
        <v>812.5</v>
      </c>
      <c r="G642">
        <v>374.5</v>
      </c>
      <c r="H642">
        <v>2980.9</v>
      </c>
      <c r="I642">
        <v>4167.8999999999996</v>
      </c>
      <c r="J642">
        <v>0</v>
      </c>
      <c r="K642">
        <f>J642+energy_grid_portfolio_dataset!G642</f>
        <v>374.5</v>
      </c>
      <c r="L642">
        <f>HOUR(energy_timestamp[[#This Row],[timestamp]])</f>
        <v>16</v>
      </c>
    </row>
    <row r="643" spans="1:12" x14ac:dyDescent="0.3">
      <c r="A643" s="12" t="s">
        <v>348</v>
      </c>
      <c r="B643" s="12" t="s">
        <v>11</v>
      </c>
      <c r="C643">
        <v>24.6</v>
      </c>
      <c r="D643">
        <v>20.100000000000001</v>
      </c>
      <c r="E643">
        <v>15.3</v>
      </c>
      <c r="F643">
        <v>572.29999999999995</v>
      </c>
      <c r="G643">
        <v>568.1</v>
      </c>
      <c r="H643">
        <v>3045.3</v>
      </c>
      <c r="I643">
        <v>4185.7</v>
      </c>
      <c r="J643">
        <v>0</v>
      </c>
      <c r="K643">
        <f>J643+energy_grid_portfolio_dataset!G643</f>
        <v>568.1</v>
      </c>
      <c r="L643">
        <f>HOUR(energy_timestamp[[#This Row],[timestamp]])</f>
        <v>17</v>
      </c>
    </row>
    <row r="644" spans="1:12" x14ac:dyDescent="0.3">
      <c r="A644" s="12" t="s">
        <v>349</v>
      </c>
      <c r="B644" s="12" t="s">
        <v>11</v>
      </c>
      <c r="C644">
        <v>23.8</v>
      </c>
      <c r="D644">
        <v>46</v>
      </c>
      <c r="E644">
        <v>4.8</v>
      </c>
      <c r="F644">
        <v>241.7</v>
      </c>
      <c r="G644">
        <v>17.2</v>
      </c>
      <c r="H644">
        <v>4000</v>
      </c>
      <c r="I644">
        <v>6848.8</v>
      </c>
      <c r="J644">
        <v>1</v>
      </c>
      <c r="K644">
        <f>J644+energy_grid_portfolio_dataset!G644</f>
        <v>18.2</v>
      </c>
      <c r="L644">
        <f>HOUR(energy_timestamp[[#This Row],[timestamp]])</f>
        <v>18</v>
      </c>
    </row>
    <row r="645" spans="1:12" x14ac:dyDescent="0.3">
      <c r="A645" s="12" t="s">
        <v>350</v>
      </c>
      <c r="B645" s="12" t="s">
        <v>11</v>
      </c>
      <c r="C645">
        <v>22.9</v>
      </c>
      <c r="D645">
        <v>100</v>
      </c>
      <c r="E645">
        <v>6.4</v>
      </c>
      <c r="F645">
        <v>0</v>
      </c>
      <c r="G645">
        <v>42.7</v>
      </c>
      <c r="H645">
        <v>4000</v>
      </c>
      <c r="I645">
        <v>6675</v>
      </c>
      <c r="J645">
        <v>1</v>
      </c>
      <c r="K645">
        <f>J645+energy_grid_portfolio_dataset!G645</f>
        <v>43.7</v>
      </c>
      <c r="L645">
        <f>HOUR(energy_timestamp[[#This Row],[timestamp]])</f>
        <v>19</v>
      </c>
    </row>
    <row r="646" spans="1:12" x14ac:dyDescent="0.3">
      <c r="A646" s="12" t="s">
        <v>351</v>
      </c>
      <c r="B646" s="12" t="s">
        <v>11</v>
      </c>
      <c r="C646">
        <v>23</v>
      </c>
      <c r="D646">
        <v>52</v>
      </c>
      <c r="E646">
        <v>20.8</v>
      </c>
      <c r="F646">
        <v>0</v>
      </c>
      <c r="G646">
        <v>1438.4</v>
      </c>
      <c r="H646">
        <v>4000</v>
      </c>
      <c r="I646">
        <v>6939.6</v>
      </c>
      <c r="J646">
        <v>1</v>
      </c>
      <c r="K646">
        <f>J646+energy_grid_portfolio_dataset!G646</f>
        <v>1439.4</v>
      </c>
      <c r="L646">
        <f>HOUR(energy_timestamp[[#This Row],[timestamp]])</f>
        <v>20</v>
      </c>
    </row>
    <row r="647" spans="1:12" x14ac:dyDescent="0.3">
      <c r="A647" s="12" t="s">
        <v>352</v>
      </c>
      <c r="B647" s="12" t="s">
        <v>11</v>
      </c>
      <c r="C647">
        <v>21.6</v>
      </c>
      <c r="D647">
        <v>43.7</v>
      </c>
      <c r="E647">
        <v>18.100000000000001</v>
      </c>
      <c r="F647">
        <v>0</v>
      </c>
      <c r="G647">
        <v>951.6</v>
      </c>
      <c r="H647">
        <v>4000</v>
      </c>
      <c r="I647">
        <v>6775.8</v>
      </c>
      <c r="J647">
        <v>1</v>
      </c>
      <c r="K647">
        <f>J647+energy_grid_portfolio_dataset!G647</f>
        <v>952.6</v>
      </c>
      <c r="L647">
        <f>HOUR(energy_timestamp[[#This Row],[timestamp]])</f>
        <v>21</v>
      </c>
    </row>
    <row r="648" spans="1:12" x14ac:dyDescent="0.3">
      <c r="A648" s="12" t="s">
        <v>353</v>
      </c>
      <c r="B648" s="12" t="s">
        <v>11</v>
      </c>
      <c r="C648">
        <v>19.899999999999999</v>
      </c>
      <c r="D648">
        <v>12</v>
      </c>
      <c r="E648">
        <v>11</v>
      </c>
      <c r="F648">
        <v>0</v>
      </c>
      <c r="G648">
        <v>212.1</v>
      </c>
      <c r="H648">
        <v>4000</v>
      </c>
      <c r="I648">
        <v>4484.5</v>
      </c>
      <c r="J648">
        <v>1</v>
      </c>
      <c r="K648">
        <f>J648+energy_grid_portfolio_dataset!G648</f>
        <v>213.1</v>
      </c>
      <c r="L648">
        <f>HOUR(energy_timestamp[[#This Row],[timestamp]])</f>
        <v>22</v>
      </c>
    </row>
    <row r="649" spans="1:12" x14ac:dyDescent="0.3">
      <c r="A649" s="12" t="s">
        <v>354</v>
      </c>
      <c r="B649" s="12" t="s">
        <v>11</v>
      </c>
      <c r="C649">
        <v>20.100000000000001</v>
      </c>
      <c r="D649">
        <v>75.900000000000006</v>
      </c>
      <c r="E649">
        <v>9.6999999999999993</v>
      </c>
      <c r="F649">
        <v>0</v>
      </c>
      <c r="G649">
        <v>146.6</v>
      </c>
      <c r="H649">
        <v>4000</v>
      </c>
      <c r="I649">
        <v>4200</v>
      </c>
      <c r="J649">
        <v>1</v>
      </c>
      <c r="K649">
        <f>J649+energy_grid_portfolio_dataset!G649</f>
        <v>147.6</v>
      </c>
      <c r="L649">
        <f>HOUR(energy_timestamp[[#This Row],[timestamp]])</f>
        <v>23</v>
      </c>
    </row>
    <row r="650" spans="1:12" x14ac:dyDescent="0.3">
      <c r="A650" s="12" t="s">
        <v>355</v>
      </c>
      <c r="B650" s="12" t="s">
        <v>11</v>
      </c>
      <c r="C650">
        <v>20.100000000000001</v>
      </c>
      <c r="D650">
        <v>66.2</v>
      </c>
      <c r="E650">
        <v>0.8</v>
      </c>
      <c r="F650">
        <v>0</v>
      </c>
      <c r="G650">
        <v>0.1</v>
      </c>
      <c r="H650">
        <v>4000</v>
      </c>
      <c r="I650">
        <v>4943.6000000000004</v>
      </c>
      <c r="J650">
        <v>1</v>
      </c>
      <c r="K650">
        <f>J650+energy_grid_portfolio_dataset!G650</f>
        <v>1.1000000000000001</v>
      </c>
      <c r="L650">
        <f>HOUR(energy_timestamp[[#This Row],[timestamp]])</f>
        <v>0</v>
      </c>
    </row>
    <row r="651" spans="1:12" x14ac:dyDescent="0.3">
      <c r="A651" s="12" t="s">
        <v>356</v>
      </c>
      <c r="B651" s="12" t="s">
        <v>11</v>
      </c>
      <c r="C651">
        <v>20.3</v>
      </c>
      <c r="D651">
        <v>75</v>
      </c>
      <c r="E651">
        <v>9.5</v>
      </c>
      <c r="F651">
        <v>0</v>
      </c>
      <c r="G651">
        <v>138.9</v>
      </c>
      <c r="H651">
        <v>4000</v>
      </c>
      <c r="I651">
        <v>4859</v>
      </c>
      <c r="J651">
        <v>1</v>
      </c>
      <c r="K651">
        <f>J651+energy_grid_portfolio_dataset!G651</f>
        <v>139.9</v>
      </c>
      <c r="L651">
        <f>HOUR(energy_timestamp[[#This Row],[timestamp]])</f>
        <v>1</v>
      </c>
    </row>
    <row r="652" spans="1:12" x14ac:dyDescent="0.3">
      <c r="A652" s="12" t="s">
        <v>357</v>
      </c>
      <c r="B652" s="12" t="s">
        <v>11</v>
      </c>
      <c r="C652">
        <v>21.2</v>
      </c>
      <c r="D652">
        <v>29.1</v>
      </c>
      <c r="E652">
        <v>6.1</v>
      </c>
      <c r="F652">
        <v>0</v>
      </c>
      <c r="G652">
        <v>35.5</v>
      </c>
      <c r="H652">
        <v>4000</v>
      </c>
      <c r="I652">
        <v>4668.5</v>
      </c>
      <c r="J652">
        <v>1</v>
      </c>
      <c r="K652">
        <f>J652+energy_grid_portfolio_dataset!G652</f>
        <v>36.5</v>
      </c>
      <c r="L652">
        <f>HOUR(energy_timestamp[[#This Row],[timestamp]])</f>
        <v>2</v>
      </c>
    </row>
    <row r="653" spans="1:12" x14ac:dyDescent="0.3">
      <c r="A653" s="12" t="s">
        <v>358</v>
      </c>
      <c r="B653" s="12" t="s">
        <v>11</v>
      </c>
      <c r="C653">
        <v>21</v>
      </c>
      <c r="D653">
        <v>29.9</v>
      </c>
      <c r="E653">
        <v>1</v>
      </c>
      <c r="F653">
        <v>0</v>
      </c>
      <c r="G653">
        <v>0.1</v>
      </c>
      <c r="H653">
        <v>4000</v>
      </c>
      <c r="I653">
        <v>4856.3</v>
      </c>
      <c r="J653">
        <v>1</v>
      </c>
      <c r="K653">
        <f>J653+energy_grid_portfolio_dataset!G653</f>
        <v>1.1000000000000001</v>
      </c>
      <c r="L653">
        <f>HOUR(energy_timestamp[[#This Row],[timestamp]])</f>
        <v>3</v>
      </c>
    </row>
    <row r="654" spans="1:12" x14ac:dyDescent="0.3">
      <c r="A654" s="12" t="s">
        <v>359</v>
      </c>
      <c r="B654" s="12" t="s">
        <v>11</v>
      </c>
      <c r="C654">
        <v>23.3</v>
      </c>
      <c r="D654">
        <v>61.3</v>
      </c>
      <c r="E654">
        <v>6.3</v>
      </c>
      <c r="F654">
        <v>0</v>
      </c>
      <c r="G654">
        <v>40.200000000000003</v>
      </c>
      <c r="H654">
        <v>4000</v>
      </c>
      <c r="I654">
        <v>5084.6000000000004</v>
      </c>
      <c r="J654">
        <v>1</v>
      </c>
      <c r="K654">
        <f>J654+energy_grid_portfolio_dataset!G654</f>
        <v>41.2</v>
      </c>
      <c r="L654">
        <f>HOUR(energy_timestamp[[#This Row],[timestamp]])</f>
        <v>4</v>
      </c>
    </row>
    <row r="655" spans="1:12" x14ac:dyDescent="0.3">
      <c r="A655" s="12" t="s">
        <v>360</v>
      </c>
      <c r="B655" s="12" t="s">
        <v>11</v>
      </c>
      <c r="C655">
        <v>23</v>
      </c>
      <c r="D655">
        <v>60</v>
      </c>
      <c r="E655">
        <v>15.3</v>
      </c>
      <c r="F655">
        <v>0</v>
      </c>
      <c r="G655">
        <v>577.79999999999995</v>
      </c>
      <c r="H655">
        <v>4000</v>
      </c>
      <c r="I655">
        <v>4919.8</v>
      </c>
      <c r="J655">
        <v>1</v>
      </c>
      <c r="K655">
        <f>J655+energy_grid_portfolio_dataset!G655</f>
        <v>578.79999999999995</v>
      </c>
      <c r="L655">
        <f>HOUR(energy_timestamp[[#This Row],[timestamp]])</f>
        <v>5</v>
      </c>
    </row>
    <row r="656" spans="1:12" x14ac:dyDescent="0.3">
      <c r="A656" s="12" t="s">
        <v>361</v>
      </c>
      <c r="B656" s="12" t="s">
        <v>11</v>
      </c>
      <c r="C656">
        <v>24.1</v>
      </c>
      <c r="D656">
        <v>56.4</v>
      </c>
      <c r="E656">
        <v>19.3</v>
      </c>
      <c r="F656">
        <v>220.8</v>
      </c>
      <c r="G656">
        <v>1146.5</v>
      </c>
      <c r="H656">
        <v>3472.6</v>
      </c>
      <c r="I656">
        <v>4839.8999999999996</v>
      </c>
      <c r="J656">
        <v>0</v>
      </c>
      <c r="K656">
        <f>J656+energy_grid_portfolio_dataset!G656</f>
        <v>1146.5</v>
      </c>
      <c r="L656">
        <f>HOUR(energy_timestamp[[#This Row],[timestamp]])</f>
        <v>6</v>
      </c>
    </row>
    <row r="657" spans="1:12" x14ac:dyDescent="0.3">
      <c r="A657" s="12" t="s">
        <v>362</v>
      </c>
      <c r="B657" s="12" t="s">
        <v>11</v>
      </c>
      <c r="C657">
        <v>25.8</v>
      </c>
      <c r="D657">
        <v>47.1</v>
      </c>
      <c r="E657">
        <v>19.100000000000001</v>
      </c>
      <c r="F657">
        <v>466.9</v>
      </c>
      <c r="G657">
        <v>1106.5</v>
      </c>
      <c r="H657">
        <v>3482.3</v>
      </c>
      <c r="I657">
        <v>5055.7</v>
      </c>
      <c r="J657">
        <v>0</v>
      </c>
      <c r="K657">
        <f>J657+energy_grid_portfolio_dataset!G657</f>
        <v>1106.5</v>
      </c>
      <c r="L657">
        <f>HOUR(energy_timestamp[[#This Row],[timestamp]])</f>
        <v>7</v>
      </c>
    </row>
    <row r="658" spans="1:12" x14ac:dyDescent="0.3">
      <c r="A658" s="12" t="s">
        <v>363</v>
      </c>
      <c r="B658" s="12" t="s">
        <v>11</v>
      </c>
      <c r="C658">
        <v>25.1</v>
      </c>
      <c r="D658">
        <v>80.099999999999994</v>
      </c>
      <c r="E658">
        <v>15.5</v>
      </c>
      <c r="F658">
        <v>485.8</v>
      </c>
      <c r="G658">
        <v>594.6</v>
      </c>
      <c r="H658">
        <v>3931.1</v>
      </c>
      <c r="I658">
        <v>5011.5</v>
      </c>
      <c r="J658">
        <v>0</v>
      </c>
      <c r="K658">
        <f>J658+energy_grid_portfolio_dataset!G658</f>
        <v>594.6</v>
      </c>
      <c r="L658">
        <f>HOUR(energy_timestamp[[#This Row],[timestamp]])</f>
        <v>8</v>
      </c>
    </row>
    <row r="659" spans="1:12" x14ac:dyDescent="0.3">
      <c r="A659" s="12" t="s">
        <v>364</v>
      </c>
      <c r="B659" s="12" t="s">
        <v>11</v>
      </c>
      <c r="C659">
        <v>26.3</v>
      </c>
      <c r="D659">
        <v>52.4</v>
      </c>
      <c r="E659">
        <v>14.3</v>
      </c>
      <c r="F659">
        <v>803.9</v>
      </c>
      <c r="G659">
        <v>469.4</v>
      </c>
      <c r="H659">
        <v>3610.2</v>
      </c>
      <c r="I659">
        <v>4883.5</v>
      </c>
      <c r="J659">
        <v>0</v>
      </c>
      <c r="K659">
        <f>J659+energy_grid_portfolio_dataset!G659</f>
        <v>469.4</v>
      </c>
      <c r="L659">
        <f>HOUR(energy_timestamp[[#This Row],[timestamp]])</f>
        <v>9</v>
      </c>
    </row>
    <row r="660" spans="1:12" x14ac:dyDescent="0.3">
      <c r="A660" s="12" t="s">
        <v>365</v>
      </c>
      <c r="B660" s="12" t="s">
        <v>11</v>
      </c>
      <c r="C660">
        <v>27.8</v>
      </c>
      <c r="D660">
        <v>87.5</v>
      </c>
      <c r="E660">
        <v>17.399999999999999</v>
      </c>
      <c r="F660">
        <v>641.9</v>
      </c>
      <c r="G660">
        <v>836.8</v>
      </c>
      <c r="H660">
        <v>4000</v>
      </c>
      <c r="I660">
        <v>7179.6</v>
      </c>
      <c r="J660">
        <v>1</v>
      </c>
      <c r="K660">
        <f>J660+energy_grid_portfolio_dataset!G660</f>
        <v>837.8</v>
      </c>
      <c r="L660">
        <f>HOUR(energy_timestamp[[#This Row],[timestamp]])</f>
        <v>10</v>
      </c>
    </row>
    <row r="661" spans="1:12" x14ac:dyDescent="0.3">
      <c r="A661" s="12" t="s">
        <v>366</v>
      </c>
      <c r="B661" s="12" t="s">
        <v>11</v>
      </c>
      <c r="C661">
        <v>28.8</v>
      </c>
      <c r="D661">
        <v>19.2</v>
      </c>
      <c r="E661">
        <v>14</v>
      </c>
      <c r="F661">
        <v>1294</v>
      </c>
      <c r="G661">
        <v>438.1</v>
      </c>
      <c r="H661">
        <v>4000</v>
      </c>
      <c r="I661">
        <v>7178.6</v>
      </c>
      <c r="J661">
        <v>1</v>
      </c>
      <c r="K661">
        <f>J661+energy_grid_portfolio_dataset!G661</f>
        <v>439.1</v>
      </c>
      <c r="L661">
        <f>HOUR(energy_timestamp[[#This Row],[timestamp]])</f>
        <v>11</v>
      </c>
    </row>
    <row r="662" spans="1:12" x14ac:dyDescent="0.3">
      <c r="A662" s="12" t="s">
        <v>367</v>
      </c>
      <c r="B662" s="12" t="s">
        <v>11</v>
      </c>
      <c r="C662">
        <v>27.8</v>
      </c>
      <c r="D662">
        <v>23.8</v>
      </c>
      <c r="E662">
        <v>8.6999999999999993</v>
      </c>
      <c r="F662">
        <v>1285.7</v>
      </c>
      <c r="G662">
        <v>106.8</v>
      </c>
      <c r="H662">
        <v>4000</v>
      </c>
      <c r="I662">
        <v>7421.4</v>
      </c>
      <c r="J662">
        <v>1</v>
      </c>
      <c r="K662">
        <f>J662+energy_grid_portfolio_dataset!G662</f>
        <v>107.8</v>
      </c>
      <c r="L662">
        <f>HOUR(energy_timestamp[[#This Row],[timestamp]])</f>
        <v>12</v>
      </c>
    </row>
    <row r="663" spans="1:12" x14ac:dyDescent="0.3">
      <c r="A663" s="12" t="s">
        <v>368</v>
      </c>
      <c r="B663" s="12" t="s">
        <v>11</v>
      </c>
      <c r="C663">
        <v>27.1</v>
      </c>
      <c r="D663">
        <v>35.700000000000003</v>
      </c>
      <c r="E663">
        <v>5</v>
      </c>
      <c r="F663">
        <v>1148.8</v>
      </c>
      <c r="G663">
        <v>19.7</v>
      </c>
      <c r="H663">
        <v>4000</v>
      </c>
      <c r="I663">
        <v>6986.6</v>
      </c>
      <c r="J663">
        <v>1</v>
      </c>
      <c r="K663">
        <f>J663+energy_grid_portfolio_dataset!G663</f>
        <v>20.7</v>
      </c>
      <c r="L663">
        <f>HOUR(energy_timestamp[[#This Row],[timestamp]])</f>
        <v>13</v>
      </c>
    </row>
    <row r="664" spans="1:12" x14ac:dyDescent="0.3">
      <c r="A664" s="12" t="s">
        <v>369</v>
      </c>
      <c r="B664" s="12" t="s">
        <v>11</v>
      </c>
      <c r="C664">
        <v>28.4</v>
      </c>
      <c r="D664">
        <v>22.3</v>
      </c>
      <c r="E664">
        <v>19.600000000000001</v>
      </c>
      <c r="F664">
        <v>1170.5999999999999</v>
      </c>
      <c r="G664">
        <v>1204.0999999999999</v>
      </c>
      <c r="H664">
        <v>4000</v>
      </c>
      <c r="I664">
        <v>7152.3</v>
      </c>
      <c r="J664">
        <v>1</v>
      </c>
      <c r="K664">
        <f>J664+energy_grid_portfolio_dataset!G664</f>
        <v>1205.0999999999999</v>
      </c>
      <c r="L664">
        <f>HOUR(energy_timestamp[[#This Row],[timestamp]])</f>
        <v>14</v>
      </c>
    </row>
    <row r="665" spans="1:12" x14ac:dyDescent="0.3">
      <c r="A665" s="12" t="s">
        <v>370</v>
      </c>
      <c r="B665" s="12" t="s">
        <v>11</v>
      </c>
      <c r="C665">
        <v>27.9</v>
      </c>
      <c r="D665">
        <v>28.6</v>
      </c>
      <c r="E665">
        <v>16.3</v>
      </c>
      <c r="F665">
        <v>971.8</v>
      </c>
      <c r="G665">
        <v>689.4</v>
      </c>
      <c r="H665">
        <v>3365.4</v>
      </c>
      <c r="I665">
        <v>5026.6000000000004</v>
      </c>
      <c r="J665">
        <v>0</v>
      </c>
      <c r="K665">
        <f>J665+energy_grid_portfolio_dataset!G665</f>
        <v>689.4</v>
      </c>
      <c r="L665">
        <f>HOUR(energy_timestamp[[#This Row],[timestamp]])</f>
        <v>15</v>
      </c>
    </row>
    <row r="666" spans="1:12" x14ac:dyDescent="0.3">
      <c r="A666" s="12" t="s">
        <v>371</v>
      </c>
      <c r="B666" s="12" t="s">
        <v>11</v>
      </c>
      <c r="C666">
        <v>26.9</v>
      </c>
      <c r="D666">
        <v>49.3</v>
      </c>
      <c r="E666">
        <v>14.8</v>
      </c>
      <c r="F666">
        <v>658.6</v>
      </c>
      <c r="G666">
        <v>515.1</v>
      </c>
      <c r="H666">
        <v>3612.5</v>
      </c>
      <c r="I666">
        <v>4786.2</v>
      </c>
      <c r="J666">
        <v>0</v>
      </c>
      <c r="K666">
        <f>J666+energy_grid_portfolio_dataset!G666</f>
        <v>515.1</v>
      </c>
      <c r="L666">
        <f>HOUR(energy_timestamp[[#This Row],[timestamp]])</f>
        <v>16</v>
      </c>
    </row>
    <row r="667" spans="1:12" x14ac:dyDescent="0.3">
      <c r="A667" s="12" t="s">
        <v>372</v>
      </c>
      <c r="B667" s="12" t="s">
        <v>11</v>
      </c>
      <c r="C667">
        <v>24.1</v>
      </c>
      <c r="D667">
        <v>59.9</v>
      </c>
      <c r="E667">
        <v>7.3</v>
      </c>
      <c r="F667">
        <v>416.8</v>
      </c>
      <c r="G667">
        <v>61.2</v>
      </c>
      <c r="H667">
        <v>4000</v>
      </c>
      <c r="I667">
        <v>4773.7</v>
      </c>
      <c r="J667">
        <v>1</v>
      </c>
      <c r="K667">
        <f>J667+energy_grid_portfolio_dataset!G667</f>
        <v>62.2</v>
      </c>
      <c r="L667">
        <f>HOUR(energy_timestamp[[#This Row],[timestamp]])</f>
        <v>17</v>
      </c>
    </row>
    <row r="668" spans="1:12" x14ac:dyDescent="0.3">
      <c r="A668" s="12" t="s">
        <v>373</v>
      </c>
      <c r="B668" s="12" t="s">
        <v>11</v>
      </c>
      <c r="C668">
        <v>22.6</v>
      </c>
      <c r="D668">
        <v>66.2</v>
      </c>
      <c r="E668">
        <v>5.8</v>
      </c>
      <c r="F668">
        <v>201.2</v>
      </c>
      <c r="G668">
        <v>31.8</v>
      </c>
      <c r="H668">
        <v>4000</v>
      </c>
      <c r="I668">
        <v>7769.5</v>
      </c>
      <c r="J668">
        <v>1</v>
      </c>
      <c r="K668">
        <f>J668+energy_grid_portfolio_dataset!G668</f>
        <v>32.799999999999997</v>
      </c>
      <c r="L668">
        <f>HOUR(energy_timestamp[[#This Row],[timestamp]])</f>
        <v>18</v>
      </c>
    </row>
    <row r="669" spans="1:12" x14ac:dyDescent="0.3">
      <c r="A669" s="12" t="s">
        <v>374</v>
      </c>
      <c r="B669" s="12" t="s">
        <v>11</v>
      </c>
      <c r="C669">
        <v>23.6</v>
      </c>
      <c r="D669">
        <v>27.6</v>
      </c>
      <c r="E669">
        <v>14.9</v>
      </c>
      <c r="F669">
        <v>0</v>
      </c>
      <c r="G669">
        <v>530.4</v>
      </c>
      <c r="H669">
        <v>4000</v>
      </c>
      <c r="I669">
        <v>7782.8</v>
      </c>
      <c r="J669">
        <v>1</v>
      </c>
      <c r="K669">
        <f>J669+energy_grid_portfolio_dataset!G669</f>
        <v>531.4</v>
      </c>
      <c r="L669">
        <f>HOUR(energy_timestamp[[#This Row],[timestamp]])</f>
        <v>19</v>
      </c>
    </row>
    <row r="670" spans="1:12" x14ac:dyDescent="0.3">
      <c r="A670" s="12" t="s">
        <v>375</v>
      </c>
      <c r="B670" s="12" t="s">
        <v>11</v>
      </c>
      <c r="C670">
        <v>21.5</v>
      </c>
      <c r="D670">
        <v>19.8</v>
      </c>
      <c r="E670">
        <v>2.2000000000000002</v>
      </c>
      <c r="F670">
        <v>0</v>
      </c>
      <c r="G670">
        <v>1.7</v>
      </c>
      <c r="H670">
        <v>4000</v>
      </c>
      <c r="I670">
        <v>7739.1</v>
      </c>
      <c r="J670">
        <v>1</v>
      </c>
      <c r="K670">
        <f>J670+energy_grid_portfolio_dataset!G670</f>
        <v>2.7</v>
      </c>
      <c r="L670">
        <f>HOUR(energy_timestamp[[#This Row],[timestamp]])</f>
        <v>20</v>
      </c>
    </row>
    <row r="671" spans="1:12" x14ac:dyDescent="0.3">
      <c r="A671" s="12" t="s">
        <v>376</v>
      </c>
      <c r="B671" s="12" t="s">
        <v>11</v>
      </c>
      <c r="C671">
        <v>19.600000000000001</v>
      </c>
      <c r="D671">
        <v>47.4</v>
      </c>
      <c r="E671">
        <v>10.7</v>
      </c>
      <c r="F671">
        <v>0</v>
      </c>
      <c r="G671">
        <v>195.1</v>
      </c>
      <c r="H671">
        <v>4000</v>
      </c>
      <c r="I671">
        <v>7752.4</v>
      </c>
      <c r="J671">
        <v>1</v>
      </c>
      <c r="K671">
        <f>J671+energy_grid_portfolio_dataset!G671</f>
        <v>196.1</v>
      </c>
      <c r="L671">
        <f>HOUR(energy_timestamp[[#This Row],[timestamp]])</f>
        <v>21</v>
      </c>
    </row>
    <row r="672" spans="1:12" x14ac:dyDescent="0.3">
      <c r="A672" s="12" t="s">
        <v>377</v>
      </c>
      <c r="B672" s="12" t="s">
        <v>11</v>
      </c>
      <c r="C672">
        <v>20.2</v>
      </c>
      <c r="D672">
        <v>36.799999999999997</v>
      </c>
      <c r="E672">
        <v>15.7</v>
      </c>
      <c r="F672">
        <v>0</v>
      </c>
      <c r="G672">
        <v>614.4</v>
      </c>
      <c r="H672">
        <v>4000</v>
      </c>
      <c r="I672">
        <v>5051.8999999999996</v>
      </c>
      <c r="J672">
        <v>1</v>
      </c>
      <c r="K672">
        <f>J672+energy_grid_portfolio_dataset!G672</f>
        <v>615.4</v>
      </c>
      <c r="L672">
        <f>HOUR(energy_timestamp[[#This Row],[timestamp]])</f>
        <v>22</v>
      </c>
    </row>
    <row r="673" spans="1:12" x14ac:dyDescent="0.3">
      <c r="A673" s="12" t="s">
        <v>378</v>
      </c>
      <c r="B673" s="12" t="s">
        <v>11</v>
      </c>
      <c r="C673">
        <v>20.5</v>
      </c>
      <c r="D673">
        <v>56.7</v>
      </c>
      <c r="E673">
        <v>4.3</v>
      </c>
      <c r="F673">
        <v>0</v>
      </c>
      <c r="G673">
        <v>12.9</v>
      </c>
      <c r="H673">
        <v>4000</v>
      </c>
      <c r="I673">
        <v>5000.3</v>
      </c>
      <c r="J673">
        <v>1</v>
      </c>
      <c r="K673">
        <f>J673+energy_grid_portfolio_dataset!G673</f>
        <v>13.9</v>
      </c>
      <c r="L673">
        <f>HOUR(energy_timestamp[[#This Row],[timestamp]])</f>
        <v>23</v>
      </c>
    </row>
    <row r="674" spans="1:12" x14ac:dyDescent="0.3">
      <c r="A674" s="12" t="s">
        <v>43</v>
      </c>
      <c r="B674" s="12" t="s">
        <v>12</v>
      </c>
      <c r="C674">
        <v>18.2</v>
      </c>
      <c r="D674">
        <v>29.5</v>
      </c>
      <c r="E674">
        <v>5.3</v>
      </c>
      <c r="F674">
        <v>0</v>
      </c>
      <c r="G674">
        <v>14</v>
      </c>
      <c r="H674">
        <v>4000</v>
      </c>
      <c r="I674">
        <v>5063.5</v>
      </c>
      <c r="J674">
        <v>1</v>
      </c>
      <c r="K674">
        <f>J674+energy_grid_portfolio_dataset!G674</f>
        <v>15</v>
      </c>
      <c r="L674">
        <f>HOUR(energy_timestamp[[#This Row],[timestamp]])</f>
        <v>0</v>
      </c>
    </row>
    <row r="675" spans="1:12" x14ac:dyDescent="0.3">
      <c r="A675" s="12" t="s">
        <v>44</v>
      </c>
      <c r="B675" s="12" t="s">
        <v>12</v>
      </c>
      <c r="C675">
        <v>16.899999999999999</v>
      </c>
      <c r="D675">
        <v>70</v>
      </c>
      <c r="E675">
        <v>10.3</v>
      </c>
      <c r="F675">
        <v>0</v>
      </c>
      <c r="G675">
        <v>104.7</v>
      </c>
      <c r="H675">
        <v>4000</v>
      </c>
      <c r="I675">
        <v>4944.1000000000004</v>
      </c>
      <c r="J675">
        <v>1</v>
      </c>
      <c r="K675">
        <f>J675+energy_grid_portfolio_dataset!G675</f>
        <v>105.7</v>
      </c>
      <c r="L675">
        <f>HOUR(energy_timestamp[[#This Row],[timestamp]])</f>
        <v>1</v>
      </c>
    </row>
    <row r="676" spans="1:12" x14ac:dyDescent="0.3">
      <c r="A676" s="12" t="s">
        <v>45</v>
      </c>
      <c r="B676" s="12" t="s">
        <v>12</v>
      </c>
      <c r="C676">
        <v>15</v>
      </c>
      <c r="D676">
        <v>78.7</v>
      </c>
      <c r="E676">
        <v>10</v>
      </c>
      <c r="F676">
        <v>0</v>
      </c>
      <c r="G676">
        <v>95.6</v>
      </c>
      <c r="H676">
        <v>4000</v>
      </c>
      <c r="I676">
        <v>5112.3</v>
      </c>
      <c r="J676">
        <v>1</v>
      </c>
      <c r="K676">
        <f>J676+energy_grid_portfolio_dataset!G676</f>
        <v>96.6</v>
      </c>
      <c r="L676">
        <f>HOUR(energy_timestamp[[#This Row],[timestamp]])</f>
        <v>2</v>
      </c>
    </row>
    <row r="677" spans="1:12" x14ac:dyDescent="0.3">
      <c r="A677" s="12" t="s">
        <v>46</v>
      </c>
      <c r="B677" s="12" t="s">
        <v>12</v>
      </c>
      <c r="C677">
        <v>20.6</v>
      </c>
      <c r="D677">
        <v>100</v>
      </c>
      <c r="E677">
        <v>9.1</v>
      </c>
      <c r="F677">
        <v>0</v>
      </c>
      <c r="G677">
        <v>71.7</v>
      </c>
      <c r="H677">
        <v>4000</v>
      </c>
      <c r="I677">
        <v>5008</v>
      </c>
      <c r="J677">
        <v>1</v>
      </c>
      <c r="K677">
        <f>J677+energy_grid_portfolio_dataset!G677</f>
        <v>72.7</v>
      </c>
      <c r="L677">
        <f>HOUR(energy_timestamp[[#This Row],[timestamp]])</f>
        <v>3</v>
      </c>
    </row>
    <row r="678" spans="1:12" x14ac:dyDescent="0.3">
      <c r="A678" s="12" t="s">
        <v>47</v>
      </c>
      <c r="B678" s="12" t="s">
        <v>12</v>
      </c>
      <c r="C678">
        <v>21.6</v>
      </c>
      <c r="D678">
        <v>64.3</v>
      </c>
      <c r="E678">
        <v>6.1</v>
      </c>
      <c r="F678">
        <v>0</v>
      </c>
      <c r="G678">
        <v>21.5</v>
      </c>
      <c r="H678">
        <v>4000</v>
      </c>
      <c r="I678">
        <v>4987.3999999999996</v>
      </c>
      <c r="J678">
        <v>1</v>
      </c>
      <c r="K678">
        <f>J678+energy_grid_portfolio_dataset!G678</f>
        <v>22.5</v>
      </c>
      <c r="L678">
        <f>HOUR(energy_timestamp[[#This Row],[timestamp]])</f>
        <v>4</v>
      </c>
    </row>
    <row r="679" spans="1:12" x14ac:dyDescent="0.3">
      <c r="A679" s="12" t="s">
        <v>48</v>
      </c>
      <c r="B679" s="12" t="s">
        <v>12</v>
      </c>
      <c r="C679">
        <v>23.8</v>
      </c>
      <c r="D679">
        <v>35.4</v>
      </c>
      <c r="E679">
        <v>10.6</v>
      </c>
      <c r="F679">
        <v>0</v>
      </c>
      <c r="G679">
        <v>114.2</v>
      </c>
      <c r="H679">
        <v>4000</v>
      </c>
      <c r="I679">
        <v>4897.3</v>
      </c>
      <c r="J679">
        <v>1</v>
      </c>
      <c r="K679">
        <f>J679+energy_grid_portfolio_dataset!G679</f>
        <v>115.2</v>
      </c>
      <c r="L679">
        <f>HOUR(energy_timestamp[[#This Row],[timestamp]])</f>
        <v>5</v>
      </c>
    </row>
    <row r="680" spans="1:12" x14ac:dyDescent="0.3">
      <c r="A680" s="12" t="s">
        <v>49</v>
      </c>
      <c r="B680" s="12" t="s">
        <v>12</v>
      </c>
      <c r="C680">
        <v>19.2</v>
      </c>
      <c r="D680">
        <v>71</v>
      </c>
      <c r="E680">
        <v>0</v>
      </c>
      <c r="F680">
        <v>192.2</v>
      </c>
      <c r="G680">
        <v>0</v>
      </c>
      <c r="H680">
        <v>4000</v>
      </c>
      <c r="I680">
        <v>5025</v>
      </c>
      <c r="J680">
        <v>1</v>
      </c>
      <c r="K680">
        <f>J680+energy_grid_portfolio_dataset!G680</f>
        <v>1</v>
      </c>
      <c r="L680">
        <f>HOUR(energy_timestamp[[#This Row],[timestamp]])</f>
        <v>6</v>
      </c>
    </row>
    <row r="681" spans="1:12" x14ac:dyDescent="0.3">
      <c r="A681" s="12" t="s">
        <v>50</v>
      </c>
      <c r="B681" s="12" t="s">
        <v>12</v>
      </c>
      <c r="C681">
        <v>25.1</v>
      </c>
      <c r="D681">
        <v>42.2</v>
      </c>
      <c r="E681">
        <v>6.4</v>
      </c>
      <c r="F681">
        <v>574.6</v>
      </c>
      <c r="G681">
        <v>24.8</v>
      </c>
      <c r="H681">
        <v>4000</v>
      </c>
      <c r="I681">
        <v>5043.8</v>
      </c>
      <c r="J681">
        <v>1</v>
      </c>
      <c r="K681">
        <f>J681+energy_grid_portfolio_dataset!G681</f>
        <v>25.8</v>
      </c>
      <c r="L681">
        <f>HOUR(energy_timestamp[[#This Row],[timestamp]])</f>
        <v>7</v>
      </c>
    </row>
    <row r="682" spans="1:12" x14ac:dyDescent="0.3">
      <c r="A682" s="12" t="s">
        <v>51</v>
      </c>
      <c r="B682" s="12" t="s">
        <v>12</v>
      </c>
      <c r="C682">
        <v>23.5</v>
      </c>
      <c r="D682">
        <v>28.2</v>
      </c>
      <c r="E682">
        <v>10.4</v>
      </c>
      <c r="F682">
        <v>965.3</v>
      </c>
      <c r="G682">
        <v>109.4</v>
      </c>
      <c r="H682">
        <v>4000</v>
      </c>
      <c r="I682">
        <v>5243.1</v>
      </c>
      <c r="J682">
        <v>1</v>
      </c>
      <c r="K682">
        <f>J682+energy_grid_portfolio_dataset!G682</f>
        <v>110.4</v>
      </c>
      <c r="L682">
        <f>HOUR(energy_timestamp[[#This Row],[timestamp]])</f>
        <v>8</v>
      </c>
    </row>
    <row r="683" spans="1:12" x14ac:dyDescent="0.3">
      <c r="A683" s="12" t="s">
        <v>52</v>
      </c>
      <c r="B683" s="12" t="s">
        <v>12</v>
      </c>
      <c r="C683">
        <v>25.5</v>
      </c>
      <c r="D683">
        <v>90.3</v>
      </c>
      <c r="E683">
        <v>10</v>
      </c>
      <c r="F683">
        <v>433.5</v>
      </c>
      <c r="G683">
        <v>96.7</v>
      </c>
      <c r="H683">
        <v>4000</v>
      </c>
      <c r="I683">
        <v>5244.4</v>
      </c>
      <c r="J683">
        <v>1</v>
      </c>
      <c r="K683">
        <f>J683+energy_grid_portfolio_dataset!G683</f>
        <v>97.7</v>
      </c>
      <c r="L683">
        <f>HOUR(energy_timestamp[[#This Row],[timestamp]])</f>
        <v>9</v>
      </c>
    </row>
    <row r="684" spans="1:12" x14ac:dyDescent="0.3">
      <c r="A684" s="12" t="s">
        <v>53</v>
      </c>
      <c r="B684" s="12" t="s">
        <v>12</v>
      </c>
      <c r="C684">
        <v>25.4</v>
      </c>
      <c r="D684">
        <v>96.9</v>
      </c>
      <c r="E684">
        <v>11.1</v>
      </c>
      <c r="F684">
        <v>404.7</v>
      </c>
      <c r="G684">
        <v>129.69999999999999</v>
      </c>
      <c r="H684">
        <v>4000</v>
      </c>
      <c r="I684">
        <v>7038.6</v>
      </c>
      <c r="J684">
        <v>1</v>
      </c>
      <c r="K684">
        <f>J684+energy_grid_portfolio_dataset!G684</f>
        <v>130.69999999999999</v>
      </c>
      <c r="L684">
        <f>HOUR(energy_timestamp[[#This Row],[timestamp]])</f>
        <v>10</v>
      </c>
    </row>
    <row r="685" spans="1:12" x14ac:dyDescent="0.3">
      <c r="A685" s="12" t="s">
        <v>54</v>
      </c>
      <c r="B685" s="12" t="s">
        <v>12</v>
      </c>
      <c r="C685">
        <v>25.1</v>
      </c>
      <c r="D685">
        <v>100</v>
      </c>
      <c r="E685">
        <v>4.4000000000000004</v>
      </c>
      <c r="F685">
        <v>390</v>
      </c>
      <c r="G685">
        <v>8.1999999999999993</v>
      </c>
      <c r="H685">
        <v>4000</v>
      </c>
      <c r="I685">
        <v>7234.4</v>
      </c>
      <c r="J685">
        <v>1</v>
      </c>
      <c r="K685">
        <f>J685+energy_grid_portfolio_dataset!G685</f>
        <v>9.1999999999999993</v>
      </c>
      <c r="L685">
        <f>HOUR(energy_timestamp[[#This Row],[timestamp]])</f>
        <v>11</v>
      </c>
    </row>
    <row r="686" spans="1:12" x14ac:dyDescent="0.3">
      <c r="A686" s="12" t="s">
        <v>55</v>
      </c>
      <c r="B686" s="12" t="s">
        <v>12</v>
      </c>
      <c r="C686">
        <v>27.7</v>
      </c>
      <c r="D686">
        <v>100</v>
      </c>
      <c r="E686">
        <v>8.6</v>
      </c>
      <c r="F686">
        <v>400</v>
      </c>
      <c r="G686">
        <v>60.3</v>
      </c>
      <c r="H686">
        <v>4000</v>
      </c>
      <c r="I686">
        <v>7099.7</v>
      </c>
      <c r="J686">
        <v>1</v>
      </c>
      <c r="K686">
        <f>J686+energy_grid_portfolio_dataset!G686</f>
        <v>61.3</v>
      </c>
      <c r="L686">
        <f>HOUR(energy_timestamp[[#This Row],[timestamp]])</f>
        <v>12</v>
      </c>
    </row>
    <row r="687" spans="1:12" x14ac:dyDescent="0.3">
      <c r="A687" s="12" t="s">
        <v>56</v>
      </c>
      <c r="B687" s="12" t="s">
        <v>12</v>
      </c>
      <c r="C687">
        <v>27.8</v>
      </c>
      <c r="D687">
        <v>61.3</v>
      </c>
      <c r="E687">
        <v>7.7</v>
      </c>
      <c r="F687">
        <v>993.6</v>
      </c>
      <c r="G687">
        <v>43.4</v>
      </c>
      <c r="H687">
        <v>4000</v>
      </c>
      <c r="I687">
        <v>7212.2</v>
      </c>
      <c r="J687">
        <v>1</v>
      </c>
      <c r="K687">
        <f>J687+energy_grid_portfolio_dataset!G687</f>
        <v>44.4</v>
      </c>
      <c r="L687">
        <f>HOUR(energy_timestamp[[#This Row],[timestamp]])</f>
        <v>13</v>
      </c>
    </row>
    <row r="688" spans="1:12" x14ac:dyDescent="0.3">
      <c r="A688" s="12" t="s">
        <v>57</v>
      </c>
      <c r="B688" s="12" t="s">
        <v>12</v>
      </c>
      <c r="C688">
        <v>25.7</v>
      </c>
      <c r="D688">
        <v>67.2</v>
      </c>
      <c r="E688">
        <v>2.5</v>
      </c>
      <c r="F688">
        <v>832.6</v>
      </c>
      <c r="G688">
        <v>1.6</v>
      </c>
      <c r="H688">
        <v>4000</v>
      </c>
      <c r="I688">
        <v>6770.6</v>
      </c>
      <c r="J688">
        <v>1</v>
      </c>
      <c r="K688">
        <f>J688+energy_grid_portfolio_dataset!G688</f>
        <v>2.6</v>
      </c>
      <c r="L688">
        <f>HOUR(energy_timestamp[[#This Row],[timestamp]])</f>
        <v>14</v>
      </c>
    </row>
    <row r="689" spans="1:12" x14ac:dyDescent="0.3">
      <c r="A689" s="12" t="s">
        <v>58</v>
      </c>
      <c r="B689" s="12" t="s">
        <v>12</v>
      </c>
      <c r="C689">
        <v>25.1</v>
      </c>
      <c r="D689">
        <v>100</v>
      </c>
      <c r="E689">
        <v>10.7</v>
      </c>
      <c r="F689">
        <v>312.7</v>
      </c>
      <c r="G689">
        <v>118.2</v>
      </c>
      <c r="H689">
        <v>4000</v>
      </c>
      <c r="I689">
        <v>5007.8999999999996</v>
      </c>
      <c r="J689">
        <v>1</v>
      </c>
      <c r="K689">
        <f>J689+energy_grid_portfolio_dataset!G689</f>
        <v>119.2</v>
      </c>
      <c r="L689">
        <f>HOUR(energy_timestamp[[#This Row],[timestamp]])</f>
        <v>15</v>
      </c>
    </row>
    <row r="690" spans="1:12" x14ac:dyDescent="0.3">
      <c r="A690" s="12" t="s">
        <v>59</v>
      </c>
      <c r="B690" s="12" t="s">
        <v>12</v>
      </c>
      <c r="C690">
        <v>24.2</v>
      </c>
      <c r="D690">
        <v>57.8</v>
      </c>
      <c r="E690">
        <v>4.5999999999999996</v>
      </c>
      <c r="F690">
        <v>670.6</v>
      </c>
      <c r="G690">
        <v>9.6</v>
      </c>
      <c r="H690">
        <v>4000</v>
      </c>
      <c r="I690">
        <v>4880.1000000000004</v>
      </c>
      <c r="J690">
        <v>1</v>
      </c>
      <c r="K690">
        <f>J690+energy_grid_portfolio_dataset!G690</f>
        <v>10.6</v>
      </c>
      <c r="L690">
        <f>HOUR(energy_timestamp[[#This Row],[timestamp]])</f>
        <v>16</v>
      </c>
    </row>
    <row r="691" spans="1:12" x14ac:dyDescent="0.3">
      <c r="A691" s="12" t="s">
        <v>60</v>
      </c>
      <c r="B691" s="12" t="s">
        <v>12</v>
      </c>
      <c r="C691">
        <v>21.8</v>
      </c>
      <c r="D691">
        <v>26.1</v>
      </c>
      <c r="E691">
        <v>7.9</v>
      </c>
      <c r="F691">
        <v>686.7</v>
      </c>
      <c r="G691">
        <v>46.8</v>
      </c>
      <c r="H691">
        <v>4000</v>
      </c>
      <c r="I691">
        <v>4979.3</v>
      </c>
      <c r="J691">
        <v>1</v>
      </c>
      <c r="K691">
        <f>J691+energy_grid_portfolio_dataset!G691</f>
        <v>47.8</v>
      </c>
      <c r="L691">
        <f>HOUR(energy_timestamp[[#This Row],[timestamp]])</f>
        <v>17</v>
      </c>
    </row>
    <row r="692" spans="1:12" x14ac:dyDescent="0.3">
      <c r="A692" s="12" t="s">
        <v>61</v>
      </c>
      <c r="B692" s="12" t="s">
        <v>12</v>
      </c>
      <c r="C692">
        <v>20.399999999999999</v>
      </c>
      <c r="D692">
        <v>86.9</v>
      </c>
      <c r="E692">
        <v>4.0999999999999996</v>
      </c>
      <c r="F692">
        <v>135.80000000000001</v>
      </c>
      <c r="G692">
        <v>6.6</v>
      </c>
      <c r="H692">
        <v>4000</v>
      </c>
      <c r="I692">
        <v>7794.4</v>
      </c>
      <c r="J692">
        <v>1</v>
      </c>
      <c r="K692">
        <f>J692+energy_grid_portfolio_dataset!G692</f>
        <v>7.6</v>
      </c>
      <c r="L692">
        <f>HOUR(energy_timestamp[[#This Row],[timestamp]])</f>
        <v>18</v>
      </c>
    </row>
    <row r="693" spans="1:12" x14ac:dyDescent="0.3">
      <c r="A693" s="12" t="s">
        <v>62</v>
      </c>
      <c r="B693" s="12" t="s">
        <v>12</v>
      </c>
      <c r="C693">
        <v>22.3</v>
      </c>
      <c r="D693">
        <v>59</v>
      </c>
      <c r="E693">
        <v>7.4</v>
      </c>
      <c r="F693">
        <v>0</v>
      </c>
      <c r="G693">
        <v>38.299999999999997</v>
      </c>
      <c r="H693">
        <v>4000</v>
      </c>
      <c r="I693">
        <v>7738</v>
      </c>
      <c r="J693">
        <v>1</v>
      </c>
      <c r="K693">
        <f>J693+energy_grid_portfolio_dataset!G693</f>
        <v>39.299999999999997</v>
      </c>
      <c r="L693">
        <f>HOUR(energy_timestamp[[#This Row],[timestamp]])</f>
        <v>19</v>
      </c>
    </row>
    <row r="694" spans="1:12" x14ac:dyDescent="0.3">
      <c r="A694" s="12" t="s">
        <v>63</v>
      </c>
      <c r="B694" s="12" t="s">
        <v>12</v>
      </c>
      <c r="C694">
        <v>19.100000000000001</v>
      </c>
      <c r="D694">
        <v>53.8</v>
      </c>
      <c r="E694">
        <v>3.8</v>
      </c>
      <c r="F694">
        <v>0</v>
      </c>
      <c r="G694">
        <v>5.0999999999999996</v>
      </c>
      <c r="H694">
        <v>4000</v>
      </c>
      <c r="I694">
        <v>7622.5</v>
      </c>
      <c r="J694">
        <v>1</v>
      </c>
      <c r="K694">
        <f>J694+energy_grid_portfolio_dataset!G694</f>
        <v>6.1</v>
      </c>
      <c r="L694">
        <f>HOUR(energy_timestamp[[#This Row],[timestamp]])</f>
        <v>20</v>
      </c>
    </row>
    <row r="695" spans="1:12" x14ac:dyDescent="0.3">
      <c r="A695" s="12" t="s">
        <v>64</v>
      </c>
      <c r="B695" s="12" t="s">
        <v>12</v>
      </c>
      <c r="C695">
        <v>15.4</v>
      </c>
      <c r="D695">
        <v>45.3</v>
      </c>
      <c r="E695">
        <v>5.0999999999999996</v>
      </c>
      <c r="F695">
        <v>0</v>
      </c>
      <c r="G695">
        <v>13.1</v>
      </c>
      <c r="H695">
        <v>4000</v>
      </c>
      <c r="I695">
        <v>7673.5</v>
      </c>
      <c r="J695">
        <v>1</v>
      </c>
      <c r="K695">
        <f>J695+energy_grid_portfolio_dataset!G695</f>
        <v>14.1</v>
      </c>
      <c r="L695">
        <f>HOUR(energy_timestamp[[#This Row],[timestamp]])</f>
        <v>21</v>
      </c>
    </row>
    <row r="696" spans="1:12" x14ac:dyDescent="0.3">
      <c r="A696" s="12" t="s">
        <v>65</v>
      </c>
      <c r="B696" s="12" t="s">
        <v>12</v>
      </c>
      <c r="C696">
        <v>17.2</v>
      </c>
      <c r="D696">
        <v>58.1</v>
      </c>
      <c r="E696">
        <v>7.4</v>
      </c>
      <c r="F696">
        <v>0</v>
      </c>
      <c r="G696">
        <v>39.5</v>
      </c>
      <c r="H696">
        <v>4000</v>
      </c>
      <c r="I696">
        <v>4911.6000000000004</v>
      </c>
      <c r="J696">
        <v>1</v>
      </c>
      <c r="K696">
        <f>J696+energy_grid_portfolio_dataset!G696</f>
        <v>40.5</v>
      </c>
      <c r="L696">
        <f>HOUR(energy_timestamp[[#This Row],[timestamp]])</f>
        <v>22</v>
      </c>
    </row>
    <row r="697" spans="1:12" x14ac:dyDescent="0.3">
      <c r="A697" s="12" t="s">
        <v>66</v>
      </c>
      <c r="B697" s="12" t="s">
        <v>12</v>
      </c>
      <c r="C697">
        <v>15.9</v>
      </c>
      <c r="D697">
        <v>23.9</v>
      </c>
      <c r="E697">
        <v>2.9</v>
      </c>
      <c r="F697">
        <v>0</v>
      </c>
      <c r="G697">
        <v>2.2999999999999998</v>
      </c>
      <c r="H697">
        <v>4000</v>
      </c>
      <c r="I697">
        <v>5081.2</v>
      </c>
      <c r="J697">
        <v>1</v>
      </c>
      <c r="K697">
        <f>J697+energy_grid_portfolio_dataset!G697</f>
        <v>3.3</v>
      </c>
      <c r="L697">
        <f>HOUR(energy_timestamp[[#This Row],[timestamp]])</f>
        <v>23</v>
      </c>
    </row>
    <row r="698" spans="1:12" x14ac:dyDescent="0.3">
      <c r="A698" s="12" t="s">
        <v>67</v>
      </c>
      <c r="B698" s="12" t="s">
        <v>12</v>
      </c>
      <c r="C698">
        <v>16.3</v>
      </c>
      <c r="D698">
        <v>36.9</v>
      </c>
      <c r="E698">
        <v>2.1</v>
      </c>
      <c r="F698">
        <v>0</v>
      </c>
      <c r="G698">
        <v>0.9</v>
      </c>
      <c r="H698">
        <v>4000</v>
      </c>
      <c r="I698">
        <v>4876.8999999999996</v>
      </c>
      <c r="J698">
        <v>1</v>
      </c>
      <c r="K698">
        <f>J698+energy_grid_portfolio_dataset!G698</f>
        <v>1.9</v>
      </c>
      <c r="L698">
        <f>HOUR(energy_timestamp[[#This Row],[timestamp]])</f>
        <v>0</v>
      </c>
    </row>
    <row r="699" spans="1:12" x14ac:dyDescent="0.3">
      <c r="A699" s="12" t="s">
        <v>68</v>
      </c>
      <c r="B699" s="12" t="s">
        <v>12</v>
      </c>
      <c r="C699">
        <v>17.5</v>
      </c>
      <c r="D699">
        <v>77.900000000000006</v>
      </c>
      <c r="E699">
        <v>4.3</v>
      </c>
      <c r="F699">
        <v>0</v>
      </c>
      <c r="G699">
        <v>7.8</v>
      </c>
      <c r="H699">
        <v>4000</v>
      </c>
      <c r="I699">
        <v>4881.6000000000004</v>
      </c>
      <c r="J699">
        <v>1</v>
      </c>
      <c r="K699">
        <f>J699+energy_grid_portfolio_dataset!G699</f>
        <v>8.8000000000000007</v>
      </c>
      <c r="L699">
        <f>HOUR(energy_timestamp[[#This Row],[timestamp]])</f>
        <v>1</v>
      </c>
    </row>
    <row r="700" spans="1:12" x14ac:dyDescent="0.3">
      <c r="A700" s="12" t="s">
        <v>69</v>
      </c>
      <c r="B700" s="12" t="s">
        <v>12</v>
      </c>
      <c r="C700">
        <v>15.8</v>
      </c>
      <c r="D700">
        <v>59.1</v>
      </c>
      <c r="E700">
        <v>3.5</v>
      </c>
      <c r="F700">
        <v>0</v>
      </c>
      <c r="G700">
        <v>4</v>
      </c>
      <c r="H700">
        <v>4000</v>
      </c>
      <c r="I700">
        <v>4888.1000000000004</v>
      </c>
      <c r="J700">
        <v>1</v>
      </c>
      <c r="K700">
        <f>J700+energy_grid_portfolio_dataset!G700</f>
        <v>5</v>
      </c>
      <c r="L700">
        <f>HOUR(energy_timestamp[[#This Row],[timestamp]])</f>
        <v>2</v>
      </c>
    </row>
    <row r="701" spans="1:12" x14ac:dyDescent="0.3">
      <c r="A701" s="12" t="s">
        <v>70</v>
      </c>
      <c r="B701" s="12" t="s">
        <v>12</v>
      </c>
      <c r="C701">
        <v>14.9</v>
      </c>
      <c r="D701">
        <v>49.2</v>
      </c>
      <c r="E701">
        <v>6.9</v>
      </c>
      <c r="F701">
        <v>0</v>
      </c>
      <c r="G701">
        <v>31.6</v>
      </c>
      <c r="H701">
        <v>4000</v>
      </c>
      <c r="I701">
        <v>5036</v>
      </c>
      <c r="J701">
        <v>1</v>
      </c>
      <c r="K701">
        <f>J701+energy_grid_portfolio_dataset!G701</f>
        <v>32.6</v>
      </c>
      <c r="L701">
        <f>HOUR(energy_timestamp[[#This Row],[timestamp]])</f>
        <v>3</v>
      </c>
    </row>
    <row r="702" spans="1:12" x14ac:dyDescent="0.3">
      <c r="A702" s="12" t="s">
        <v>71</v>
      </c>
      <c r="B702" s="12" t="s">
        <v>12</v>
      </c>
      <c r="C702">
        <v>24.9</v>
      </c>
      <c r="D702">
        <v>70.5</v>
      </c>
      <c r="E702">
        <v>3</v>
      </c>
      <c r="F702">
        <v>0</v>
      </c>
      <c r="G702">
        <v>2.6</v>
      </c>
      <c r="H702">
        <v>4000</v>
      </c>
      <c r="I702">
        <v>4977.6000000000004</v>
      </c>
      <c r="J702">
        <v>1</v>
      </c>
      <c r="K702">
        <f>J702+energy_grid_portfolio_dataset!G702</f>
        <v>3.6</v>
      </c>
      <c r="L702">
        <f>HOUR(energy_timestamp[[#This Row],[timestamp]])</f>
        <v>4</v>
      </c>
    </row>
    <row r="703" spans="1:12" x14ac:dyDescent="0.3">
      <c r="A703" s="12" t="s">
        <v>72</v>
      </c>
      <c r="B703" s="12" t="s">
        <v>12</v>
      </c>
      <c r="C703">
        <v>17.2</v>
      </c>
      <c r="D703">
        <v>57.6</v>
      </c>
      <c r="E703">
        <v>3.5</v>
      </c>
      <c r="F703">
        <v>0</v>
      </c>
      <c r="G703">
        <v>4.0999999999999996</v>
      </c>
      <c r="H703">
        <v>4000</v>
      </c>
      <c r="I703">
        <v>4935.7</v>
      </c>
      <c r="J703">
        <v>1</v>
      </c>
      <c r="K703">
        <f>J703+energy_grid_portfolio_dataset!G703</f>
        <v>5.0999999999999996</v>
      </c>
      <c r="L703">
        <f>HOUR(energy_timestamp[[#This Row],[timestamp]])</f>
        <v>5</v>
      </c>
    </row>
    <row r="704" spans="1:12" x14ac:dyDescent="0.3">
      <c r="A704" s="12" t="s">
        <v>73</v>
      </c>
      <c r="B704" s="12" t="s">
        <v>12</v>
      </c>
      <c r="C704">
        <v>20.9</v>
      </c>
      <c r="D704">
        <v>56.5</v>
      </c>
      <c r="E704">
        <v>4.0999999999999996</v>
      </c>
      <c r="F704">
        <v>243.9</v>
      </c>
      <c r="G704">
        <v>6.6</v>
      </c>
      <c r="H704">
        <v>4000</v>
      </c>
      <c r="I704">
        <v>5087.3</v>
      </c>
      <c r="J704">
        <v>1</v>
      </c>
      <c r="K704">
        <f>J704+energy_grid_portfolio_dataset!G704</f>
        <v>7.6</v>
      </c>
      <c r="L704">
        <f>HOUR(energy_timestamp[[#This Row],[timestamp]])</f>
        <v>6</v>
      </c>
    </row>
    <row r="705" spans="1:12" x14ac:dyDescent="0.3">
      <c r="A705" s="12" t="s">
        <v>74</v>
      </c>
      <c r="B705" s="12" t="s">
        <v>12</v>
      </c>
      <c r="C705">
        <v>22.7</v>
      </c>
      <c r="D705">
        <v>100</v>
      </c>
      <c r="E705">
        <v>8.4</v>
      </c>
      <c r="F705">
        <v>173.6</v>
      </c>
      <c r="G705">
        <v>57.8</v>
      </c>
      <c r="H705">
        <v>4000</v>
      </c>
      <c r="I705">
        <v>5210.8</v>
      </c>
      <c r="J705">
        <v>1</v>
      </c>
      <c r="K705">
        <f>J705+energy_grid_portfolio_dataset!G705</f>
        <v>58.8</v>
      </c>
      <c r="L705">
        <f>HOUR(energy_timestamp[[#This Row],[timestamp]])</f>
        <v>7</v>
      </c>
    </row>
    <row r="706" spans="1:12" x14ac:dyDescent="0.3">
      <c r="A706" s="12" t="s">
        <v>75</v>
      </c>
      <c r="B706" s="12" t="s">
        <v>12</v>
      </c>
      <c r="C706">
        <v>25.2</v>
      </c>
      <c r="D706">
        <v>71.8</v>
      </c>
      <c r="E706">
        <v>0.2</v>
      </c>
      <c r="F706">
        <v>530.6</v>
      </c>
      <c r="G706">
        <v>0</v>
      </c>
      <c r="H706">
        <v>4000</v>
      </c>
      <c r="I706">
        <v>5022.3</v>
      </c>
      <c r="J706">
        <v>1</v>
      </c>
      <c r="K706">
        <f>J706+energy_grid_portfolio_dataset!G706</f>
        <v>1</v>
      </c>
      <c r="L706">
        <f>HOUR(energy_timestamp[[#This Row],[timestamp]])</f>
        <v>8</v>
      </c>
    </row>
    <row r="707" spans="1:12" x14ac:dyDescent="0.3">
      <c r="A707" s="12" t="s">
        <v>76</v>
      </c>
      <c r="B707" s="12" t="s">
        <v>12</v>
      </c>
      <c r="C707">
        <v>27.2</v>
      </c>
      <c r="D707">
        <v>58.5</v>
      </c>
      <c r="E707">
        <v>1.8</v>
      </c>
      <c r="F707">
        <v>831.5</v>
      </c>
      <c r="G707">
        <v>0.5</v>
      </c>
      <c r="H707">
        <v>4000</v>
      </c>
      <c r="I707">
        <v>4908.2</v>
      </c>
      <c r="J707">
        <v>1</v>
      </c>
      <c r="K707">
        <f>J707+energy_grid_portfolio_dataset!G707</f>
        <v>1.5</v>
      </c>
      <c r="L707">
        <f>HOUR(energy_timestamp[[#This Row],[timestamp]])</f>
        <v>9</v>
      </c>
    </row>
    <row r="708" spans="1:12" x14ac:dyDescent="0.3">
      <c r="A708" s="12" t="s">
        <v>77</v>
      </c>
      <c r="B708" s="12" t="s">
        <v>12</v>
      </c>
      <c r="C708">
        <v>29.7</v>
      </c>
      <c r="D708">
        <v>97.4</v>
      </c>
      <c r="E708">
        <v>5.8</v>
      </c>
      <c r="F708">
        <v>397.8</v>
      </c>
      <c r="G708">
        <v>18.899999999999999</v>
      </c>
      <c r="H708">
        <v>4000</v>
      </c>
      <c r="I708">
        <v>7142.1</v>
      </c>
      <c r="J708">
        <v>1</v>
      </c>
      <c r="K708">
        <f>J708+energy_grid_portfolio_dataset!G708</f>
        <v>19.899999999999999</v>
      </c>
      <c r="L708">
        <f>HOUR(energy_timestamp[[#This Row],[timestamp]])</f>
        <v>10</v>
      </c>
    </row>
    <row r="709" spans="1:12" x14ac:dyDescent="0.3">
      <c r="A709" s="12" t="s">
        <v>78</v>
      </c>
      <c r="B709" s="12" t="s">
        <v>12</v>
      </c>
      <c r="C709">
        <v>26.1</v>
      </c>
      <c r="D709">
        <v>8.9</v>
      </c>
      <c r="E709">
        <v>3.2</v>
      </c>
      <c r="F709">
        <v>1811.3</v>
      </c>
      <c r="G709">
        <v>3.2</v>
      </c>
      <c r="H709">
        <v>4000</v>
      </c>
      <c r="I709">
        <v>7292.7</v>
      </c>
      <c r="J709">
        <v>1</v>
      </c>
      <c r="K709">
        <f>J709+energy_grid_portfolio_dataset!G709</f>
        <v>4.2</v>
      </c>
      <c r="L709">
        <f>HOUR(energy_timestamp[[#This Row],[timestamp]])</f>
        <v>11</v>
      </c>
    </row>
    <row r="710" spans="1:12" x14ac:dyDescent="0.3">
      <c r="A710" s="12" t="s">
        <v>79</v>
      </c>
      <c r="B710" s="12" t="s">
        <v>12</v>
      </c>
      <c r="C710">
        <v>26.5</v>
      </c>
      <c r="D710">
        <v>52.7</v>
      </c>
      <c r="E710">
        <v>5.0999999999999996</v>
      </c>
      <c r="F710">
        <v>1156.8</v>
      </c>
      <c r="G710">
        <v>12.7</v>
      </c>
      <c r="H710">
        <v>4000</v>
      </c>
      <c r="I710">
        <v>7384.4</v>
      </c>
      <c r="J710">
        <v>1</v>
      </c>
      <c r="K710">
        <f>J710+energy_grid_portfolio_dataset!G710</f>
        <v>13.7</v>
      </c>
      <c r="L710">
        <f>HOUR(energy_timestamp[[#This Row],[timestamp]])</f>
        <v>12</v>
      </c>
    </row>
    <row r="711" spans="1:12" x14ac:dyDescent="0.3">
      <c r="A711" s="12" t="s">
        <v>80</v>
      </c>
      <c r="B711" s="12" t="s">
        <v>12</v>
      </c>
      <c r="C711">
        <v>30.1</v>
      </c>
      <c r="D711">
        <v>100</v>
      </c>
      <c r="E711">
        <v>5.5</v>
      </c>
      <c r="F711">
        <v>390</v>
      </c>
      <c r="G711">
        <v>16.2</v>
      </c>
      <c r="H711">
        <v>4000</v>
      </c>
      <c r="I711">
        <v>7435.6</v>
      </c>
      <c r="J711">
        <v>1</v>
      </c>
      <c r="K711">
        <f>J711+energy_grid_portfolio_dataset!G711</f>
        <v>17.2</v>
      </c>
      <c r="L711">
        <f>HOUR(energy_timestamp[[#This Row],[timestamp]])</f>
        <v>13</v>
      </c>
    </row>
    <row r="712" spans="1:12" x14ac:dyDescent="0.3">
      <c r="A712" s="12" t="s">
        <v>81</v>
      </c>
      <c r="B712" s="12" t="s">
        <v>12</v>
      </c>
      <c r="C712">
        <v>23.3</v>
      </c>
      <c r="D712">
        <v>100</v>
      </c>
      <c r="E712">
        <v>2.5</v>
      </c>
      <c r="F712">
        <v>360.4</v>
      </c>
      <c r="G712">
        <v>1.5</v>
      </c>
      <c r="H712">
        <v>4000</v>
      </c>
      <c r="I712">
        <v>7194.3</v>
      </c>
      <c r="J712">
        <v>1</v>
      </c>
      <c r="K712">
        <f>J712+energy_grid_portfolio_dataset!G712</f>
        <v>2.5</v>
      </c>
      <c r="L712">
        <f>HOUR(energy_timestamp[[#This Row],[timestamp]])</f>
        <v>14</v>
      </c>
    </row>
    <row r="713" spans="1:12" x14ac:dyDescent="0.3">
      <c r="A713" s="12" t="s">
        <v>82</v>
      </c>
      <c r="B713" s="12" t="s">
        <v>12</v>
      </c>
      <c r="C713">
        <v>23.3</v>
      </c>
      <c r="D713">
        <v>42.3</v>
      </c>
      <c r="E713">
        <v>3.5</v>
      </c>
      <c r="F713">
        <v>1034.0999999999999</v>
      </c>
      <c r="G713">
        <v>4.0999999999999996</v>
      </c>
      <c r="H713">
        <v>3944.3</v>
      </c>
      <c r="I713">
        <v>4982.5</v>
      </c>
      <c r="J713">
        <v>0</v>
      </c>
      <c r="K713">
        <f>J713+energy_grid_portfolio_dataset!G713</f>
        <v>4.0999999999999996</v>
      </c>
      <c r="L713">
        <f>HOUR(energy_timestamp[[#This Row],[timestamp]])</f>
        <v>15</v>
      </c>
    </row>
    <row r="714" spans="1:12" x14ac:dyDescent="0.3">
      <c r="A714" s="12" t="s">
        <v>83</v>
      </c>
      <c r="B714" s="12" t="s">
        <v>12</v>
      </c>
      <c r="C714">
        <v>23.4</v>
      </c>
      <c r="D714">
        <v>43.6</v>
      </c>
      <c r="E714">
        <v>8.5</v>
      </c>
      <c r="F714">
        <v>812.5</v>
      </c>
      <c r="G714">
        <v>59</v>
      </c>
      <c r="H714">
        <v>3987.3</v>
      </c>
      <c r="I714">
        <v>4858.8</v>
      </c>
      <c r="J714">
        <v>0</v>
      </c>
      <c r="K714">
        <f>J714+energy_grid_portfolio_dataset!G714</f>
        <v>59</v>
      </c>
      <c r="L714">
        <f>HOUR(energy_timestamp[[#This Row],[timestamp]])</f>
        <v>16</v>
      </c>
    </row>
    <row r="715" spans="1:12" x14ac:dyDescent="0.3">
      <c r="A715" s="12" t="s">
        <v>84</v>
      </c>
      <c r="B715" s="12" t="s">
        <v>12</v>
      </c>
      <c r="C715">
        <v>23.7</v>
      </c>
      <c r="D715">
        <v>96.5</v>
      </c>
      <c r="E715">
        <v>4.5</v>
      </c>
      <c r="F715">
        <v>197.6</v>
      </c>
      <c r="G715">
        <v>8.5</v>
      </c>
      <c r="H715">
        <v>4000</v>
      </c>
      <c r="I715">
        <v>4784.3</v>
      </c>
      <c r="J715">
        <v>1</v>
      </c>
      <c r="K715">
        <f>J715+energy_grid_portfolio_dataset!G715</f>
        <v>9.5</v>
      </c>
      <c r="L715">
        <f>HOUR(energy_timestamp[[#This Row],[timestamp]])</f>
        <v>17</v>
      </c>
    </row>
    <row r="716" spans="1:12" x14ac:dyDescent="0.3">
      <c r="A716" s="12" t="s">
        <v>85</v>
      </c>
      <c r="B716" s="12" t="s">
        <v>12</v>
      </c>
      <c r="C716">
        <v>21.5</v>
      </c>
      <c r="D716">
        <v>95.4</v>
      </c>
      <c r="E716">
        <v>6.6</v>
      </c>
      <c r="F716">
        <v>105.4</v>
      </c>
      <c r="G716">
        <v>27.4</v>
      </c>
      <c r="H716">
        <v>4000</v>
      </c>
      <c r="I716">
        <v>7592.3</v>
      </c>
      <c r="J716">
        <v>1</v>
      </c>
      <c r="K716">
        <f>J716+energy_grid_portfolio_dataset!G716</f>
        <v>28.4</v>
      </c>
      <c r="L716">
        <f>HOUR(energy_timestamp[[#This Row],[timestamp]])</f>
        <v>18</v>
      </c>
    </row>
    <row r="717" spans="1:12" x14ac:dyDescent="0.3">
      <c r="A717" s="12" t="s">
        <v>86</v>
      </c>
      <c r="B717" s="12" t="s">
        <v>12</v>
      </c>
      <c r="C717">
        <v>21.7</v>
      </c>
      <c r="D717">
        <v>26.9</v>
      </c>
      <c r="E717">
        <v>8</v>
      </c>
      <c r="F717">
        <v>0</v>
      </c>
      <c r="G717">
        <v>50</v>
      </c>
      <c r="H717">
        <v>4000</v>
      </c>
      <c r="I717">
        <v>7620.3</v>
      </c>
      <c r="J717">
        <v>1</v>
      </c>
      <c r="K717">
        <f>J717+energy_grid_portfolio_dataset!G717</f>
        <v>51</v>
      </c>
      <c r="L717">
        <f>HOUR(energy_timestamp[[#This Row],[timestamp]])</f>
        <v>19</v>
      </c>
    </row>
    <row r="718" spans="1:12" x14ac:dyDescent="0.3">
      <c r="A718" s="12" t="s">
        <v>87</v>
      </c>
      <c r="B718" s="12" t="s">
        <v>12</v>
      </c>
      <c r="C718">
        <v>18.899999999999999</v>
      </c>
      <c r="D718">
        <v>34.799999999999997</v>
      </c>
      <c r="E718">
        <v>3.3</v>
      </c>
      <c r="F718">
        <v>0</v>
      </c>
      <c r="G718">
        <v>3.6</v>
      </c>
      <c r="H718">
        <v>4000</v>
      </c>
      <c r="I718">
        <v>7761.3</v>
      </c>
      <c r="J718">
        <v>1</v>
      </c>
      <c r="K718">
        <f>J718+energy_grid_portfolio_dataset!G718</f>
        <v>4.5999999999999996</v>
      </c>
      <c r="L718">
        <f>HOUR(energy_timestamp[[#This Row],[timestamp]])</f>
        <v>20</v>
      </c>
    </row>
    <row r="719" spans="1:12" x14ac:dyDescent="0.3">
      <c r="A719" s="12" t="s">
        <v>88</v>
      </c>
      <c r="B719" s="12" t="s">
        <v>12</v>
      </c>
      <c r="C719">
        <v>20.9</v>
      </c>
      <c r="D719">
        <v>40.9</v>
      </c>
      <c r="E719">
        <v>7.4</v>
      </c>
      <c r="F719">
        <v>0</v>
      </c>
      <c r="G719">
        <v>38.5</v>
      </c>
      <c r="H719">
        <v>4000</v>
      </c>
      <c r="I719">
        <v>7780.2</v>
      </c>
      <c r="J719">
        <v>1</v>
      </c>
      <c r="K719">
        <f>J719+energy_grid_portfolio_dataset!G719</f>
        <v>39.5</v>
      </c>
      <c r="L719">
        <f>HOUR(energy_timestamp[[#This Row],[timestamp]])</f>
        <v>21</v>
      </c>
    </row>
    <row r="720" spans="1:12" x14ac:dyDescent="0.3">
      <c r="A720" s="12" t="s">
        <v>89</v>
      </c>
      <c r="B720" s="12" t="s">
        <v>12</v>
      </c>
      <c r="C720">
        <v>16.5</v>
      </c>
      <c r="D720">
        <v>59.1</v>
      </c>
      <c r="E720">
        <v>3.3</v>
      </c>
      <c r="F720">
        <v>0</v>
      </c>
      <c r="G720">
        <v>3.4</v>
      </c>
      <c r="H720">
        <v>4000</v>
      </c>
      <c r="I720">
        <v>4636.8999999999996</v>
      </c>
      <c r="J720">
        <v>1</v>
      </c>
      <c r="K720">
        <f>J720+energy_grid_portfolio_dataset!G720</f>
        <v>4.4000000000000004</v>
      </c>
      <c r="L720">
        <f>HOUR(energy_timestamp[[#This Row],[timestamp]])</f>
        <v>22</v>
      </c>
    </row>
    <row r="721" spans="1:12" x14ac:dyDescent="0.3">
      <c r="A721" s="12" t="s">
        <v>90</v>
      </c>
      <c r="B721" s="12" t="s">
        <v>12</v>
      </c>
      <c r="C721">
        <v>15.8</v>
      </c>
      <c r="D721">
        <v>68.8</v>
      </c>
      <c r="E721">
        <v>5.4</v>
      </c>
      <c r="F721">
        <v>0</v>
      </c>
      <c r="G721">
        <v>15.4</v>
      </c>
      <c r="H721">
        <v>4000</v>
      </c>
      <c r="I721">
        <v>4809.5</v>
      </c>
      <c r="J721">
        <v>1</v>
      </c>
      <c r="K721">
        <f>J721+energy_grid_portfolio_dataset!G721</f>
        <v>16.399999999999999</v>
      </c>
      <c r="L721">
        <f>HOUR(energy_timestamp[[#This Row],[timestamp]])</f>
        <v>23</v>
      </c>
    </row>
    <row r="722" spans="1:12" x14ac:dyDescent="0.3">
      <c r="A722" s="12" t="s">
        <v>91</v>
      </c>
      <c r="B722" s="12" t="s">
        <v>12</v>
      </c>
      <c r="C722">
        <v>12.8</v>
      </c>
      <c r="D722">
        <v>41.8</v>
      </c>
      <c r="E722">
        <v>7.4</v>
      </c>
      <c r="F722">
        <v>0</v>
      </c>
      <c r="G722">
        <v>38.5</v>
      </c>
      <c r="H722">
        <v>4000</v>
      </c>
      <c r="I722">
        <v>4614.3</v>
      </c>
      <c r="J722">
        <v>1</v>
      </c>
      <c r="K722">
        <f>J722+energy_grid_portfolio_dataset!G722</f>
        <v>39.5</v>
      </c>
      <c r="L722">
        <f>HOUR(energy_timestamp[[#This Row],[timestamp]])</f>
        <v>0</v>
      </c>
    </row>
    <row r="723" spans="1:12" x14ac:dyDescent="0.3">
      <c r="A723" s="12" t="s">
        <v>92</v>
      </c>
      <c r="B723" s="12" t="s">
        <v>12</v>
      </c>
      <c r="C723">
        <v>16.2</v>
      </c>
      <c r="D723">
        <v>44.2</v>
      </c>
      <c r="E723">
        <v>10.199999999999999</v>
      </c>
      <c r="F723">
        <v>0</v>
      </c>
      <c r="G723">
        <v>100.8</v>
      </c>
      <c r="H723">
        <v>4000</v>
      </c>
      <c r="I723">
        <v>4537.8999999999996</v>
      </c>
      <c r="J723">
        <v>1</v>
      </c>
      <c r="K723">
        <f>J723+energy_grid_portfolio_dataset!G723</f>
        <v>101.8</v>
      </c>
      <c r="L723">
        <f>HOUR(energy_timestamp[[#This Row],[timestamp]])</f>
        <v>1</v>
      </c>
    </row>
    <row r="724" spans="1:12" x14ac:dyDescent="0.3">
      <c r="A724" s="12" t="s">
        <v>93</v>
      </c>
      <c r="B724" s="12" t="s">
        <v>12</v>
      </c>
      <c r="C724">
        <v>18.399999999999999</v>
      </c>
      <c r="D724">
        <v>64.2</v>
      </c>
      <c r="E724">
        <v>0</v>
      </c>
      <c r="F724">
        <v>0</v>
      </c>
      <c r="G724">
        <v>0</v>
      </c>
      <c r="H724">
        <v>4000</v>
      </c>
      <c r="I724">
        <v>4892.2</v>
      </c>
      <c r="J724">
        <v>1</v>
      </c>
      <c r="K724">
        <f>J724+energy_grid_portfolio_dataset!G724</f>
        <v>1</v>
      </c>
      <c r="L724">
        <f>HOUR(energy_timestamp[[#This Row],[timestamp]])</f>
        <v>2</v>
      </c>
    </row>
    <row r="725" spans="1:12" x14ac:dyDescent="0.3">
      <c r="A725" s="12" t="s">
        <v>94</v>
      </c>
      <c r="B725" s="12" t="s">
        <v>12</v>
      </c>
      <c r="C725">
        <v>18.899999999999999</v>
      </c>
      <c r="D725">
        <v>75.2</v>
      </c>
      <c r="E725">
        <v>17.8</v>
      </c>
      <c r="F725">
        <v>0</v>
      </c>
      <c r="G725">
        <v>539.5</v>
      </c>
      <c r="H725">
        <v>4000</v>
      </c>
      <c r="I725">
        <v>5065.2</v>
      </c>
      <c r="J725">
        <v>1</v>
      </c>
      <c r="K725">
        <f>J725+energy_grid_portfolio_dataset!G725</f>
        <v>540.5</v>
      </c>
      <c r="L725">
        <f>HOUR(energy_timestamp[[#This Row],[timestamp]])</f>
        <v>3</v>
      </c>
    </row>
    <row r="726" spans="1:12" x14ac:dyDescent="0.3">
      <c r="A726" s="12" t="s">
        <v>95</v>
      </c>
      <c r="B726" s="12" t="s">
        <v>12</v>
      </c>
      <c r="C726">
        <v>22.9</v>
      </c>
      <c r="D726">
        <v>51.4</v>
      </c>
      <c r="E726">
        <v>6.9</v>
      </c>
      <c r="F726">
        <v>0</v>
      </c>
      <c r="G726">
        <v>31</v>
      </c>
      <c r="H726">
        <v>4000</v>
      </c>
      <c r="I726">
        <v>4637.3999999999996</v>
      </c>
      <c r="J726">
        <v>1</v>
      </c>
      <c r="K726">
        <f>J726+energy_grid_portfolio_dataset!G726</f>
        <v>32</v>
      </c>
      <c r="L726">
        <f>HOUR(energy_timestamp[[#This Row],[timestamp]])</f>
        <v>4</v>
      </c>
    </row>
    <row r="727" spans="1:12" x14ac:dyDescent="0.3">
      <c r="A727" s="12" t="s">
        <v>96</v>
      </c>
      <c r="B727" s="12" t="s">
        <v>12</v>
      </c>
      <c r="C727">
        <v>19.899999999999999</v>
      </c>
      <c r="D727">
        <v>42.9</v>
      </c>
      <c r="E727">
        <v>7</v>
      </c>
      <c r="F727">
        <v>0</v>
      </c>
      <c r="G727">
        <v>32.799999999999997</v>
      </c>
      <c r="H727">
        <v>4000</v>
      </c>
      <c r="I727">
        <v>4943.2</v>
      </c>
      <c r="J727">
        <v>1</v>
      </c>
      <c r="K727">
        <f>J727+energy_grid_portfolio_dataset!G727</f>
        <v>33.799999999999997</v>
      </c>
      <c r="L727">
        <f>HOUR(energy_timestamp[[#This Row],[timestamp]])</f>
        <v>5</v>
      </c>
    </row>
    <row r="728" spans="1:12" x14ac:dyDescent="0.3">
      <c r="A728" s="12" t="s">
        <v>97</v>
      </c>
      <c r="B728" s="12" t="s">
        <v>12</v>
      </c>
      <c r="C728">
        <v>23.5</v>
      </c>
      <c r="D728">
        <v>47.5</v>
      </c>
      <c r="E728">
        <v>2.6</v>
      </c>
      <c r="F728">
        <v>275.89999999999998</v>
      </c>
      <c r="G728">
        <v>1.7</v>
      </c>
      <c r="H728">
        <v>4000</v>
      </c>
      <c r="I728">
        <v>4722.3999999999996</v>
      </c>
      <c r="J728">
        <v>1</v>
      </c>
      <c r="K728">
        <f>J728+energy_grid_portfolio_dataset!G728</f>
        <v>2.7</v>
      </c>
      <c r="L728">
        <f>HOUR(energy_timestamp[[#This Row],[timestamp]])</f>
        <v>6</v>
      </c>
    </row>
    <row r="729" spans="1:12" x14ac:dyDescent="0.3">
      <c r="A729" s="12" t="s">
        <v>98</v>
      </c>
      <c r="B729" s="12" t="s">
        <v>12</v>
      </c>
      <c r="C729">
        <v>25.8</v>
      </c>
      <c r="D729">
        <v>43.9</v>
      </c>
      <c r="E729">
        <v>7.1</v>
      </c>
      <c r="F729">
        <v>562.70000000000005</v>
      </c>
      <c r="G729">
        <v>34</v>
      </c>
      <c r="H729">
        <v>4000</v>
      </c>
      <c r="I729">
        <v>4882.5</v>
      </c>
      <c r="J729">
        <v>1</v>
      </c>
      <c r="K729">
        <f>J729+energy_grid_portfolio_dataset!G729</f>
        <v>35</v>
      </c>
      <c r="L729">
        <f>HOUR(energy_timestamp[[#This Row],[timestamp]])</f>
        <v>7</v>
      </c>
    </row>
    <row r="730" spans="1:12" x14ac:dyDescent="0.3">
      <c r="A730" s="12" t="s">
        <v>99</v>
      </c>
      <c r="B730" s="12" t="s">
        <v>12</v>
      </c>
      <c r="C730">
        <v>26</v>
      </c>
      <c r="D730">
        <v>80.599999999999994</v>
      </c>
      <c r="E730">
        <v>11.5</v>
      </c>
      <c r="F730">
        <v>443.3</v>
      </c>
      <c r="G730">
        <v>147.80000000000001</v>
      </c>
      <c r="H730">
        <v>4000</v>
      </c>
      <c r="I730">
        <v>4840.3999999999996</v>
      </c>
      <c r="J730">
        <v>1</v>
      </c>
      <c r="K730">
        <f>J730+energy_grid_portfolio_dataset!G730</f>
        <v>148.80000000000001</v>
      </c>
      <c r="L730">
        <f>HOUR(energy_timestamp[[#This Row],[timestamp]])</f>
        <v>8</v>
      </c>
    </row>
    <row r="731" spans="1:12" x14ac:dyDescent="0.3">
      <c r="A731" s="12" t="s">
        <v>100</v>
      </c>
      <c r="B731" s="12" t="s">
        <v>12</v>
      </c>
      <c r="C731">
        <v>26.9</v>
      </c>
      <c r="D731">
        <v>62.9</v>
      </c>
      <c r="E731">
        <v>9.9</v>
      </c>
      <c r="F731">
        <v>776.3</v>
      </c>
      <c r="G731">
        <v>92.8</v>
      </c>
      <c r="H731">
        <v>4000</v>
      </c>
      <c r="I731">
        <v>4923.7</v>
      </c>
      <c r="J731">
        <v>1</v>
      </c>
      <c r="K731">
        <f>J731+energy_grid_portfolio_dataset!G731</f>
        <v>93.8</v>
      </c>
      <c r="L731">
        <f>HOUR(energy_timestamp[[#This Row],[timestamp]])</f>
        <v>9</v>
      </c>
    </row>
    <row r="732" spans="1:12" x14ac:dyDescent="0.3">
      <c r="A732" s="12" t="s">
        <v>101</v>
      </c>
      <c r="B732" s="12" t="s">
        <v>12</v>
      </c>
      <c r="C732">
        <v>27.8</v>
      </c>
      <c r="D732">
        <v>54.2</v>
      </c>
      <c r="E732">
        <v>5.8</v>
      </c>
      <c r="F732">
        <v>1021.2</v>
      </c>
      <c r="G732">
        <v>18.8</v>
      </c>
      <c r="H732">
        <v>4000</v>
      </c>
      <c r="I732">
        <v>7042.2</v>
      </c>
      <c r="J732">
        <v>1</v>
      </c>
      <c r="K732">
        <f>J732+energy_grid_portfolio_dataset!G732</f>
        <v>19.8</v>
      </c>
      <c r="L732">
        <f>HOUR(energy_timestamp[[#This Row],[timestamp]])</f>
        <v>10</v>
      </c>
    </row>
    <row r="733" spans="1:12" x14ac:dyDescent="0.3">
      <c r="A733" s="12" t="s">
        <v>102</v>
      </c>
      <c r="B733" s="12" t="s">
        <v>12</v>
      </c>
      <c r="C733">
        <v>27.3</v>
      </c>
      <c r="D733">
        <v>56.5</v>
      </c>
      <c r="E733">
        <v>6.6</v>
      </c>
      <c r="F733">
        <v>1068.3</v>
      </c>
      <c r="G733">
        <v>28.2</v>
      </c>
      <c r="H733">
        <v>4000</v>
      </c>
      <c r="I733">
        <v>7163.8</v>
      </c>
      <c r="J733">
        <v>1</v>
      </c>
      <c r="K733">
        <f>J733+energy_grid_portfolio_dataset!G733</f>
        <v>29.2</v>
      </c>
      <c r="L733">
        <f>HOUR(energy_timestamp[[#This Row],[timestamp]])</f>
        <v>11</v>
      </c>
    </row>
    <row r="734" spans="1:12" x14ac:dyDescent="0.3">
      <c r="A734" s="12" t="s">
        <v>103</v>
      </c>
      <c r="B734" s="12" t="s">
        <v>12</v>
      </c>
      <c r="C734">
        <v>29</v>
      </c>
      <c r="D734">
        <v>86.1</v>
      </c>
      <c r="E734">
        <v>4.5999999999999996</v>
      </c>
      <c r="F734">
        <v>622.79999999999995</v>
      </c>
      <c r="G734">
        <v>9.5</v>
      </c>
      <c r="H734">
        <v>4000</v>
      </c>
      <c r="I734">
        <v>7386.7</v>
      </c>
      <c r="J734">
        <v>1</v>
      </c>
      <c r="K734">
        <f>J734+energy_grid_portfolio_dataset!G734</f>
        <v>10.5</v>
      </c>
      <c r="L734">
        <f>HOUR(energy_timestamp[[#This Row],[timestamp]])</f>
        <v>12</v>
      </c>
    </row>
    <row r="735" spans="1:12" x14ac:dyDescent="0.3">
      <c r="A735" s="12" t="s">
        <v>104</v>
      </c>
      <c r="B735" s="12" t="s">
        <v>12</v>
      </c>
      <c r="C735">
        <v>28.7</v>
      </c>
      <c r="D735">
        <v>86.3</v>
      </c>
      <c r="E735">
        <v>10.4</v>
      </c>
      <c r="F735">
        <v>604</v>
      </c>
      <c r="G735">
        <v>108.5</v>
      </c>
      <c r="H735">
        <v>4000</v>
      </c>
      <c r="I735">
        <v>7016.6</v>
      </c>
      <c r="J735">
        <v>1</v>
      </c>
      <c r="K735">
        <f>J735+energy_grid_portfolio_dataset!G735</f>
        <v>109.5</v>
      </c>
      <c r="L735">
        <f>HOUR(energy_timestamp[[#This Row],[timestamp]])</f>
        <v>13</v>
      </c>
    </row>
    <row r="736" spans="1:12" x14ac:dyDescent="0.3">
      <c r="A736" s="12" t="s">
        <v>105</v>
      </c>
      <c r="B736" s="12" t="s">
        <v>12</v>
      </c>
      <c r="C736">
        <v>25.9</v>
      </c>
      <c r="D736">
        <v>10.8</v>
      </c>
      <c r="E736">
        <v>4.8</v>
      </c>
      <c r="F736">
        <v>1646</v>
      </c>
      <c r="G736">
        <v>10.8</v>
      </c>
      <c r="H736">
        <v>4000</v>
      </c>
      <c r="I736">
        <v>7059.4</v>
      </c>
      <c r="J736">
        <v>1</v>
      </c>
      <c r="K736">
        <f>J736+energy_grid_portfolio_dataset!G736</f>
        <v>11.8</v>
      </c>
      <c r="L736">
        <f>HOUR(energy_timestamp[[#This Row],[timestamp]])</f>
        <v>14</v>
      </c>
    </row>
    <row r="737" spans="1:12" x14ac:dyDescent="0.3">
      <c r="A737" s="12" t="s">
        <v>106</v>
      </c>
      <c r="B737" s="12" t="s">
        <v>12</v>
      </c>
      <c r="C737">
        <v>24.6</v>
      </c>
      <c r="D737">
        <v>79.2</v>
      </c>
      <c r="E737">
        <v>5.4</v>
      </c>
      <c r="F737">
        <v>572.70000000000005</v>
      </c>
      <c r="G737">
        <v>15.4</v>
      </c>
      <c r="H737">
        <v>4000</v>
      </c>
      <c r="I737">
        <v>5099.5</v>
      </c>
      <c r="J737">
        <v>1</v>
      </c>
      <c r="K737">
        <f>J737+energy_grid_portfolio_dataset!G737</f>
        <v>16.399999999999999</v>
      </c>
      <c r="L737">
        <f>HOUR(energy_timestamp[[#This Row],[timestamp]])</f>
        <v>15</v>
      </c>
    </row>
    <row r="738" spans="1:12" x14ac:dyDescent="0.3">
      <c r="A738" s="12" t="s">
        <v>107</v>
      </c>
      <c r="B738" s="12" t="s">
        <v>12</v>
      </c>
      <c r="C738">
        <v>22.2</v>
      </c>
      <c r="D738">
        <v>62.6</v>
      </c>
      <c r="E738">
        <v>0</v>
      </c>
      <c r="F738">
        <v>622.9</v>
      </c>
      <c r="G738">
        <v>0</v>
      </c>
      <c r="H738">
        <v>4000</v>
      </c>
      <c r="I738">
        <v>4998.6000000000004</v>
      </c>
      <c r="J738">
        <v>1</v>
      </c>
      <c r="K738">
        <f>J738+energy_grid_portfolio_dataset!G738</f>
        <v>1</v>
      </c>
      <c r="L738">
        <f>HOUR(energy_timestamp[[#This Row],[timestamp]])</f>
        <v>16</v>
      </c>
    </row>
    <row r="739" spans="1:12" x14ac:dyDescent="0.3">
      <c r="A739" s="12" t="s">
        <v>108</v>
      </c>
      <c r="B739" s="12" t="s">
        <v>12</v>
      </c>
      <c r="C739">
        <v>20</v>
      </c>
      <c r="D739">
        <v>96.2</v>
      </c>
      <c r="E739">
        <v>8.3000000000000007</v>
      </c>
      <c r="F739">
        <v>200.1</v>
      </c>
      <c r="G739">
        <v>55.5</v>
      </c>
      <c r="H739">
        <v>4000</v>
      </c>
      <c r="I739">
        <v>4922</v>
      </c>
      <c r="J739">
        <v>1</v>
      </c>
      <c r="K739">
        <f>J739+energy_grid_portfolio_dataset!G739</f>
        <v>56.5</v>
      </c>
      <c r="L739">
        <f>HOUR(energy_timestamp[[#This Row],[timestamp]])</f>
        <v>17</v>
      </c>
    </row>
    <row r="740" spans="1:12" x14ac:dyDescent="0.3">
      <c r="A740" s="12" t="s">
        <v>109</v>
      </c>
      <c r="B740" s="12" t="s">
        <v>12</v>
      </c>
      <c r="C740">
        <v>25</v>
      </c>
      <c r="D740">
        <v>31.5</v>
      </c>
      <c r="E740">
        <v>11.2</v>
      </c>
      <c r="F740">
        <v>332.8</v>
      </c>
      <c r="G740">
        <v>136.4</v>
      </c>
      <c r="H740">
        <v>4000</v>
      </c>
      <c r="I740">
        <v>7770</v>
      </c>
      <c r="J740">
        <v>1</v>
      </c>
      <c r="K740">
        <f>J740+energy_grid_portfolio_dataset!G740</f>
        <v>137.4</v>
      </c>
      <c r="L740">
        <f>HOUR(energy_timestamp[[#This Row],[timestamp]])</f>
        <v>18</v>
      </c>
    </row>
    <row r="741" spans="1:12" x14ac:dyDescent="0.3">
      <c r="A741" s="12" t="s">
        <v>110</v>
      </c>
      <c r="B741" s="12" t="s">
        <v>12</v>
      </c>
      <c r="C741">
        <v>20.2</v>
      </c>
      <c r="D741">
        <v>94.1</v>
      </c>
      <c r="E741">
        <v>2.7</v>
      </c>
      <c r="F741">
        <v>0</v>
      </c>
      <c r="G741">
        <v>1.9</v>
      </c>
      <c r="H741">
        <v>4000</v>
      </c>
      <c r="I741">
        <v>7839.8</v>
      </c>
      <c r="J741">
        <v>1</v>
      </c>
      <c r="K741">
        <f>J741+energy_grid_portfolio_dataset!G741</f>
        <v>2.9</v>
      </c>
      <c r="L741">
        <f>HOUR(energy_timestamp[[#This Row],[timestamp]])</f>
        <v>19</v>
      </c>
    </row>
    <row r="742" spans="1:12" x14ac:dyDescent="0.3">
      <c r="A742" s="12" t="s">
        <v>111</v>
      </c>
      <c r="B742" s="12" t="s">
        <v>12</v>
      </c>
      <c r="C742">
        <v>18.3</v>
      </c>
      <c r="D742">
        <v>44.1</v>
      </c>
      <c r="E742">
        <v>2.8</v>
      </c>
      <c r="F742">
        <v>0</v>
      </c>
      <c r="G742">
        <v>2.2000000000000002</v>
      </c>
      <c r="H742">
        <v>4000</v>
      </c>
      <c r="I742">
        <v>7576.3</v>
      </c>
      <c r="J742">
        <v>1</v>
      </c>
      <c r="K742">
        <f>J742+energy_grid_portfolio_dataset!G742</f>
        <v>3.2</v>
      </c>
      <c r="L742">
        <f>HOUR(energy_timestamp[[#This Row],[timestamp]])</f>
        <v>20</v>
      </c>
    </row>
    <row r="743" spans="1:12" x14ac:dyDescent="0.3">
      <c r="A743" s="12" t="s">
        <v>112</v>
      </c>
      <c r="B743" s="12" t="s">
        <v>12</v>
      </c>
      <c r="C743">
        <v>17.899999999999999</v>
      </c>
      <c r="D743">
        <v>70.599999999999994</v>
      </c>
      <c r="E743">
        <v>4.3</v>
      </c>
      <c r="F743">
        <v>0</v>
      </c>
      <c r="G743">
        <v>7.6</v>
      </c>
      <c r="H743">
        <v>4000</v>
      </c>
      <c r="I743">
        <v>7883.5</v>
      </c>
      <c r="J743">
        <v>1</v>
      </c>
      <c r="K743">
        <f>J743+energy_grid_portfolio_dataset!G743</f>
        <v>8.6</v>
      </c>
      <c r="L743">
        <f>HOUR(energy_timestamp[[#This Row],[timestamp]])</f>
        <v>21</v>
      </c>
    </row>
    <row r="744" spans="1:12" x14ac:dyDescent="0.3">
      <c r="A744" s="12" t="s">
        <v>113</v>
      </c>
      <c r="B744" s="12" t="s">
        <v>12</v>
      </c>
      <c r="C744">
        <v>18.2</v>
      </c>
      <c r="D744">
        <v>2.6</v>
      </c>
      <c r="E744">
        <v>5.8</v>
      </c>
      <c r="F744">
        <v>0</v>
      </c>
      <c r="G744">
        <v>18.7</v>
      </c>
      <c r="H744">
        <v>4000</v>
      </c>
      <c r="I744">
        <v>4676.8999999999996</v>
      </c>
      <c r="J744">
        <v>1</v>
      </c>
      <c r="K744">
        <f>J744+energy_grid_portfolio_dataset!G744</f>
        <v>19.7</v>
      </c>
      <c r="L744">
        <f>HOUR(energy_timestamp[[#This Row],[timestamp]])</f>
        <v>22</v>
      </c>
    </row>
    <row r="745" spans="1:12" x14ac:dyDescent="0.3">
      <c r="A745" s="12" t="s">
        <v>114</v>
      </c>
      <c r="B745" s="12" t="s">
        <v>12</v>
      </c>
      <c r="C745">
        <v>21.1</v>
      </c>
      <c r="D745">
        <v>87.3</v>
      </c>
      <c r="E745">
        <v>6.3</v>
      </c>
      <c r="F745">
        <v>0</v>
      </c>
      <c r="G745">
        <v>24.2</v>
      </c>
      <c r="H745">
        <v>4000</v>
      </c>
      <c r="I745">
        <v>4744.8</v>
      </c>
      <c r="J745">
        <v>1</v>
      </c>
      <c r="K745">
        <f>J745+energy_grid_portfolio_dataset!G745</f>
        <v>25.2</v>
      </c>
      <c r="L745">
        <f>HOUR(energy_timestamp[[#This Row],[timestamp]])</f>
        <v>23</v>
      </c>
    </row>
    <row r="746" spans="1:12" x14ac:dyDescent="0.3">
      <c r="A746" s="12" t="s">
        <v>115</v>
      </c>
      <c r="B746" s="12" t="s">
        <v>12</v>
      </c>
      <c r="C746">
        <v>15.3</v>
      </c>
      <c r="D746">
        <v>76.3</v>
      </c>
      <c r="E746">
        <v>6.6</v>
      </c>
      <c r="F746">
        <v>0</v>
      </c>
      <c r="G746">
        <v>27.6</v>
      </c>
      <c r="H746">
        <v>4000</v>
      </c>
      <c r="I746">
        <v>5139.6000000000004</v>
      </c>
      <c r="J746">
        <v>1</v>
      </c>
      <c r="K746">
        <f>J746+energy_grid_portfolio_dataset!G746</f>
        <v>28.6</v>
      </c>
      <c r="L746">
        <f>HOUR(energy_timestamp[[#This Row],[timestamp]])</f>
        <v>0</v>
      </c>
    </row>
    <row r="747" spans="1:12" x14ac:dyDescent="0.3">
      <c r="A747" s="12" t="s">
        <v>116</v>
      </c>
      <c r="B747" s="12" t="s">
        <v>12</v>
      </c>
      <c r="C747">
        <v>19.7</v>
      </c>
      <c r="D747">
        <v>82</v>
      </c>
      <c r="E747">
        <v>6.9</v>
      </c>
      <c r="F747">
        <v>0</v>
      </c>
      <c r="G747">
        <v>31.1</v>
      </c>
      <c r="H747">
        <v>4000</v>
      </c>
      <c r="I747">
        <v>4989.6000000000004</v>
      </c>
      <c r="J747">
        <v>1</v>
      </c>
      <c r="K747">
        <f>J747+energy_grid_portfolio_dataset!G747</f>
        <v>32.1</v>
      </c>
      <c r="L747">
        <f>HOUR(energy_timestamp[[#This Row],[timestamp]])</f>
        <v>1</v>
      </c>
    </row>
    <row r="748" spans="1:12" x14ac:dyDescent="0.3">
      <c r="A748" s="12" t="s">
        <v>117</v>
      </c>
      <c r="B748" s="12" t="s">
        <v>12</v>
      </c>
      <c r="C748">
        <v>15.7</v>
      </c>
      <c r="D748">
        <v>56.3</v>
      </c>
      <c r="E748">
        <v>6.3</v>
      </c>
      <c r="F748">
        <v>0</v>
      </c>
      <c r="G748">
        <v>23.8</v>
      </c>
      <c r="H748">
        <v>4000</v>
      </c>
      <c r="I748">
        <v>4701.8</v>
      </c>
      <c r="J748">
        <v>1</v>
      </c>
      <c r="K748">
        <f>J748+energy_grid_portfolio_dataset!G748</f>
        <v>24.8</v>
      </c>
      <c r="L748">
        <f>HOUR(energy_timestamp[[#This Row],[timestamp]])</f>
        <v>2</v>
      </c>
    </row>
    <row r="749" spans="1:12" x14ac:dyDescent="0.3">
      <c r="A749" s="12" t="s">
        <v>118</v>
      </c>
      <c r="B749" s="12" t="s">
        <v>12</v>
      </c>
      <c r="C749">
        <v>23.3</v>
      </c>
      <c r="D749">
        <v>100</v>
      </c>
      <c r="E749">
        <v>7.8</v>
      </c>
      <c r="F749">
        <v>0</v>
      </c>
      <c r="G749">
        <v>45.7</v>
      </c>
      <c r="H749">
        <v>4000</v>
      </c>
      <c r="I749">
        <v>4780.5</v>
      </c>
      <c r="J749">
        <v>1</v>
      </c>
      <c r="K749">
        <f>J749+energy_grid_portfolio_dataset!G749</f>
        <v>46.7</v>
      </c>
      <c r="L749">
        <f>HOUR(energy_timestamp[[#This Row],[timestamp]])</f>
        <v>3</v>
      </c>
    </row>
    <row r="750" spans="1:12" x14ac:dyDescent="0.3">
      <c r="A750" s="12" t="s">
        <v>119</v>
      </c>
      <c r="B750" s="12" t="s">
        <v>12</v>
      </c>
      <c r="C750">
        <v>19.100000000000001</v>
      </c>
      <c r="D750">
        <v>31.4</v>
      </c>
      <c r="E750">
        <v>6.2</v>
      </c>
      <c r="F750">
        <v>0</v>
      </c>
      <c r="G750">
        <v>23.2</v>
      </c>
      <c r="H750">
        <v>4000</v>
      </c>
      <c r="I750">
        <v>4960.8</v>
      </c>
      <c r="J750">
        <v>1</v>
      </c>
      <c r="K750">
        <f>J750+energy_grid_portfolio_dataset!G750</f>
        <v>24.2</v>
      </c>
      <c r="L750">
        <f>HOUR(energy_timestamp[[#This Row],[timestamp]])</f>
        <v>4</v>
      </c>
    </row>
    <row r="751" spans="1:12" x14ac:dyDescent="0.3">
      <c r="A751" s="12" t="s">
        <v>120</v>
      </c>
      <c r="B751" s="12" t="s">
        <v>12</v>
      </c>
      <c r="C751">
        <v>18.2</v>
      </c>
      <c r="D751">
        <v>70</v>
      </c>
      <c r="E751">
        <v>5.5</v>
      </c>
      <c r="F751">
        <v>0</v>
      </c>
      <c r="G751">
        <v>16.3</v>
      </c>
      <c r="H751">
        <v>4000</v>
      </c>
      <c r="I751">
        <v>4988.7</v>
      </c>
      <c r="J751">
        <v>1</v>
      </c>
      <c r="K751">
        <f>J751+energy_grid_portfolio_dataset!G751</f>
        <v>17.3</v>
      </c>
      <c r="L751">
        <f>HOUR(energy_timestamp[[#This Row],[timestamp]])</f>
        <v>5</v>
      </c>
    </row>
    <row r="752" spans="1:12" x14ac:dyDescent="0.3">
      <c r="A752" s="12" t="s">
        <v>121</v>
      </c>
      <c r="B752" s="12" t="s">
        <v>12</v>
      </c>
      <c r="C752">
        <v>20.3</v>
      </c>
      <c r="D752">
        <v>47.6</v>
      </c>
      <c r="E752">
        <v>11.7</v>
      </c>
      <c r="F752">
        <v>275.60000000000002</v>
      </c>
      <c r="G752">
        <v>152.30000000000001</v>
      </c>
      <c r="H752">
        <v>4000</v>
      </c>
      <c r="I752">
        <v>4663.8</v>
      </c>
      <c r="J752">
        <v>1</v>
      </c>
      <c r="K752">
        <f>J752+energy_grid_portfolio_dataset!G752</f>
        <v>153.30000000000001</v>
      </c>
      <c r="L752">
        <f>HOUR(energy_timestamp[[#This Row],[timestamp]])</f>
        <v>6</v>
      </c>
    </row>
    <row r="753" spans="1:12" x14ac:dyDescent="0.3">
      <c r="A753" s="12" t="s">
        <v>122</v>
      </c>
      <c r="B753" s="12" t="s">
        <v>12</v>
      </c>
      <c r="C753">
        <v>20.6</v>
      </c>
      <c r="D753">
        <v>74.599999999999994</v>
      </c>
      <c r="E753">
        <v>1.4</v>
      </c>
      <c r="F753">
        <v>350</v>
      </c>
      <c r="G753">
        <v>0.2</v>
      </c>
      <c r="H753">
        <v>4000</v>
      </c>
      <c r="I753">
        <v>5033.5</v>
      </c>
      <c r="J753">
        <v>1</v>
      </c>
      <c r="K753">
        <f>J753+energy_grid_portfolio_dataset!G753</f>
        <v>1.2</v>
      </c>
      <c r="L753">
        <f>HOUR(energy_timestamp[[#This Row],[timestamp]])</f>
        <v>7</v>
      </c>
    </row>
    <row r="754" spans="1:12" x14ac:dyDescent="0.3">
      <c r="A754" s="12" t="s">
        <v>123</v>
      </c>
      <c r="B754" s="12" t="s">
        <v>12</v>
      </c>
      <c r="C754">
        <v>23.6</v>
      </c>
      <c r="D754">
        <v>57.2</v>
      </c>
      <c r="E754">
        <v>10</v>
      </c>
      <c r="F754">
        <v>676.5</v>
      </c>
      <c r="G754">
        <v>95.4</v>
      </c>
      <c r="H754">
        <v>4000</v>
      </c>
      <c r="I754">
        <v>5112.3999999999996</v>
      </c>
      <c r="J754">
        <v>1</v>
      </c>
      <c r="K754">
        <f>J754+energy_grid_portfolio_dataset!G754</f>
        <v>96.4</v>
      </c>
      <c r="L754">
        <f>HOUR(energy_timestamp[[#This Row],[timestamp]])</f>
        <v>8</v>
      </c>
    </row>
    <row r="755" spans="1:12" x14ac:dyDescent="0.3">
      <c r="A755" s="12" t="s">
        <v>124</v>
      </c>
      <c r="B755" s="12" t="s">
        <v>12</v>
      </c>
      <c r="C755">
        <v>22.7</v>
      </c>
      <c r="D755">
        <v>42.5</v>
      </c>
      <c r="E755">
        <v>9.1</v>
      </c>
      <c r="F755">
        <v>1032.0999999999999</v>
      </c>
      <c r="G755">
        <v>72.7</v>
      </c>
      <c r="H755">
        <v>3652.1</v>
      </c>
      <c r="I755">
        <v>4756.8999999999996</v>
      </c>
      <c r="J755">
        <v>0</v>
      </c>
      <c r="K755">
        <f>J755+energy_grid_portfolio_dataset!G755</f>
        <v>72.7</v>
      </c>
      <c r="L755">
        <f>HOUR(energy_timestamp[[#This Row],[timestamp]])</f>
        <v>9</v>
      </c>
    </row>
    <row r="756" spans="1:12" x14ac:dyDescent="0.3">
      <c r="A756" s="12" t="s">
        <v>125</v>
      </c>
      <c r="B756" s="12" t="s">
        <v>12</v>
      </c>
      <c r="C756">
        <v>20.7</v>
      </c>
      <c r="D756">
        <v>46.5</v>
      </c>
      <c r="E756">
        <v>7.7</v>
      </c>
      <c r="F756">
        <v>1132.0999999999999</v>
      </c>
      <c r="G756">
        <v>43.1</v>
      </c>
      <c r="H756">
        <v>4000</v>
      </c>
      <c r="I756">
        <v>6922.1</v>
      </c>
      <c r="J756">
        <v>1</v>
      </c>
      <c r="K756">
        <f>J756+energy_grid_portfolio_dataset!G756</f>
        <v>44.1</v>
      </c>
      <c r="L756">
        <f>HOUR(energy_timestamp[[#This Row],[timestamp]])</f>
        <v>10</v>
      </c>
    </row>
    <row r="757" spans="1:12" x14ac:dyDescent="0.3">
      <c r="A757" s="12" t="s">
        <v>126</v>
      </c>
      <c r="B757" s="12" t="s">
        <v>12</v>
      </c>
      <c r="C757">
        <v>25.9</v>
      </c>
      <c r="D757">
        <v>47.7</v>
      </c>
      <c r="E757">
        <v>9.5</v>
      </c>
      <c r="F757">
        <v>1206.5</v>
      </c>
      <c r="G757">
        <v>81.3</v>
      </c>
      <c r="H757">
        <v>4000</v>
      </c>
      <c r="I757">
        <v>7330</v>
      </c>
      <c r="J757">
        <v>1</v>
      </c>
      <c r="K757">
        <f>J757+energy_grid_portfolio_dataset!G757</f>
        <v>82.3</v>
      </c>
      <c r="L757">
        <f>HOUR(energy_timestamp[[#This Row],[timestamp]])</f>
        <v>11</v>
      </c>
    </row>
    <row r="758" spans="1:12" x14ac:dyDescent="0.3">
      <c r="A758" s="12" t="s">
        <v>127</v>
      </c>
      <c r="B758" s="12" t="s">
        <v>12</v>
      </c>
      <c r="C758">
        <v>26.2</v>
      </c>
      <c r="D758">
        <v>65.7</v>
      </c>
      <c r="E758">
        <v>7.3</v>
      </c>
      <c r="F758">
        <v>948.6</v>
      </c>
      <c r="G758">
        <v>38.1</v>
      </c>
      <c r="H758">
        <v>4000</v>
      </c>
      <c r="I758">
        <v>6869.5</v>
      </c>
      <c r="J758">
        <v>1</v>
      </c>
      <c r="K758">
        <f>J758+energy_grid_portfolio_dataset!G758</f>
        <v>39.1</v>
      </c>
      <c r="L758">
        <f>HOUR(energy_timestamp[[#This Row],[timestamp]])</f>
        <v>12</v>
      </c>
    </row>
    <row r="759" spans="1:12" x14ac:dyDescent="0.3">
      <c r="A759" s="12" t="s">
        <v>128</v>
      </c>
      <c r="B759" s="12" t="s">
        <v>12</v>
      </c>
      <c r="C759">
        <v>26.9</v>
      </c>
      <c r="D759">
        <v>0</v>
      </c>
      <c r="E759">
        <v>4</v>
      </c>
      <c r="F759">
        <v>1949.9</v>
      </c>
      <c r="G759">
        <v>6.3</v>
      </c>
      <c r="H759">
        <v>4000</v>
      </c>
      <c r="I759">
        <v>7073.5</v>
      </c>
      <c r="J759">
        <v>1</v>
      </c>
      <c r="K759">
        <f>J759+energy_grid_portfolio_dataset!G759</f>
        <v>7.3</v>
      </c>
      <c r="L759">
        <f>HOUR(energy_timestamp[[#This Row],[timestamp]])</f>
        <v>13</v>
      </c>
    </row>
    <row r="760" spans="1:12" x14ac:dyDescent="0.3">
      <c r="A760" s="12" t="s">
        <v>129</v>
      </c>
      <c r="B760" s="12" t="s">
        <v>12</v>
      </c>
      <c r="C760">
        <v>24.4</v>
      </c>
      <c r="D760">
        <v>61.8</v>
      </c>
      <c r="E760">
        <v>7.3</v>
      </c>
      <c r="F760">
        <v>911.5</v>
      </c>
      <c r="G760">
        <v>38</v>
      </c>
      <c r="H760">
        <v>4000</v>
      </c>
      <c r="I760">
        <v>7218</v>
      </c>
      <c r="J760">
        <v>1</v>
      </c>
      <c r="K760">
        <f>J760+energy_grid_portfolio_dataset!G760</f>
        <v>39</v>
      </c>
      <c r="L760">
        <f>HOUR(energy_timestamp[[#This Row],[timestamp]])</f>
        <v>14</v>
      </c>
    </row>
    <row r="761" spans="1:12" x14ac:dyDescent="0.3">
      <c r="A761" s="12" t="s">
        <v>130</v>
      </c>
      <c r="B761" s="12" t="s">
        <v>12</v>
      </c>
      <c r="C761">
        <v>25.9</v>
      </c>
      <c r="D761">
        <v>31.1</v>
      </c>
      <c r="E761">
        <v>5.4</v>
      </c>
      <c r="F761">
        <v>1174.4000000000001</v>
      </c>
      <c r="G761">
        <v>15</v>
      </c>
      <c r="H761">
        <v>3709.2</v>
      </c>
      <c r="I761">
        <v>4898.6000000000004</v>
      </c>
      <c r="J761">
        <v>0</v>
      </c>
      <c r="K761">
        <f>J761+energy_grid_portfolio_dataset!G761</f>
        <v>15</v>
      </c>
      <c r="L761">
        <f>HOUR(energy_timestamp[[#This Row],[timestamp]])</f>
        <v>15</v>
      </c>
    </row>
    <row r="762" spans="1:12" x14ac:dyDescent="0.3">
      <c r="A762" s="12" t="s">
        <v>131</v>
      </c>
      <c r="B762" s="12" t="s">
        <v>12</v>
      </c>
      <c r="C762">
        <v>24.8</v>
      </c>
      <c r="D762">
        <v>42.4</v>
      </c>
      <c r="E762">
        <v>6.7</v>
      </c>
      <c r="F762">
        <v>824</v>
      </c>
      <c r="G762">
        <v>28.5</v>
      </c>
      <c r="H762">
        <v>4000</v>
      </c>
      <c r="I762">
        <v>5041.5</v>
      </c>
      <c r="J762">
        <v>1</v>
      </c>
      <c r="K762">
        <f>J762+energy_grid_portfolio_dataset!G762</f>
        <v>29.5</v>
      </c>
      <c r="L762">
        <f>HOUR(energy_timestamp[[#This Row],[timestamp]])</f>
        <v>16</v>
      </c>
    </row>
    <row r="763" spans="1:12" x14ac:dyDescent="0.3">
      <c r="A763" s="12" t="s">
        <v>132</v>
      </c>
      <c r="B763" s="12" t="s">
        <v>12</v>
      </c>
      <c r="C763">
        <v>19.2</v>
      </c>
      <c r="D763">
        <v>94.8</v>
      </c>
      <c r="E763">
        <v>5</v>
      </c>
      <c r="F763">
        <v>209.8</v>
      </c>
      <c r="G763">
        <v>11.9</v>
      </c>
      <c r="H763">
        <v>4000</v>
      </c>
      <c r="I763">
        <v>5057.2</v>
      </c>
      <c r="J763">
        <v>1</v>
      </c>
      <c r="K763">
        <f>J763+energy_grid_portfolio_dataset!G763</f>
        <v>12.9</v>
      </c>
      <c r="L763">
        <f>HOUR(energy_timestamp[[#This Row],[timestamp]])</f>
        <v>17</v>
      </c>
    </row>
    <row r="764" spans="1:12" x14ac:dyDescent="0.3">
      <c r="A764" s="12" t="s">
        <v>133</v>
      </c>
      <c r="B764" s="12" t="s">
        <v>12</v>
      </c>
      <c r="C764">
        <v>24.4</v>
      </c>
      <c r="D764">
        <v>18.8</v>
      </c>
      <c r="E764">
        <v>3.9</v>
      </c>
      <c r="F764">
        <v>377.9</v>
      </c>
      <c r="G764">
        <v>5.6</v>
      </c>
      <c r="H764">
        <v>4000</v>
      </c>
      <c r="I764">
        <v>7763.8</v>
      </c>
      <c r="J764">
        <v>1</v>
      </c>
      <c r="K764">
        <f>J764+energy_grid_portfolio_dataset!G764</f>
        <v>6.6</v>
      </c>
      <c r="L764">
        <f>HOUR(energy_timestamp[[#This Row],[timestamp]])</f>
        <v>18</v>
      </c>
    </row>
    <row r="765" spans="1:12" x14ac:dyDescent="0.3">
      <c r="A765" s="12" t="s">
        <v>134</v>
      </c>
      <c r="B765" s="12" t="s">
        <v>12</v>
      </c>
      <c r="C765">
        <v>19.100000000000001</v>
      </c>
      <c r="D765">
        <v>100</v>
      </c>
      <c r="E765">
        <v>3.4</v>
      </c>
      <c r="F765">
        <v>0</v>
      </c>
      <c r="G765">
        <v>3.9</v>
      </c>
      <c r="H765">
        <v>4000</v>
      </c>
      <c r="I765">
        <v>7656.7</v>
      </c>
      <c r="J765">
        <v>1</v>
      </c>
      <c r="K765">
        <f>J765+energy_grid_portfolio_dataset!G765</f>
        <v>4.9000000000000004</v>
      </c>
      <c r="L765">
        <f>HOUR(energy_timestamp[[#This Row],[timestamp]])</f>
        <v>19</v>
      </c>
    </row>
    <row r="766" spans="1:12" x14ac:dyDescent="0.3">
      <c r="A766" s="12" t="s">
        <v>135</v>
      </c>
      <c r="B766" s="12" t="s">
        <v>12</v>
      </c>
      <c r="C766">
        <v>19.899999999999999</v>
      </c>
      <c r="D766">
        <v>23.9</v>
      </c>
      <c r="E766">
        <v>4.8</v>
      </c>
      <c r="F766">
        <v>0</v>
      </c>
      <c r="G766">
        <v>10.7</v>
      </c>
      <c r="H766">
        <v>4000</v>
      </c>
      <c r="I766">
        <v>7616.7</v>
      </c>
      <c r="J766">
        <v>1</v>
      </c>
      <c r="K766">
        <f>J766+energy_grid_portfolio_dataset!G766</f>
        <v>11.7</v>
      </c>
      <c r="L766">
        <f>HOUR(energy_timestamp[[#This Row],[timestamp]])</f>
        <v>20</v>
      </c>
    </row>
    <row r="767" spans="1:12" x14ac:dyDescent="0.3">
      <c r="A767" s="12" t="s">
        <v>136</v>
      </c>
      <c r="B767" s="12" t="s">
        <v>12</v>
      </c>
      <c r="C767">
        <v>17.8</v>
      </c>
      <c r="D767">
        <v>57.2</v>
      </c>
      <c r="E767">
        <v>4.4000000000000004</v>
      </c>
      <c r="F767">
        <v>0</v>
      </c>
      <c r="G767">
        <v>8.1999999999999993</v>
      </c>
      <c r="H767">
        <v>4000</v>
      </c>
      <c r="I767">
        <v>7747.6</v>
      </c>
      <c r="J767">
        <v>1</v>
      </c>
      <c r="K767">
        <f>J767+energy_grid_portfolio_dataset!G767</f>
        <v>9.1999999999999993</v>
      </c>
      <c r="L767">
        <f>HOUR(energy_timestamp[[#This Row],[timestamp]])</f>
        <v>21</v>
      </c>
    </row>
    <row r="768" spans="1:12" x14ac:dyDescent="0.3">
      <c r="A768" s="12" t="s">
        <v>137</v>
      </c>
      <c r="B768" s="12" t="s">
        <v>12</v>
      </c>
      <c r="C768">
        <v>18.3</v>
      </c>
      <c r="D768">
        <v>100</v>
      </c>
      <c r="E768">
        <v>6.1</v>
      </c>
      <c r="F768">
        <v>0</v>
      </c>
      <c r="G768">
        <v>21.3</v>
      </c>
      <c r="H768">
        <v>4000</v>
      </c>
      <c r="I768">
        <v>4722.8</v>
      </c>
      <c r="J768">
        <v>1</v>
      </c>
      <c r="K768">
        <f>J768+energy_grid_portfolio_dataset!G768</f>
        <v>22.3</v>
      </c>
      <c r="L768">
        <f>HOUR(energy_timestamp[[#This Row],[timestamp]])</f>
        <v>22</v>
      </c>
    </row>
    <row r="769" spans="1:12" x14ac:dyDescent="0.3">
      <c r="A769" s="12" t="s">
        <v>138</v>
      </c>
      <c r="B769" s="12" t="s">
        <v>12</v>
      </c>
      <c r="C769">
        <v>18.600000000000001</v>
      </c>
      <c r="D769">
        <v>21.9</v>
      </c>
      <c r="E769">
        <v>11.1</v>
      </c>
      <c r="F769">
        <v>0</v>
      </c>
      <c r="G769">
        <v>131.6</v>
      </c>
      <c r="H769">
        <v>4000</v>
      </c>
      <c r="I769">
        <v>4983.8</v>
      </c>
      <c r="J769">
        <v>1</v>
      </c>
      <c r="K769">
        <f>J769+energy_grid_portfolio_dataset!G769</f>
        <v>132.6</v>
      </c>
      <c r="L769">
        <f>HOUR(energy_timestamp[[#This Row],[timestamp]])</f>
        <v>23</v>
      </c>
    </row>
    <row r="770" spans="1:12" x14ac:dyDescent="0.3">
      <c r="A770" s="12" t="s">
        <v>139</v>
      </c>
      <c r="B770" s="12" t="s">
        <v>12</v>
      </c>
      <c r="C770">
        <v>20.3</v>
      </c>
      <c r="D770">
        <v>38</v>
      </c>
      <c r="E770">
        <v>11.5</v>
      </c>
      <c r="F770">
        <v>0</v>
      </c>
      <c r="G770">
        <v>144.30000000000001</v>
      </c>
      <c r="H770">
        <v>4000</v>
      </c>
      <c r="I770">
        <v>4350.3</v>
      </c>
      <c r="J770">
        <v>1</v>
      </c>
      <c r="K770">
        <f>J770+energy_grid_portfolio_dataset!G770</f>
        <v>145.30000000000001</v>
      </c>
      <c r="L770">
        <f>HOUR(energy_timestamp[[#This Row],[timestamp]])</f>
        <v>0</v>
      </c>
    </row>
    <row r="771" spans="1:12" x14ac:dyDescent="0.3">
      <c r="A771" s="12" t="s">
        <v>140</v>
      </c>
      <c r="B771" s="12" t="s">
        <v>12</v>
      </c>
      <c r="C771">
        <v>18.3</v>
      </c>
      <c r="D771">
        <v>67</v>
      </c>
      <c r="E771">
        <v>5.3</v>
      </c>
      <c r="F771">
        <v>0</v>
      </c>
      <c r="G771">
        <v>13.9</v>
      </c>
      <c r="H771">
        <v>4000</v>
      </c>
      <c r="I771">
        <v>4436.3</v>
      </c>
      <c r="J771">
        <v>1</v>
      </c>
      <c r="K771">
        <f>J771+energy_grid_portfolio_dataset!G771</f>
        <v>14.9</v>
      </c>
      <c r="L771">
        <f>HOUR(energy_timestamp[[#This Row],[timestamp]])</f>
        <v>1</v>
      </c>
    </row>
    <row r="772" spans="1:12" x14ac:dyDescent="0.3">
      <c r="A772" s="12" t="s">
        <v>141</v>
      </c>
      <c r="B772" s="12" t="s">
        <v>12</v>
      </c>
      <c r="C772">
        <v>18</v>
      </c>
      <c r="D772">
        <v>1</v>
      </c>
      <c r="E772">
        <v>2.6</v>
      </c>
      <c r="F772">
        <v>0</v>
      </c>
      <c r="G772">
        <v>1.8</v>
      </c>
      <c r="H772">
        <v>4000</v>
      </c>
      <c r="I772">
        <v>4500.1000000000004</v>
      </c>
      <c r="J772">
        <v>1</v>
      </c>
      <c r="K772">
        <f>J772+energy_grid_portfolio_dataset!G772</f>
        <v>2.8</v>
      </c>
      <c r="L772">
        <f>HOUR(energy_timestamp[[#This Row],[timestamp]])</f>
        <v>2</v>
      </c>
    </row>
    <row r="773" spans="1:12" x14ac:dyDescent="0.3">
      <c r="A773" s="12" t="s">
        <v>142</v>
      </c>
      <c r="B773" s="12" t="s">
        <v>12</v>
      </c>
      <c r="C773">
        <v>19.100000000000001</v>
      </c>
      <c r="D773">
        <v>58.3</v>
      </c>
      <c r="E773">
        <v>9.6999999999999993</v>
      </c>
      <c r="F773">
        <v>0</v>
      </c>
      <c r="G773">
        <v>86.5</v>
      </c>
      <c r="H773">
        <v>4000</v>
      </c>
      <c r="I773">
        <v>4292.1000000000004</v>
      </c>
      <c r="J773">
        <v>1</v>
      </c>
      <c r="K773">
        <f>J773+energy_grid_portfolio_dataset!G773</f>
        <v>87.5</v>
      </c>
      <c r="L773">
        <f>HOUR(energy_timestamp[[#This Row],[timestamp]])</f>
        <v>3</v>
      </c>
    </row>
    <row r="774" spans="1:12" x14ac:dyDescent="0.3">
      <c r="A774" s="12" t="s">
        <v>143</v>
      </c>
      <c r="B774" s="12" t="s">
        <v>12</v>
      </c>
      <c r="C774">
        <v>19.8</v>
      </c>
      <c r="D774">
        <v>5.5</v>
      </c>
      <c r="E774">
        <v>8.3000000000000007</v>
      </c>
      <c r="F774">
        <v>0</v>
      </c>
      <c r="G774">
        <v>54.5</v>
      </c>
      <c r="H774">
        <v>3972.8</v>
      </c>
      <c r="I774">
        <v>4027.3</v>
      </c>
      <c r="J774">
        <v>0</v>
      </c>
      <c r="K774">
        <f>J774+energy_grid_portfolio_dataset!G774</f>
        <v>54.5</v>
      </c>
      <c r="L774">
        <f>HOUR(energy_timestamp[[#This Row],[timestamp]])</f>
        <v>4</v>
      </c>
    </row>
    <row r="775" spans="1:12" x14ac:dyDescent="0.3">
      <c r="A775" s="12" t="s">
        <v>144</v>
      </c>
      <c r="B775" s="12" t="s">
        <v>12</v>
      </c>
      <c r="C775">
        <v>21.5</v>
      </c>
      <c r="D775">
        <v>34.1</v>
      </c>
      <c r="E775">
        <v>9.8000000000000007</v>
      </c>
      <c r="F775">
        <v>0</v>
      </c>
      <c r="G775">
        <v>91.4</v>
      </c>
      <c r="H775">
        <v>4000</v>
      </c>
      <c r="I775">
        <v>4305.8</v>
      </c>
      <c r="J775">
        <v>1</v>
      </c>
      <c r="K775">
        <f>J775+energy_grid_portfolio_dataset!G775</f>
        <v>92.4</v>
      </c>
      <c r="L775">
        <f>HOUR(energy_timestamp[[#This Row],[timestamp]])</f>
        <v>5</v>
      </c>
    </row>
    <row r="776" spans="1:12" x14ac:dyDescent="0.3">
      <c r="A776" s="12" t="s">
        <v>145</v>
      </c>
      <c r="B776" s="12" t="s">
        <v>12</v>
      </c>
      <c r="C776">
        <v>23.2</v>
      </c>
      <c r="D776">
        <v>56.1</v>
      </c>
      <c r="E776">
        <v>7.7</v>
      </c>
      <c r="F776">
        <v>245.3</v>
      </c>
      <c r="G776">
        <v>44.5</v>
      </c>
      <c r="H776">
        <v>4000</v>
      </c>
      <c r="I776">
        <v>4476.3</v>
      </c>
      <c r="J776">
        <v>1</v>
      </c>
      <c r="K776">
        <f>J776+energy_grid_portfolio_dataset!G776</f>
        <v>45.5</v>
      </c>
      <c r="L776">
        <f>HOUR(energy_timestamp[[#This Row],[timestamp]])</f>
        <v>6</v>
      </c>
    </row>
    <row r="777" spans="1:12" x14ac:dyDescent="0.3">
      <c r="A777" s="12" t="s">
        <v>146</v>
      </c>
      <c r="B777" s="12" t="s">
        <v>12</v>
      </c>
      <c r="C777">
        <v>25</v>
      </c>
      <c r="D777">
        <v>100</v>
      </c>
      <c r="E777">
        <v>9.1999999999999993</v>
      </c>
      <c r="F777">
        <v>173.6</v>
      </c>
      <c r="G777">
        <v>75</v>
      </c>
      <c r="H777">
        <v>3965.4</v>
      </c>
      <c r="I777">
        <v>4214</v>
      </c>
      <c r="J777">
        <v>0</v>
      </c>
      <c r="K777">
        <f>J777+energy_grid_portfolio_dataset!G777</f>
        <v>75</v>
      </c>
      <c r="L777">
        <f>HOUR(energy_timestamp[[#This Row],[timestamp]])</f>
        <v>7</v>
      </c>
    </row>
    <row r="778" spans="1:12" x14ac:dyDescent="0.3">
      <c r="A778" s="12" t="s">
        <v>147</v>
      </c>
      <c r="B778" s="12" t="s">
        <v>12</v>
      </c>
      <c r="C778">
        <v>25.2</v>
      </c>
      <c r="D778">
        <v>21.2</v>
      </c>
      <c r="E778">
        <v>7.7</v>
      </c>
      <c r="F778">
        <v>1035.4000000000001</v>
      </c>
      <c r="G778">
        <v>44.1</v>
      </c>
      <c r="H778">
        <v>3131.1</v>
      </c>
      <c r="I778">
        <v>4210.6000000000004</v>
      </c>
      <c r="J778">
        <v>0</v>
      </c>
      <c r="K778">
        <f>J778+energy_grid_portfolio_dataset!G778</f>
        <v>44.1</v>
      </c>
      <c r="L778">
        <f>HOUR(energy_timestamp[[#This Row],[timestamp]])</f>
        <v>8</v>
      </c>
    </row>
    <row r="779" spans="1:12" x14ac:dyDescent="0.3">
      <c r="A779" s="12" t="s">
        <v>148</v>
      </c>
      <c r="B779" s="12" t="s">
        <v>12</v>
      </c>
      <c r="C779">
        <v>21.8</v>
      </c>
      <c r="D779">
        <v>25.1</v>
      </c>
      <c r="E779">
        <v>5.2</v>
      </c>
      <c r="F779">
        <v>1249.0999999999999</v>
      </c>
      <c r="G779">
        <v>13.1</v>
      </c>
      <c r="H779">
        <v>3125.4</v>
      </c>
      <c r="I779">
        <v>4387.6000000000004</v>
      </c>
      <c r="J779">
        <v>0</v>
      </c>
      <c r="K779">
        <f>J779+energy_grid_portfolio_dataset!G779</f>
        <v>13.1</v>
      </c>
      <c r="L779">
        <f>HOUR(energy_timestamp[[#This Row],[timestamp]])</f>
        <v>9</v>
      </c>
    </row>
    <row r="780" spans="1:12" x14ac:dyDescent="0.3">
      <c r="A780" s="12" t="s">
        <v>149</v>
      </c>
      <c r="B780" s="12" t="s">
        <v>12</v>
      </c>
      <c r="C780">
        <v>23.9</v>
      </c>
      <c r="D780">
        <v>71.7</v>
      </c>
      <c r="E780">
        <v>6.8</v>
      </c>
      <c r="F780">
        <v>768.8</v>
      </c>
      <c r="G780">
        <v>29.6</v>
      </c>
      <c r="H780">
        <v>4000</v>
      </c>
      <c r="I780">
        <v>6194.9</v>
      </c>
      <c r="J780">
        <v>1</v>
      </c>
      <c r="K780">
        <f>J780+energy_grid_portfolio_dataset!G780</f>
        <v>30.6</v>
      </c>
      <c r="L780">
        <f>HOUR(energy_timestamp[[#This Row],[timestamp]])</f>
        <v>10</v>
      </c>
    </row>
    <row r="781" spans="1:12" x14ac:dyDescent="0.3">
      <c r="A781" s="12" t="s">
        <v>150</v>
      </c>
      <c r="B781" s="12" t="s">
        <v>12</v>
      </c>
      <c r="C781">
        <v>25.3</v>
      </c>
      <c r="D781">
        <v>91.5</v>
      </c>
      <c r="E781">
        <v>11</v>
      </c>
      <c r="F781">
        <v>523.20000000000005</v>
      </c>
      <c r="G781">
        <v>126.6</v>
      </c>
      <c r="H781">
        <v>4000</v>
      </c>
      <c r="I781">
        <v>6210.9</v>
      </c>
      <c r="J781">
        <v>1</v>
      </c>
      <c r="K781">
        <f>J781+energy_grid_portfolio_dataset!G781</f>
        <v>127.6</v>
      </c>
      <c r="L781">
        <f>HOUR(energy_timestamp[[#This Row],[timestamp]])</f>
        <v>11</v>
      </c>
    </row>
    <row r="782" spans="1:12" x14ac:dyDescent="0.3">
      <c r="A782" s="12" t="s">
        <v>151</v>
      </c>
      <c r="B782" s="12" t="s">
        <v>12</v>
      </c>
      <c r="C782">
        <v>25.8</v>
      </c>
      <c r="D782">
        <v>74.7</v>
      </c>
      <c r="E782">
        <v>4.9000000000000004</v>
      </c>
      <c r="F782">
        <v>804.2</v>
      </c>
      <c r="G782">
        <v>11.5</v>
      </c>
      <c r="H782">
        <v>4000</v>
      </c>
      <c r="I782">
        <v>6167.5</v>
      </c>
      <c r="J782">
        <v>1</v>
      </c>
      <c r="K782">
        <f>J782+energy_grid_portfolio_dataset!G782</f>
        <v>12.5</v>
      </c>
      <c r="L782">
        <f>HOUR(energy_timestamp[[#This Row],[timestamp]])</f>
        <v>12</v>
      </c>
    </row>
    <row r="783" spans="1:12" x14ac:dyDescent="0.3">
      <c r="A783" s="12" t="s">
        <v>152</v>
      </c>
      <c r="B783" s="12" t="s">
        <v>12</v>
      </c>
      <c r="C783">
        <v>28.3</v>
      </c>
      <c r="D783">
        <v>2.7</v>
      </c>
      <c r="E783">
        <v>10</v>
      </c>
      <c r="F783">
        <v>1907.4</v>
      </c>
      <c r="G783">
        <v>94.7</v>
      </c>
      <c r="H783">
        <v>4000</v>
      </c>
      <c r="I783">
        <v>6219.1</v>
      </c>
      <c r="J783">
        <v>1</v>
      </c>
      <c r="K783">
        <f>J783+energy_grid_portfolio_dataset!G783</f>
        <v>95.7</v>
      </c>
      <c r="L783">
        <f>HOUR(energy_timestamp[[#This Row],[timestamp]])</f>
        <v>13</v>
      </c>
    </row>
    <row r="784" spans="1:12" x14ac:dyDescent="0.3">
      <c r="A784" s="12" t="s">
        <v>153</v>
      </c>
      <c r="B784" s="12" t="s">
        <v>12</v>
      </c>
      <c r="C784">
        <v>25.5</v>
      </c>
      <c r="D784">
        <v>57.3</v>
      </c>
      <c r="E784">
        <v>5.9</v>
      </c>
      <c r="F784">
        <v>975.6</v>
      </c>
      <c r="G784">
        <v>19.600000000000001</v>
      </c>
      <c r="H784">
        <v>4000</v>
      </c>
      <c r="I784">
        <v>6250.9</v>
      </c>
      <c r="J784">
        <v>1</v>
      </c>
      <c r="K784">
        <f>J784+energy_grid_portfolio_dataset!G784</f>
        <v>20.6</v>
      </c>
      <c r="L784">
        <f>HOUR(energy_timestamp[[#This Row],[timestamp]])</f>
        <v>14</v>
      </c>
    </row>
    <row r="785" spans="1:12" x14ac:dyDescent="0.3">
      <c r="A785" s="12" t="s">
        <v>154</v>
      </c>
      <c r="B785" s="12" t="s">
        <v>12</v>
      </c>
      <c r="C785">
        <v>28.5</v>
      </c>
      <c r="D785">
        <v>61.2</v>
      </c>
      <c r="E785">
        <v>7.3</v>
      </c>
      <c r="F785">
        <v>797.6</v>
      </c>
      <c r="G785">
        <v>37.799999999999997</v>
      </c>
      <c r="H785">
        <v>3224.9</v>
      </c>
      <c r="I785">
        <v>4060.3</v>
      </c>
      <c r="J785">
        <v>0</v>
      </c>
      <c r="K785">
        <f>J785+energy_grid_portfolio_dataset!G785</f>
        <v>37.799999999999997</v>
      </c>
      <c r="L785">
        <f>HOUR(energy_timestamp[[#This Row],[timestamp]])</f>
        <v>15</v>
      </c>
    </row>
    <row r="786" spans="1:12" x14ac:dyDescent="0.3">
      <c r="A786" s="12" t="s">
        <v>155</v>
      </c>
      <c r="B786" s="12" t="s">
        <v>12</v>
      </c>
      <c r="C786">
        <v>22.5</v>
      </c>
      <c r="D786">
        <v>74.2</v>
      </c>
      <c r="E786">
        <v>5.2</v>
      </c>
      <c r="F786">
        <v>506.7</v>
      </c>
      <c r="G786">
        <v>13.5</v>
      </c>
      <c r="H786">
        <v>3942.5</v>
      </c>
      <c r="I786">
        <v>4462.7</v>
      </c>
      <c r="J786">
        <v>0</v>
      </c>
      <c r="K786">
        <f>J786+energy_grid_portfolio_dataset!G786</f>
        <v>13.5</v>
      </c>
      <c r="L786">
        <f>HOUR(energy_timestamp[[#This Row],[timestamp]])</f>
        <v>16</v>
      </c>
    </row>
    <row r="787" spans="1:12" x14ac:dyDescent="0.3">
      <c r="A787" s="12" t="s">
        <v>156</v>
      </c>
      <c r="B787" s="12" t="s">
        <v>12</v>
      </c>
      <c r="C787">
        <v>19</v>
      </c>
      <c r="D787">
        <v>57</v>
      </c>
      <c r="E787">
        <v>4.2</v>
      </c>
      <c r="F787">
        <v>471.9</v>
      </c>
      <c r="G787">
        <v>7.1</v>
      </c>
      <c r="H787">
        <v>3968</v>
      </c>
      <c r="I787">
        <v>4447</v>
      </c>
      <c r="J787">
        <v>0</v>
      </c>
      <c r="K787">
        <f>J787+energy_grid_portfolio_dataset!G787</f>
        <v>7.1</v>
      </c>
      <c r="L787">
        <f>HOUR(energy_timestamp[[#This Row],[timestamp]])</f>
        <v>17</v>
      </c>
    </row>
    <row r="788" spans="1:12" x14ac:dyDescent="0.3">
      <c r="A788" s="12" t="s">
        <v>157</v>
      </c>
      <c r="B788" s="12" t="s">
        <v>12</v>
      </c>
      <c r="C788">
        <v>22.9</v>
      </c>
      <c r="D788">
        <v>38.799999999999997</v>
      </c>
      <c r="E788">
        <v>3.9</v>
      </c>
      <c r="F788">
        <v>307</v>
      </c>
      <c r="G788">
        <v>5.5</v>
      </c>
      <c r="H788">
        <v>4000</v>
      </c>
      <c r="I788">
        <v>6784.8</v>
      </c>
      <c r="J788">
        <v>1</v>
      </c>
      <c r="K788">
        <f>J788+energy_grid_portfolio_dataset!G788</f>
        <v>6.5</v>
      </c>
      <c r="L788">
        <f>HOUR(energy_timestamp[[#This Row],[timestamp]])</f>
        <v>18</v>
      </c>
    </row>
    <row r="789" spans="1:12" x14ac:dyDescent="0.3">
      <c r="A789" s="12" t="s">
        <v>158</v>
      </c>
      <c r="B789" s="12" t="s">
        <v>12</v>
      </c>
      <c r="C789">
        <v>18.899999999999999</v>
      </c>
      <c r="D789">
        <v>85.3</v>
      </c>
      <c r="E789">
        <v>4.9000000000000004</v>
      </c>
      <c r="F789">
        <v>0</v>
      </c>
      <c r="G789">
        <v>11.2</v>
      </c>
      <c r="H789">
        <v>4000</v>
      </c>
      <c r="I789">
        <v>6703.4</v>
      </c>
      <c r="J789">
        <v>1</v>
      </c>
      <c r="K789">
        <f>J789+energy_grid_portfolio_dataset!G789</f>
        <v>12.2</v>
      </c>
      <c r="L789">
        <f>HOUR(energy_timestamp[[#This Row],[timestamp]])</f>
        <v>19</v>
      </c>
    </row>
    <row r="790" spans="1:12" x14ac:dyDescent="0.3">
      <c r="A790" s="12" t="s">
        <v>159</v>
      </c>
      <c r="B790" s="12" t="s">
        <v>12</v>
      </c>
      <c r="C790">
        <v>18.8</v>
      </c>
      <c r="D790">
        <v>28.8</v>
      </c>
      <c r="E790">
        <v>1.1000000000000001</v>
      </c>
      <c r="F790">
        <v>0</v>
      </c>
      <c r="G790">
        <v>0.1</v>
      </c>
      <c r="H790">
        <v>4000</v>
      </c>
      <c r="I790">
        <v>6284</v>
      </c>
      <c r="J790">
        <v>1</v>
      </c>
      <c r="K790">
        <f>J790+energy_grid_portfolio_dataset!G790</f>
        <v>1.1000000000000001</v>
      </c>
      <c r="L790">
        <f>HOUR(energy_timestamp[[#This Row],[timestamp]])</f>
        <v>20</v>
      </c>
    </row>
    <row r="791" spans="1:12" x14ac:dyDescent="0.3">
      <c r="A791" s="12" t="s">
        <v>160</v>
      </c>
      <c r="B791" s="12" t="s">
        <v>12</v>
      </c>
      <c r="C791">
        <v>18.7</v>
      </c>
      <c r="D791">
        <v>99.9</v>
      </c>
      <c r="E791">
        <v>6.9</v>
      </c>
      <c r="F791">
        <v>0</v>
      </c>
      <c r="G791">
        <v>32.1</v>
      </c>
      <c r="H791">
        <v>4000</v>
      </c>
      <c r="I791">
        <v>6534.4</v>
      </c>
      <c r="J791">
        <v>1</v>
      </c>
      <c r="K791">
        <f>J791+energy_grid_portfolio_dataset!G791</f>
        <v>33.1</v>
      </c>
      <c r="L791">
        <f>HOUR(energy_timestamp[[#This Row],[timestamp]])</f>
        <v>21</v>
      </c>
    </row>
    <row r="792" spans="1:12" x14ac:dyDescent="0.3">
      <c r="A792" s="12" t="s">
        <v>161</v>
      </c>
      <c r="B792" s="12" t="s">
        <v>12</v>
      </c>
      <c r="C792">
        <v>18.600000000000001</v>
      </c>
      <c r="D792">
        <v>46.2</v>
      </c>
      <c r="E792">
        <v>3.9</v>
      </c>
      <c r="F792">
        <v>0</v>
      </c>
      <c r="G792">
        <v>5.8</v>
      </c>
      <c r="H792">
        <v>4000</v>
      </c>
      <c r="I792">
        <v>4229</v>
      </c>
      <c r="J792">
        <v>1</v>
      </c>
      <c r="K792">
        <f>J792+energy_grid_portfolio_dataset!G792</f>
        <v>6.8</v>
      </c>
      <c r="L792">
        <f>HOUR(energy_timestamp[[#This Row],[timestamp]])</f>
        <v>22</v>
      </c>
    </row>
    <row r="793" spans="1:12" x14ac:dyDescent="0.3">
      <c r="A793" s="12" t="s">
        <v>162</v>
      </c>
      <c r="B793" s="12" t="s">
        <v>12</v>
      </c>
      <c r="C793">
        <v>13.7</v>
      </c>
      <c r="D793">
        <v>48.3</v>
      </c>
      <c r="E793">
        <v>6.5</v>
      </c>
      <c r="F793">
        <v>0</v>
      </c>
      <c r="G793">
        <v>26.1</v>
      </c>
      <c r="H793">
        <v>4000</v>
      </c>
      <c r="I793">
        <v>4146.8</v>
      </c>
      <c r="J793">
        <v>1</v>
      </c>
      <c r="K793">
        <f>J793+energy_grid_portfolio_dataset!G793</f>
        <v>27.1</v>
      </c>
      <c r="L793">
        <f>HOUR(energy_timestamp[[#This Row],[timestamp]])</f>
        <v>23</v>
      </c>
    </row>
    <row r="794" spans="1:12" x14ac:dyDescent="0.3">
      <c r="A794" s="12" t="s">
        <v>163</v>
      </c>
      <c r="B794" s="12" t="s">
        <v>12</v>
      </c>
      <c r="C794">
        <v>16.2</v>
      </c>
      <c r="D794">
        <v>31.6</v>
      </c>
      <c r="E794">
        <v>7.8</v>
      </c>
      <c r="F794">
        <v>0</v>
      </c>
      <c r="G794">
        <v>46</v>
      </c>
      <c r="H794">
        <v>4000</v>
      </c>
      <c r="I794">
        <v>4305.5</v>
      </c>
      <c r="J794">
        <v>1</v>
      </c>
      <c r="K794">
        <f>J794+energy_grid_portfolio_dataset!G794</f>
        <v>47</v>
      </c>
      <c r="L794">
        <f>HOUR(energy_timestamp[[#This Row],[timestamp]])</f>
        <v>0</v>
      </c>
    </row>
    <row r="795" spans="1:12" x14ac:dyDescent="0.3">
      <c r="A795" s="12" t="s">
        <v>164</v>
      </c>
      <c r="B795" s="12" t="s">
        <v>12</v>
      </c>
      <c r="C795">
        <v>18.7</v>
      </c>
      <c r="D795">
        <v>29.9</v>
      </c>
      <c r="E795">
        <v>3.7</v>
      </c>
      <c r="F795">
        <v>0</v>
      </c>
      <c r="G795">
        <v>5</v>
      </c>
      <c r="H795">
        <v>4000</v>
      </c>
      <c r="I795">
        <v>4122.3999999999996</v>
      </c>
      <c r="J795">
        <v>1</v>
      </c>
      <c r="K795">
        <f>J795+energy_grid_portfolio_dataset!G795</f>
        <v>6</v>
      </c>
      <c r="L795">
        <f>HOUR(energy_timestamp[[#This Row],[timestamp]])</f>
        <v>1</v>
      </c>
    </row>
    <row r="796" spans="1:12" x14ac:dyDescent="0.3">
      <c r="A796" s="12" t="s">
        <v>165</v>
      </c>
      <c r="B796" s="12" t="s">
        <v>12</v>
      </c>
      <c r="C796">
        <v>16.7</v>
      </c>
      <c r="D796">
        <v>89.3</v>
      </c>
      <c r="E796">
        <v>7.5</v>
      </c>
      <c r="F796">
        <v>0</v>
      </c>
      <c r="G796">
        <v>41.3</v>
      </c>
      <c r="H796">
        <v>4000</v>
      </c>
      <c r="I796">
        <v>4100</v>
      </c>
      <c r="J796">
        <v>1</v>
      </c>
      <c r="K796">
        <f>J796+energy_grid_portfolio_dataset!G796</f>
        <v>42.3</v>
      </c>
      <c r="L796">
        <f>HOUR(energy_timestamp[[#This Row],[timestamp]])</f>
        <v>2</v>
      </c>
    </row>
    <row r="797" spans="1:12" x14ac:dyDescent="0.3">
      <c r="A797" s="12" t="s">
        <v>166</v>
      </c>
      <c r="B797" s="12" t="s">
        <v>12</v>
      </c>
      <c r="C797">
        <v>19.5</v>
      </c>
      <c r="D797">
        <v>26.9</v>
      </c>
      <c r="E797">
        <v>5</v>
      </c>
      <c r="F797">
        <v>0</v>
      </c>
      <c r="G797">
        <v>12.1</v>
      </c>
      <c r="H797">
        <v>4000</v>
      </c>
      <c r="I797">
        <v>4466.8</v>
      </c>
      <c r="J797">
        <v>1</v>
      </c>
      <c r="K797">
        <f>J797+energy_grid_portfolio_dataset!G797</f>
        <v>13.1</v>
      </c>
      <c r="L797">
        <f>HOUR(energy_timestamp[[#This Row],[timestamp]])</f>
        <v>3</v>
      </c>
    </row>
    <row r="798" spans="1:12" x14ac:dyDescent="0.3">
      <c r="A798" s="12" t="s">
        <v>167</v>
      </c>
      <c r="B798" s="12" t="s">
        <v>12</v>
      </c>
      <c r="C798">
        <v>22.2</v>
      </c>
      <c r="D798">
        <v>24.1</v>
      </c>
      <c r="E798">
        <v>8.6999999999999993</v>
      </c>
      <c r="F798">
        <v>0</v>
      </c>
      <c r="G798">
        <v>62.8</v>
      </c>
      <c r="H798">
        <v>4000</v>
      </c>
      <c r="I798">
        <v>4203</v>
      </c>
      <c r="J798">
        <v>1</v>
      </c>
      <c r="K798">
        <f>J798+energy_grid_portfolio_dataset!G798</f>
        <v>63.8</v>
      </c>
      <c r="L798">
        <f>HOUR(energy_timestamp[[#This Row],[timestamp]])</f>
        <v>4</v>
      </c>
    </row>
    <row r="799" spans="1:12" x14ac:dyDescent="0.3">
      <c r="A799" s="12" t="s">
        <v>168</v>
      </c>
      <c r="B799" s="12" t="s">
        <v>12</v>
      </c>
      <c r="C799">
        <v>24.4</v>
      </c>
      <c r="D799">
        <v>47.7</v>
      </c>
      <c r="E799">
        <v>8.1</v>
      </c>
      <c r="F799">
        <v>0</v>
      </c>
      <c r="G799">
        <v>51.7</v>
      </c>
      <c r="H799">
        <v>4000</v>
      </c>
      <c r="I799">
        <v>4453.8999999999996</v>
      </c>
      <c r="J799">
        <v>1</v>
      </c>
      <c r="K799">
        <f>J799+energy_grid_portfolio_dataset!G799</f>
        <v>52.7</v>
      </c>
      <c r="L799">
        <f>HOUR(energy_timestamp[[#This Row],[timestamp]])</f>
        <v>5</v>
      </c>
    </row>
    <row r="800" spans="1:12" x14ac:dyDescent="0.3">
      <c r="A800" s="12" t="s">
        <v>169</v>
      </c>
      <c r="B800" s="12" t="s">
        <v>12</v>
      </c>
      <c r="C800">
        <v>20.8</v>
      </c>
      <c r="D800">
        <v>13.9</v>
      </c>
      <c r="E800">
        <v>0.4</v>
      </c>
      <c r="F800">
        <v>395.4</v>
      </c>
      <c r="G800">
        <v>0</v>
      </c>
      <c r="H800">
        <v>4000</v>
      </c>
      <c r="I800">
        <v>4662.2</v>
      </c>
      <c r="J800">
        <v>1</v>
      </c>
      <c r="K800">
        <f>J800+energy_grid_portfolio_dataset!G800</f>
        <v>1</v>
      </c>
      <c r="L800">
        <f>HOUR(energy_timestamp[[#This Row],[timestamp]])</f>
        <v>6</v>
      </c>
    </row>
    <row r="801" spans="1:12" x14ac:dyDescent="0.3">
      <c r="A801" s="12" t="s">
        <v>170</v>
      </c>
      <c r="B801" s="12" t="s">
        <v>12</v>
      </c>
      <c r="C801">
        <v>19.5</v>
      </c>
      <c r="D801">
        <v>48.8</v>
      </c>
      <c r="E801">
        <v>7.3</v>
      </c>
      <c r="F801">
        <v>528.79999999999995</v>
      </c>
      <c r="G801">
        <v>37.5</v>
      </c>
      <c r="H801">
        <v>3860.6</v>
      </c>
      <c r="I801">
        <v>4426.8999999999996</v>
      </c>
      <c r="J801">
        <v>0</v>
      </c>
      <c r="K801">
        <f>J801+energy_grid_portfolio_dataset!G801</f>
        <v>37.5</v>
      </c>
      <c r="L801">
        <f>HOUR(energy_timestamp[[#This Row],[timestamp]])</f>
        <v>7</v>
      </c>
    </row>
    <row r="802" spans="1:12" x14ac:dyDescent="0.3">
      <c r="A802" s="12" t="s">
        <v>171</v>
      </c>
      <c r="B802" s="12" t="s">
        <v>12</v>
      </c>
      <c r="C802">
        <v>25.4</v>
      </c>
      <c r="D802">
        <v>66.7</v>
      </c>
      <c r="E802">
        <v>9.8000000000000007</v>
      </c>
      <c r="F802">
        <v>581.9</v>
      </c>
      <c r="G802">
        <v>91.4</v>
      </c>
      <c r="H802">
        <v>3674.5</v>
      </c>
      <c r="I802">
        <v>4347.8</v>
      </c>
      <c r="J802">
        <v>0</v>
      </c>
      <c r="K802">
        <f>J802+energy_grid_portfolio_dataset!G802</f>
        <v>91.4</v>
      </c>
      <c r="L802">
        <f>HOUR(energy_timestamp[[#This Row],[timestamp]])</f>
        <v>8</v>
      </c>
    </row>
    <row r="803" spans="1:12" x14ac:dyDescent="0.3">
      <c r="A803" s="12" t="s">
        <v>172</v>
      </c>
      <c r="B803" s="12" t="s">
        <v>12</v>
      </c>
      <c r="C803">
        <v>24.2</v>
      </c>
      <c r="D803">
        <v>36.799999999999997</v>
      </c>
      <c r="E803">
        <v>8.5</v>
      </c>
      <c r="F803">
        <v>1103.0999999999999</v>
      </c>
      <c r="G803">
        <v>58.8</v>
      </c>
      <c r="H803">
        <v>3015.3</v>
      </c>
      <c r="I803">
        <v>4177.2</v>
      </c>
      <c r="J803">
        <v>0</v>
      </c>
      <c r="K803">
        <f>J803+energy_grid_portfolio_dataset!G803</f>
        <v>58.8</v>
      </c>
      <c r="L803">
        <f>HOUR(energy_timestamp[[#This Row],[timestamp]])</f>
        <v>9</v>
      </c>
    </row>
    <row r="804" spans="1:12" x14ac:dyDescent="0.3">
      <c r="A804" s="12" t="s">
        <v>173</v>
      </c>
      <c r="B804" s="12" t="s">
        <v>12</v>
      </c>
      <c r="C804">
        <v>27.2</v>
      </c>
      <c r="D804">
        <v>95.5</v>
      </c>
      <c r="E804">
        <v>2.5</v>
      </c>
      <c r="F804">
        <v>425.2</v>
      </c>
      <c r="G804">
        <v>1.4</v>
      </c>
      <c r="H804">
        <v>4000</v>
      </c>
      <c r="I804">
        <v>6375.1</v>
      </c>
      <c r="J804">
        <v>1</v>
      </c>
      <c r="K804">
        <f>J804+energy_grid_portfolio_dataset!G804</f>
        <v>2.4</v>
      </c>
      <c r="L804">
        <f>HOUR(energy_timestamp[[#This Row],[timestamp]])</f>
        <v>10</v>
      </c>
    </row>
    <row r="805" spans="1:12" x14ac:dyDescent="0.3">
      <c r="A805" s="12" t="s">
        <v>174</v>
      </c>
      <c r="B805" s="12" t="s">
        <v>12</v>
      </c>
      <c r="C805">
        <v>29.9</v>
      </c>
      <c r="D805">
        <v>82.1</v>
      </c>
      <c r="E805">
        <v>11.3</v>
      </c>
      <c r="F805">
        <v>669.7</v>
      </c>
      <c r="G805">
        <v>140.19999999999999</v>
      </c>
      <c r="H805">
        <v>4000</v>
      </c>
      <c r="I805">
        <v>6490.1</v>
      </c>
      <c r="J805">
        <v>1</v>
      </c>
      <c r="K805">
        <f>J805+energy_grid_portfolio_dataset!G805</f>
        <v>141.19999999999999</v>
      </c>
      <c r="L805">
        <f>HOUR(energy_timestamp[[#This Row],[timestamp]])</f>
        <v>11</v>
      </c>
    </row>
    <row r="806" spans="1:12" x14ac:dyDescent="0.3">
      <c r="A806" s="12" t="s">
        <v>175</v>
      </c>
      <c r="B806" s="12" t="s">
        <v>12</v>
      </c>
      <c r="C806">
        <v>26</v>
      </c>
      <c r="D806">
        <v>37.9</v>
      </c>
      <c r="E806">
        <v>8.1999999999999993</v>
      </c>
      <c r="F806">
        <v>1392.9</v>
      </c>
      <c r="G806">
        <v>52.2</v>
      </c>
      <c r="H806">
        <v>4000</v>
      </c>
      <c r="I806">
        <v>5991.5</v>
      </c>
      <c r="J806">
        <v>1</v>
      </c>
      <c r="K806">
        <f>J806+energy_grid_portfolio_dataset!G806</f>
        <v>53.2</v>
      </c>
      <c r="L806">
        <f>HOUR(energy_timestamp[[#This Row],[timestamp]])</f>
        <v>12</v>
      </c>
    </row>
    <row r="807" spans="1:12" x14ac:dyDescent="0.3">
      <c r="A807" s="12" t="s">
        <v>176</v>
      </c>
      <c r="B807" s="12" t="s">
        <v>12</v>
      </c>
      <c r="C807">
        <v>28.3</v>
      </c>
      <c r="D807">
        <v>100</v>
      </c>
      <c r="E807">
        <v>8.1</v>
      </c>
      <c r="F807">
        <v>390</v>
      </c>
      <c r="G807">
        <v>50.7</v>
      </c>
      <c r="H807">
        <v>4000</v>
      </c>
      <c r="I807">
        <v>6082.5</v>
      </c>
      <c r="J807">
        <v>1</v>
      </c>
      <c r="K807">
        <f>J807+energy_grid_portfolio_dataset!G807</f>
        <v>51.7</v>
      </c>
      <c r="L807">
        <f>HOUR(energy_timestamp[[#This Row],[timestamp]])</f>
        <v>13</v>
      </c>
    </row>
    <row r="808" spans="1:12" x14ac:dyDescent="0.3">
      <c r="A808" s="12" t="s">
        <v>177</v>
      </c>
      <c r="B808" s="12" t="s">
        <v>12</v>
      </c>
      <c r="C808">
        <v>24.4</v>
      </c>
      <c r="D808">
        <v>34.6</v>
      </c>
      <c r="E808">
        <v>9.6999999999999993</v>
      </c>
      <c r="F808">
        <v>1303.2</v>
      </c>
      <c r="G808">
        <v>88.9</v>
      </c>
      <c r="H808">
        <v>4000</v>
      </c>
      <c r="I808">
        <v>6282.6</v>
      </c>
      <c r="J808">
        <v>1</v>
      </c>
      <c r="K808">
        <f>J808+energy_grid_portfolio_dataset!G808</f>
        <v>89.9</v>
      </c>
      <c r="L808">
        <f>HOUR(energy_timestamp[[#This Row],[timestamp]])</f>
        <v>14</v>
      </c>
    </row>
    <row r="809" spans="1:12" x14ac:dyDescent="0.3">
      <c r="A809" s="12" t="s">
        <v>178</v>
      </c>
      <c r="B809" s="12" t="s">
        <v>12</v>
      </c>
      <c r="C809">
        <v>25.5</v>
      </c>
      <c r="D809">
        <v>47.5</v>
      </c>
      <c r="E809">
        <v>0</v>
      </c>
      <c r="F809">
        <v>969.9</v>
      </c>
      <c r="G809">
        <v>0</v>
      </c>
      <c r="H809">
        <v>3467</v>
      </c>
      <c r="I809">
        <v>4436.8999999999996</v>
      </c>
      <c r="J809">
        <v>0</v>
      </c>
      <c r="K809">
        <f>J809+energy_grid_portfolio_dataset!G809</f>
        <v>0</v>
      </c>
      <c r="L809">
        <f>HOUR(energy_timestamp[[#This Row],[timestamp]])</f>
        <v>15</v>
      </c>
    </row>
    <row r="810" spans="1:12" x14ac:dyDescent="0.3">
      <c r="A810" s="12" t="s">
        <v>179</v>
      </c>
      <c r="B810" s="12" t="s">
        <v>12</v>
      </c>
      <c r="C810">
        <v>28.3</v>
      </c>
      <c r="D810">
        <v>21.6</v>
      </c>
      <c r="E810">
        <v>6.6</v>
      </c>
      <c r="F810">
        <v>1031.5999999999999</v>
      </c>
      <c r="G810">
        <v>27.2</v>
      </c>
      <c r="H810">
        <v>3100.6</v>
      </c>
      <c r="I810">
        <v>4159.3999999999996</v>
      </c>
      <c r="J810">
        <v>0</v>
      </c>
      <c r="K810">
        <f>J810+energy_grid_portfolio_dataset!G810</f>
        <v>27.2</v>
      </c>
      <c r="L810">
        <f>HOUR(energy_timestamp[[#This Row],[timestamp]])</f>
        <v>16</v>
      </c>
    </row>
    <row r="811" spans="1:12" x14ac:dyDescent="0.3">
      <c r="A811" s="12" t="s">
        <v>180</v>
      </c>
      <c r="B811" s="12" t="s">
        <v>12</v>
      </c>
      <c r="C811">
        <v>20.8</v>
      </c>
      <c r="D811">
        <v>65.5</v>
      </c>
      <c r="E811">
        <v>8.8000000000000007</v>
      </c>
      <c r="F811">
        <v>412.8</v>
      </c>
      <c r="G811">
        <v>65.7</v>
      </c>
      <c r="H811">
        <v>3992.6</v>
      </c>
      <c r="I811">
        <v>4471.1000000000004</v>
      </c>
      <c r="J811">
        <v>0</v>
      </c>
      <c r="K811">
        <f>J811+energy_grid_portfolio_dataset!G811</f>
        <v>65.7</v>
      </c>
      <c r="L811">
        <f>HOUR(energy_timestamp[[#This Row],[timestamp]])</f>
        <v>17</v>
      </c>
    </row>
    <row r="812" spans="1:12" x14ac:dyDescent="0.3">
      <c r="A812" s="12" t="s">
        <v>181</v>
      </c>
      <c r="B812" s="12" t="s">
        <v>12</v>
      </c>
      <c r="C812">
        <v>27.7</v>
      </c>
      <c r="D812">
        <v>9.9</v>
      </c>
      <c r="E812">
        <v>9.1999999999999993</v>
      </c>
      <c r="F812">
        <v>409.6</v>
      </c>
      <c r="G812">
        <v>74.2</v>
      </c>
      <c r="H812">
        <v>4000</v>
      </c>
      <c r="I812">
        <v>6721.9</v>
      </c>
      <c r="J812">
        <v>1</v>
      </c>
      <c r="K812">
        <f>J812+energy_grid_portfolio_dataset!G812</f>
        <v>75.2</v>
      </c>
      <c r="L812">
        <f>HOUR(energy_timestamp[[#This Row],[timestamp]])</f>
        <v>18</v>
      </c>
    </row>
    <row r="813" spans="1:12" x14ac:dyDescent="0.3">
      <c r="A813" s="12" t="s">
        <v>182</v>
      </c>
      <c r="B813" s="12" t="s">
        <v>12</v>
      </c>
      <c r="C813">
        <v>22.2</v>
      </c>
      <c r="D813">
        <v>73.2</v>
      </c>
      <c r="E813">
        <v>3.8</v>
      </c>
      <c r="F813">
        <v>0</v>
      </c>
      <c r="G813">
        <v>5.3</v>
      </c>
      <c r="H813">
        <v>4000</v>
      </c>
      <c r="I813">
        <v>6694.1</v>
      </c>
      <c r="J813">
        <v>1</v>
      </c>
      <c r="K813">
        <f>J813+energy_grid_portfolio_dataset!G813</f>
        <v>6.3</v>
      </c>
      <c r="L813">
        <f>HOUR(energy_timestamp[[#This Row],[timestamp]])</f>
        <v>19</v>
      </c>
    </row>
    <row r="814" spans="1:12" x14ac:dyDescent="0.3">
      <c r="A814" s="12" t="s">
        <v>183</v>
      </c>
      <c r="B814" s="12" t="s">
        <v>12</v>
      </c>
      <c r="C814">
        <v>15.8</v>
      </c>
      <c r="D814">
        <v>78.099999999999994</v>
      </c>
      <c r="E814">
        <v>6.9</v>
      </c>
      <c r="F814">
        <v>0</v>
      </c>
      <c r="G814">
        <v>31.5</v>
      </c>
      <c r="H814">
        <v>4000</v>
      </c>
      <c r="I814">
        <v>6754.3</v>
      </c>
      <c r="J814">
        <v>1</v>
      </c>
      <c r="K814">
        <f>J814+energy_grid_portfolio_dataset!G814</f>
        <v>32.5</v>
      </c>
      <c r="L814">
        <f>HOUR(energy_timestamp[[#This Row],[timestamp]])</f>
        <v>20</v>
      </c>
    </row>
    <row r="815" spans="1:12" x14ac:dyDescent="0.3">
      <c r="A815" s="12" t="s">
        <v>184</v>
      </c>
      <c r="B815" s="12" t="s">
        <v>12</v>
      </c>
      <c r="C815">
        <v>20.6</v>
      </c>
      <c r="D815">
        <v>71</v>
      </c>
      <c r="E815">
        <v>6.4</v>
      </c>
      <c r="F815">
        <v>0</v>
      </c>
      <c r="G815">
        <v>25.7</v>
      </c>
      <c r="H815">
        <v>4000</v>
      </c>
      <c r="I815">
        <v>6815.8</v>
      </c>
      <c r="J815">
        <v>1</v>
      </c>
      <c r="K815">
        <f>J815+energy_grid_portfolio_dataset!G815</f>
        <v>26.7</v>
      </c>
      <c r="L815">
        <f>HOUR(energy_timestamp[[#This Row],[timestamp]])</f>
        <v>21</v>
      </c>
    </row>
    <row r="816" spans="1:12" x14ac:dyDescent="0.3">
      <c r="A816" s="12" t="s">
        <v>185</v>
      </c>
      <c r="B816" s="12" t="s">
        <v>12</v>
      </c>
      <c r="C816">
        <v>16.2</v>
      </c>
      <c r="D816">
        <v>95.6</v>
      </c>
      <c r="E816">
        <v>10.3</v>
      </c>
      <c r="F816">
        <v>0</v>
      </c>
      <c r="G816">
        <v>105.2</v>
      </c>
      <c r="H816">
        <v>4000</v>
      </c>
      <c r="I816">
        <v>4187.8</v>
      </c>
      <c r="J816">
        <v>1</v>
      </c>
      <c r="K816">
        <f>J816+energy_grid_portfolio_dataset!G816</f>
        <v>106.2</v>
      </c>
      <c r="L816">
        <f>HOUR(energy_timestamp[[#This Row],[timestamp]])</f>
        <v>22</v>
      </c>
    </row>
    <row r="817" spans="1:12" x14ac:dyDescent="0.3">
      <c r="A817" s="12" t="s">
        <v>186</v>
      </c>
      <c r="B817" s="12" t="s">
        <v>12</v>
      </c>
      <c r="C817">
        <v>17.3</v>
      </c>
      <c r="D817">
        <v>32.9</v>
      </c>
      <c r="E817">
        <v>9.5</v>
      </c>
      <c r="F817">
        <v>0</v>
      </c>
      <c r="G817">
        <v>82.8</v>
      </c>
      <c r="H817">
        <v>4000</v>
      </c>
      <c r="I817">
        <v>4284.3</v>
      </c>
      <c r="J817">
        <v>1</v>
      </c>
      <c r="K817">
        <f>J817+energy_grid_portfolio_dataset!G817</f>
        <v>83.8</v>
      </c>
      <c r="L817">
        <f>HOUR(energy_timestamp[[#This Row],[timestamp]])</f>
        <v>23</v>
      </c>
    </row>
    <row r="818" spans="1:12" x14ac:dyDescent="0.3">
      <c r="A818" s="12" t="s">
        <v>187</v>
      </c>
      <c r="B818" s="12" t="s">
        <v>12</v>
      </c>
      <c r="C818">
        <v>20.9</v>
      </c>
      <c r="D818">
        <v>33.700000000000003</v>
      </c>
      <c r="E818">
        <v>4.9000000000000004</v>
      </c>
      <c r="F818">
        <v>0</v>
      </c>
      <c r="G818">
        <v>11.1</v>
      </c>
      <c r="H818">
        <v>4000</v>
      </c>
      <c r="I818">
        <v>5049.8</v>
      </c>
      <c r="J818">
        <v>1</v>
      </c>
      <c r="K818">
        <f>J818+energy_grid_portfolio_dataset!G818</f>
        <v>12.1</v>
      </c>
      <c r="L818">
        <f>HOUR(energy_timestamp[[#This Row],[timestamp]])</f>
        <v>0</v>
      </c>
    </row>
    <row r="819" spans="1:12" x14ac:dyDescent="0.3">
      <c r="A819" s="12" t="s">
        <v>188</v>
      </c>
      <c r="B819" s="12" t="s">
        <v>12</v>
      </c>
      <c r="C819">
        <v>18.5</v>
      </c>
      <c r="D819">
        <v>53.5</v>
      </c>
      <c r="E819">
        <v>3.4</v>
      </c>
      <c r="F819">
        <v>0</v>
      </c>
      <c r="G819">
        <v>3.7</v>
      </c>
      <c r="H819">
        <v>4000</v>
      </c>
      <c r="I819">
        <v>4984.7</v>
      </c>
      <c r="J819">
        <v>1</v>
      </c>
      <c r="K819">
        <f>J819+energy_grid_portfolio_dataset!G819</f>
        <v>4.7</v>
      </c>
      <c r="L819">
        <f>HOUR(energy_timestamp[[#This Row],[timestamp]])</f>
        <v>1</v>
      </c>
    </row>
    <row r="820" spans="1:12" x14ac:dyDescent="0.3">
      <c r="A820" s="12" t="s">
        <v>189</v>
      </c>
      <c r="B820" s="12" t="s">
        <v>12</v>
      </c>
      <c r="C820">
        <v>19.100000000000001</v>
      </c>
      <c r="D820">
        <v>32.5</v>
      </c>
      <c r="E820">
        <v>10.1</v>
      </c>
      <c r="F820">
        <v>0</v>
      </c>
      <c r="G820">
        <v>97.9</v>
      </c>
      <c r="H820">
        <v>4000</v>
      </c>
      <c r="I820">
        <v>5082.2</v>
      </c>
      <c r="J820">
        <v>1</v>
      </c>
      <c r="K820">
        <f>J820+energy_grid_portfolio_dataset!G820</f>
        <v>98.9</v>
      </c>
      <c r="L820">
        <f>HOUR(energy_timestamp[[#This Row],[timestamp]])</f>
        <v>2</v>
      </c>
    </row>
    <row r="821" spans="1:12" x14ac:dyDescent="0.3">
      <c r="A821" s="12" t="s">
        <v>190</v>
      </c>
      <c r="B821" s="12" t="s">
        <v>12</v>
      </c>
      <c r="C821">
        <v>18.7</v>
      </c>
      <c r="D821">
        <v>62.4</v>
      </c>
      <c r="E821">
        <v>7.7</v>
      </c>
      <c r="F821">
        <v>0</v>
      </c>
      <c r="G821">
        <v>43.2</v>
      </c>
      <c r="H821">
        <v>4000</v>
      </c>
      <c r="I821">
        <v>5125.5</v>
      </c>
      <c r="J821">
        <v>1</v>
      </c>
      <c r="K821">
        <f>J821+energy_grid_portfolio_dataset!G821</f>
        <v>44.2</v>
      </c>
      <c r="L821">
        <f>HOUR(energy_timestamp[[#This Row],[timestamp]])</f>
        <v>3</v>
      </c>
    </row>
    <row r="822" spans="1:12" x14ac:dyDescent="0.3">
      <c r="A822" s="12" t="s">
        <v>191</v>
      </c>
      <c r="B822" s="12" t="s">
        <v>12</v>
      </c>
      <c r="C822">
        <v>19.600000000000001</v>
      </c>
      <c r="D822">
        <v>0</v>
      </c>
      <c r="E822">
        <v>8.6</v>
      </c>
      <c r="F822">
        <v>0</v>
      </c>
      <c r="G822">
        <v>61.7</v>
      </c>
      <c r="H822">
        <v>4000</v>
      </c>
      <c r="I822">
        <v>4820.7</v>
      </c>
      <c r="J822">
        <v>1</v>
      </c>
      <c r="K822">
        <f>J822+energy_grid_portfolio_dataset!G822</f>
        <v>62.7</v>
      </c>
      <c r="L822">
        <f>HOUR(energy_timestamp[[#This Row],[timestamp]])</f>
        <v>4</v>
      </c>
    </row>
    <row r="823" spans="1:12" x14ac:dyDescent="0.3">
      <c r="A823" s="12" t="s">
        <v>192</v>
      </c>
      <c r="B823" s="12" t="s">
        <v>12</v>
      </c>
      <c r="C823">
        <v>23.7</v>
      </c>
      <c r="D823">
        <v>50.1</v>
      </c>
      <c r="E823">
        <v>5.4</v>
      </c>
      <c r="F823">
        <v>0</v>
      </c>
      <c r="G823">
        <v>14.8</v>
      </c>
      <c r="H823">
        <v>4000</v>
      </c>
      <c r="I823">
        <v>4715.8</v>
      </c>
      <c r="J823">
        <v>1</v>
      </c>
      <c r="K823">
        <f>J823+energy_grid_portfolio_dataset!G823</f>
        <v>15.8</v>
      </c>
      <c r="L823">
        <f>HOUR(energy_timestamp[[#This Row],[timestamp]])</f>
        <v>5</v>
      </c>
    </row>
    <row r="824" spans="1:12" x14ac:dyDescent="0.3">
      <c r="A824" s="12" t="s">
        <v>193</v>
      </c>
      <c r="B824" s="12" t="s">
        <v>12</v>
      </c>
      <c r="C824">
        <v>21.4</v>
      </c>
      <c r="D824">
        <v>100</v>
      </c>
      <c r="E824">
        <v>0</v>
      </c>
      <c r="F824">
        <v>89</v>
      </c>
      <c r="G824">
        <v>0</v>
      </c>
      <c r="H824">
        <v>4000</v>
      </c>
      <c r="I824">
        <v>4855.8</v>
      </c>
      <c r="J824">
        <v>1</v>
      </c>
      <c r="K824">
        <f>J824+energy_grid_portfolio_dataset!G824</f>
        <v>1</v>
      </c>
      <c r="L824">
        <f>HOUR(energy_timestamp[[#This Row],[timestamp]])</f>
        <v>6</v>
      </c>
    </row>
    <row r="825" spans="1:12" x14ac:dyDescent="0.3">
      <c r="A825" s="12" t="s">
        <v>194</v>
      </c>
      <c r="B825" s="12" t="s">
        <v>12</v>
      </c>
      <c r="C825">
        <v>24</v>
      </c>
      <c r="D825">
        <v>23.8</v>
      </c>
      <c r="E825">
        <v>2.8</v>
      </c>
      <c r="F825">
        <v>702.6</v>
      </c>
      <c r="G825">
        <v>2</v>
      </c>
      <c r="H825">
        <v>4000</v>
      </c>
      <c r="I825">
        <v>5141.5</v>
      </c>
      <c r="J825">
        <v>1</v>
      </c>
      <c r="K825">
        <f>J825+energy_grid_portfolio_dataset!G825</f>
        <v>3</v>
      </c>
      <c r="L825">
        <f>HOUR(energy_timestamp[[#This Row],[timestamp]])</f>
        <v>7</v>
      </c>
    </row>
    <row r="826" spans="1:12" x14ac:dyDescent="0.3">
      <c r="A826" s="12" t="s">
        <v>195</v>
      </c>
      <c r="B826" s="12" t="s">
        <v>12</v>
      </c>
      <c r="C826">
        <v>22.6</v>
      </c>
      <c r="D826">
        <v>25.4</v>
      </c>
      <c r="E826">
        <v>9.4</v>
      </c>
      <c r="F826">
        <v>993.6</v>
      </c>
      <c r="G826">
        <v>80</v>
      </c>
      <c r="H826">
        <v>4000</v>
      </c>
      <c r="I826">
        <v>5201.5</v>
      </c>
      <c r="J826">
        <v>1</v>
      </c>
      <c r="K826">
        <f>J826+energy_grid_portfolio_dataset!G826</f>
        <v>81</v>
      </c>
      <c r="L826">
        <f>HOUR(energy_timestamp[[#This Row],[timestamp]])</f>
        <v>8</v>
      </c>
    </row>
    <row r="827" spans="1:12" x14ac:dyDescent="0.3">
      <c r="A827" s="12" t="s">
        <v>196</v>
      </c>
      <c r="B827" s="12" t="s">
        <v>12</v>
      </c>
      <c r="C827">
        <v>23.7</v>
      </c>
      <c r="D827">
        <v>66.5</v>
      </c>
      <c r="E827">
        <v>2.9</v>
      </c>
      <c r="F827">
        <v>731.8</v>
      </c>
      <c r="G827">
        <v>2.4</v>
      </c>
      <c r="H827">
        <v>4000</v>
      </c>
      <c r="I827">
        <v>5000.8</v>
      </c>
      <c r="J827">
        <v>1</v>
      </c>
      <c r="K827">
        <f>J827+energy_grid_portfolio_dataset!G827</f>
        <v>3.4</v>
      </c>
      <c r="L827">
        <f>HOUR(energy_timestamp[[#This Row],[timestamp]])</f>
        <v>9</v>
      </c>
    </row>
    <row r="828" spans="1:12" x14ac:dyDescent="0.3">
      <c r="A828" s="12" t="s">
        <v>197</v>
      </c>
      <c r="B828" s="12" t="s">
        <v>12</v>
      </c>
      <c r="C828">
        <v>28.5</v>
      </c>
      <c r="D828">
        <v>76</v>
      </c>
      <c r="E828">
        <v>7.1</v>
      </c>
      <c r="F828">
        <v>706.9</v>
      </c>
      <c r="G828">
        <v>34.1</v>
      </c>
      <c r="H828">
        <v>4000</v>
      </c>
      <c r="I828">
        <v>7315.1</v>
      </c>
      <c r="J828">
        <v>1</v>
      </c>
      <c r="K828">
        <f>J828+energy_grid_portfolio_dataset!G828</f>
        <v>35.1</v>
      </c>
      <c r="L828">
        <f>HOUR(energy_timestamp[[#This Row],[timestamp]])</f>
        <v>10</v>
      </c>
    </row>
    <row r="829" spans="1:12" x14ac:dyDescent="0.3">
      <c r="A829" s="12" t="s">
        <v>198</v>
      </c>
      <c r="B829" s="12" t="s">
        <v>12</v>
      </c>
      <c r="C829">
        <v>26.8</v>
      </c>
      <c r="D829">
        <v>24.5</v>
      </c>
      <c r="E829">
        <v>7.3</v>
      </c>
      <c r="F829">
        <v>1567</v>
      </c>
      <c r="G829">
        <v>38.1</v>
      </c>
      <c r="H829">
        <v>4000</v>
      </c>
      <c r="I829">
        <v>7414.2</v>
      </c>
      <c r="J829">
        <v>1</v>
      </c>
      <c r="K829">
        <f>J829+energy_grid_portfolio_dataset!G829</f>
        <v>39.1</v>
      </c>
      <c r="L829">
        <f>HOUR(energy_timestamp[[#This Row],[timestamp]])</f>
        <v>11</v>
      </c>
    </row>
    <row r="830" spans="1:12" x14ac:dyDescent="0.3">
      <c r="A830" s="12" t="s">
        <v>199</v>
      </c>
      <c r="B830" s="12" t="s">
        <v>12</v>
      </c>
      <c r="C830">
        <v>25</v>
      </c>
      <c r="D830">
        <v>49.2</v>
      </c>
      <c r="E830">
        <v>7.2</v>
      </c>
      <c r="F830">
        <v>1213.5</v>
      </c>
      <c r="G830">
        <v>36.6</v>
      </c>
      <c r="H830">
        <v>4000</v>
      </c>
      <c r="I830">
        <v>7462.9</v>
      </c>
      <c r="J830">
        <v>1</v>
      </c>
      <c r="K830">
        <f>J830+energy_grid_portfolio_dataset!G830</f>
        <v>37.6</v>
      </c>
      <c r="L830">
        <f>HOUR(energy_timestamp[[#This Row],[timestamp]])</f>
        <v>12</v>
      </c>
    </row>
    <row r="831" spans="1:12" x14ac:dyDescent="0.3">
      <c r="A831" s="12" t="s">
        <v>200</v>
      </c>
      <c r="B831" s="12" t="s">
        <v>12</v>
      </c>
      <c r="C831">
        <v>24.9</v>
      </c>
      <c r="D831">
        <v>93.7</v>
      </c>
      <c r="E831">
        <v>13</v>
      </c>
      <c r="F831">
        <v>488.9</v>
      </c>
      <c r="G831">
        <v>209</v>
      </c>
      <c r="H831">
        <v>4000</v>
      </c>
      <c r="I831">
        <v>7141.9</v>
      </c>
      <c r="J831">
        <v>1</v>
      </c>
      <c r="K831">
        <f>J831+energy_grid_portfolio_dataset!G831</f>
        <v>210</v>
      </c>
      <c r="L831">
        <f>HOUR(energy_timestamp[[#This Row],[timestamp]])</f>
        <v>13</v>
      </c>
    </row>
    <row r="832" spans="1:12" x14ac:dyDescent="0.3">
      <c r="A832" s="12" t="s">
        <v>201</v>
      </c>
      <c r="B832" s="12" t="s">
        <v>12</v>
      </c>
      <c r="C832">
        <v>24.5</v>
      </c>
      <c r="D832">
        <v>13.5</v>
      </c>
      <c r="E832">
        <v>6.8</v>
      </c>
      <c r="F832">
        <v>1606.9</v>
      </c>
      <c r="G832">
        <v>29.8</v>
      </c>
      <c r="H832">
        <v>4000</v>
      </c>
      <c r="I832">
        <v>7179.4</v>
      </c>
      <c r="J832">
        <v>1</v>
      </c>
      <c r="K832">
        <f>J832+energy_grid_portfolio_dataset!G832</f>
        <v>30.8</v>
      </c>
      <c r="L832">
        <f>HOUR(energy_timestamp[[#This Row],[timestamp]])</f>
        <v>14</v>
      </c>
    </row>
    <row r="833" spans="1:12" x14ac:dyDescent="0.3">
      <c r="A833" s="12" t="s">
        <v>202</v>
      </c>
      <c r="B833" s="12" t="s">
        <v>12</v>
      </c>
      <c r="C833">
        <v>26.5</v>
      </c>
      <c r="D833">
        <v>59.9</v>
      </c>
      <c r="E833">
        <v>4.2</v>
      </c>
      <c r="F833">
        <v>814</v>
      </c>
      <c r="G833">
        <v>7.3</v>
      </c>
      <c r="H833">
        <v>4000</v>
      </c>
      <c r="I833">
        <v>5115.6000000000004</v>
      </c>
      <c r="J833">
        <v>1</v>
      </c>
      <c r="K833">
        <f>J833+energy_grid_portfolio_dataset!G833</f>
        <v>8.3000000000000007</v>
      </c>
      <c r="L833">
        <f>HOUR(energy_timestamp[[#This Row],[timestamp]])</f>
        <v>15</v>
      </c>
    </row>
    <row r="834" spans="1:12" x14ac:dyDescent="0.3">
      <c r="A834" s="12" t="s">
        <v>203</v>
      </c>
      <c r="B834" s="12" t="s">
        <v>12</v>
      </c>
      <c r="C834">
        <v>26.2</v>
      </c>
      <c r="D834">
        <v>87.4</v>
      </c>
      <c r="E834">
        <v>1.4</v>
      </c>
      <c r="F834">
        <v>375</v>
      </c>
      <c r="G834">
        <v>0.2</v>
      </c>
      <c r="H834">
        <v>4000</v>
      </c>
      <c r="I834">
        <v>4786.2</v>
      </c>
      <c r="J834">
        <v>1</v>
      </c>
      <c r="K834">
        <f>J834+energy_grid_portfolio_dataset!G834</f>
        <v>1.2</v>
      </c>
      <c r="L834">
        <f>HOUR(energy_timestamp[[#This Row],[timestamp]])</f>
        <v>16</v>
      </c>
    </row>
    <row r="835" spans="1:12" x14ac:dyDescent="0.3">
      <c r="A835" s="12" t="s">
        <v>204</v>
      </c>
      <c r="B835" s="12" t="s">
        <v>12</v>
      </c>
      <c r="C835">
        <v>24.4</v>
      </c>
      <c r="D835">
        <v>100</v>
      </c>
      <c r="E835">
        <v>2</v>
      </c>
      <c r="F835">
        <v>173.6</v>
      </c>
      <c r="G835">
        <v>0.7</v>
      </c>
      <c r="H835">
        <v>4000</v>
      </c>
      <c r="I835">
        <v>5188.5</v>
      </c>
      <c r="J835">
        <v>1</v>
      </c>
      <c r="K835">
        <f>J835+energy_grid_portfolio_dataset!G835</f>
        <v>1.7</v>
      </c>
      <c r="L835">
        <f>HOUR(energy_timestamp[[#This Row],[timestamp]])</f>
        <v>17</v>
      </c>
    </row>
    <row r="836" spans="1:12" x14ac:dyDescent="0.3">
      <c r="A836" s="12" t="s">
        <v>205</v>
      </c>
      <c r="B836" s="12" t="s">
        <v>12</v>
      </c>
      <c r="C836">
        <v>21.7</v>
      </c>
      <c r="D836">
        <v>75.099999999999994</v>
      </c>
      <c r="E836">
        <v>11.4</v>
      </c>
      <c r="F836">
        <v>177.7</v>
      </c>
      <c r="G836">
        <v>141.80000000000001</v>
      </c>
      <c r="H836">
        <v>4000</v>
      </c>
      <c r="I836">
        <v>7495.1</v>
      </c>
      <c r="J836">
        <v>1</v>
      </c>
      <c r="K836">
        <f>J836+energy_grid_portfolio_dataset!G836</f>
        <v>142.80000000000001</v>
      </c>
      <c r="L836">
        <f>HOUR(energy_timestamp[[#This Row],[timestamp]])</f>
        <v>18</v>
      </c>
    </row>
    <row r="837" spans="1:12" x14ac:dyDescent="0.3">
      <c r="A837" s="12" t="s">
        <v>206</v>
      </c>
      <c r="B837" s="12" t="s">
        <v>12</v>
      </c>
      <c r="C837">
        <v>20.2</v>
      </c>
      <c r="D837">
        <v>29.2</v>
      </c>
      <c r="E837">
        <v>9.6999999999999993</v>
      </c>
      <c r="F837">
        <v>0</v>
      </c>
      <c r="G837">
        <v>87.3</v>
      </c>
      <c r="H837">
        <v>4000</v>
      </c>
      <c r="I837">
        <v>7805.9</v>
      </c>
      <c r="J837">
        <v>1</v>
      </c>
      <c r="K837">
        <f>J837+energy_grid_portfolio_dataset!G837</f>
        <v>88.3</v>
      </c>
      <c r="L837">
        <f>HOUR(energy_timestamp[[#This Row],[timestamp]])</f>
        <v>19</v>
      </c>
    </row>
    <row r="838" spans="1:12" x14ac:dyDescent="0.3">
      <c r="A838" s="12" t="s">
        <v>207</v>
      </c>
      <c r="B838" s="12" t="s">
        <v>12</v>
      </c>
      <c r="C838">
        <v>22.8</v>
      </c>
      <c r="D838">
        <v>51.5</v>
      </c>
      <c r="E838">
        <v>10.8</v>
      </c>
      <c r="F838">
        <v>0</v>
      </c>
      <c r="G838">
        <v>120</v>
      </c>
      <c r="H838">
        <v>4000</v>
      </c>
      <c r="I838">
        <v>7555.3</v>
      </c>
      <c r="J838">
        <v>1</v>
      </c>
      <c r="K838">
        <f>J838+energy_grid_portfolio_dataset!G838</f>
        <v>121</v>
      </c>
      <c r="L838">
        <f>HOUR(energy_timestamp[[#This Row],[timestamp]])</f>
        <v>20</v>
      </c>
    </row>
    <row r="839" spans="1:12" x14ac:dyDescent="0.3">
      <c r="A839" s="12" t="s">
        <v>208</v>
      </c>
      <c r="B839" s="12" t="s">
        <v>12</v>
      </c>
      <c r="C839">
        <v>18.2</v>
      </c>
      <c r="D839">
        <v>44.4</v>
      </c>
      <c r="E839">
        <v>5</v>
      </c>
      <c r="F839">
        <v>0</v>
      </c>
      <c r="G839">
        <v>11.8</v>
      </c>
      <c r="H839">
        <v>4000</v>
      </c>
      <c r="I839">
        <v>7801.8</v>
      </c>
      <c r="J839">
        <v>1</v>
      </c>
      <c r="K839">
        <f>J839+energy_grid_portfolio_dataset!G839</f>
        <v>12.8</v>
      </c>
      <c r="L839">
        <f>HOUR(energy_timestamp[[#This Row],[timestamp]])</f>
        <v>21</v>
      </c>
    </row>
    <row r="840" spans="1:12" x14ac:dyDescent="0.3">
      <c r="A840" s="12" t="s">
        <v>209</v>
      </c>
      <c r="B840" s="12" t="s">
        <v>12</v>
      </c>
      <c r="C840">
        <v>17.8</v>
      </c>
      <c r="D840">
        <v>42.2</v>
      </c>
      <c r="E840">
        <v>5.5</v>
      </c>
      <c r="F840">
        <v>0</v>
      </c>
      <c r="G840">
        <v>16</v>
      </c>
      <c r="H840">
        <v>4000</v>
      </c>
      <c r="I840">
        <v>5014.2</v>
      </c>
      <c r="J840">
        <v>1</v>
      </c>
      <c r="K840">
        <f>J840+energy_grid_portfolio_dataset!G840</f>
        <v>17</v>
      </c>
      <c r="L840">
        <f>HOUR(energy_timestamp[[#This Row],[timestamp]])</f>
        <v>22</v>
      </c>
    </row>
    <row r="841" spans="1:12" x14ac:dyDescent="0.3">
      <c r="A841" s="12" t="s">
        <v>210</v>
      </c>
      <c r="B841" s="12" t="s">
        <v>12</v>
      </c>
      <c r="C841">
        <v>12.9</v>
      </c>
      <c r="D841">
        <v>73.7</v>
      </c>
      <c r="E841">
        <v>3.1</v>
      </c>
      <c r="F841">
        <v>0</v>
      </c>
      <c r="G841">
        <v>2.8</v>
      </c>
      <c r="H841">
        <v>4000</v>
      </c>
      <c r="I841">
        <v>4961.8</v>
      </c>
      <c r="J841">
        <v>1</v>
      </c>
      <c r="K841">
        <f>J841+energy_grid_portfolio_dataset!G841</f>
        <v>3.8</v>
      </c>
      <c r="L841">
        <f>HOUR(energy_timestamp[[#This Row],[timestamp]])</f>
        <v>23</v>
      </c>
    </row>
    <row r="842" spans="1:12" x14ac:dyDescent="0.3">
      <c r="A842" s="12" t="s">
        <v>211</v>
      </c>
      <c r="B842" s="12" t="s">
        <v>12</v>
      </c>
      <c r="C842">
        <v>13.6</v>
      </c>
      <c r="D842">
        <v>6.2</v>
      </c>
      <c r="E842">
        <v>1.9</v>
      </c>
      <c r="F842">
        <v>0</v>
      </c>
      <c r="G842">
        <v>0.7</v>
      </c>
      <c r="H842">
        <v>4000</v>
      </c>
      <c r="I842">
        <v>4777</v>
      </c>
      <c r="J842">
        <v>1</v>
      </c>
      <c r="K842">
        <f>J842+energy_grid_portfolio_dataset!G842</f>
        <v>1.7</v>
      </c>
      <c r="L842">
        <f>HOUR(energy_timestamp[[#This Row],[timestamp]])</f>
        <v>0</v>
      </c>
    </row>
    <row r="843" spans="1:12" x14ac:dyDescent="0.3">
      <c r="A843" s="12" t="s">
        <v>212</v>
      </c>
      <c r="B843" s="12" t="s">
        <v>12</v>
      </c>
      <c r="C843">
        <v>21.1</v>
      </c>
      <c r="D843">
        <v>44.2</v>
      </c>
      <c r="E843">
        <v>6.5</v>
      </c>
      <c r="F843">
        <v>0</v>
      </c>
      <c r="G843">
        <v>26.8</v>
      </c>
      <c r="H843">
        <v>4000</v>
      </c>
      <c r="I843">
        <v>4843.6000000000004</v>
      </c>
      <c r="J843">
        <v>1</v>
      </c>
      <c r="K843">
        <f>J843+energy_grid_portfolio_dataset!G843</f>
        <v>27.8</v>
      </c>
      <c r="L843">
        <f>HOUR(energy_timestamp[[#This Row],[timestamp]])</f>
        <v>1</v>
      </c>
    </row>
    <row r="844" spans="1:12" x14ac:dyDescent="0.3">
      <c r="A844" s="12" t="s">
        <v>213</v>
      </c>
      <c r="B844" s="12" t="s">
        <v>12</v>
      </c>
      <c r="C844">
        <v>17.899999999999999</v>
      </c>
      <c r="D844">
        <v>57.7</v>
      </c>
      <c r="E844">
        <v>2.4</v>
      </c>
      <c r="F844">
        <v>0</v>
      </c>
      <c r="G844">
        <v>1.4</v>
      </c>
      <c r="H844">
        <v>4000</v>
      </c>
      <c r="I844">
        <v>5010.1000000000004</v>
      </c>
      <c r="J844">
        <v>1</v>
      </c>
      <c r="K844">
        <f>J844+energy_grid_portfolio_dataset!G844</f>
        <v>2.4</v>
      </c>
      <c r="L844">
        <f>HOUR(energy_timestamp[[#This Row],[timestamp]])</f>
        <v>2</v>
      </c>
    </row>
    <row r="845" spans="1:12" x14ac:dyDescent="0.3">
      <c r="A845" s="12" t="s">
        <v>214</v>
      </c>
      <c r="B845" s="12" t="s">
        <v>12</v>
      </c>
      <c r="C845">
        <v>22.1</v>
      </c>
      <c r="D845">
        <v>9.5</v>
      </c>
      <c r="E845">
        <v>2.9</v>
      </c>
      <c r="F845">
        <v>0</v>
      </c>
      <c r="G845">
        <v>2.4</v>
      </c>
      <c r="H845">
        <v>4000</v>
      </c>
      <c r="I845">
        <v>5167.6000000000004</v>
      </c>
      <c r="J845">
        <v>1</v>
      </c>
      <c r="K845">
        <f>J845+energy_grid_portfolio_dataset!G845</f>
        <v>3.4</v>
      </c>
      <c r="L845">
        <f>HOUR(energy_timestamp[[#This Row],[timestamp]])</f>
        <v>3</v>
      </c>
    </row>
    <row r="846" spans="1:12" x14ac:dyDescent="0.3">
      <c r="A846" s="12" t="s">
        <v>215</v>
      </c>
      <c r="B846" s="12" t="s">
        <v>12</v>
      </c>
      <c r="C846">
        <v>17.600000000000001</v>
      </c>
      <c r="D846">
        <v>75.2</v>
      </c>
      <c r="E846">
        <v>3.8</v>
      </c>
      <c r="F846">
        <v>0</v>
      </c>
      <c r="G846">
        <v>5.3</v>
      </c>
      <c r="H846">
        <v>4000</v>
      </c>
      <c r="I846">
        <v>4908</v>
      </c>
      <c r="J846">
        <v>1</v>
      </c>
      <c r="K846">
        <f>J846+energy_grid_portfolio_dataset!G846</f>
        <v>6.3</v>
      </c>
      <c r="L846">
        <f>HOUR(energy_timestamp[[#This Row],[timestamp]])</f>
        <v>4</v>
      </c>
    </row>
    <row r="847" spans="1:12" x14ac:dyDescent="0.3">
      <c r="A847" s="12" t="s">
        <v>216</v>
      </c>
      <c r="B847" s="12" t="s">
        <v>12</v>
      </c>
      <c r="C847">
        <v>23.1</v>
      </c>
      <c r="D847">
        <v>66.400000000000006</v>
      </c>
      <c r="E847">
        <v>9.1</v>
      </c>
      <c r="F847">
        <v>0</v>
      </c>
      <c r="G847">
        <v>71.900000000000006</v>
      </c>
      <c r="H847">
        <v>4000</v>
      </c>
      <c r="I847">
        <v>5274.8</v>
      </c>
      <c r="J847">
        <v>1</v>
      </c>
      <c r="K847">
        <f>J847+energy_grid_portfolio_dataset!G847</f>
        <v>72.900000000000006</v>
      </c>
      <c r="L847">
        <f>HOUR(energy_timestamp[[#This Row],[timestamp]])</f>
        <v>5</v>
      </c>
    </row>
    <row r="848" spans="1:12" x14ac:dyDescent="0.3">
      <c r="A848" s="12" t="s">
        <v>217</v>
      </c>
      <c r="B848" s="12" t="s">
        <v>12</v>
      </c>
      <c r="C848">
        <v>20.9</v>
      </c>
      <c r="D848">
        <v>35.5</v>
      </c>
      <c r="E848">
        <v>6.2</v>
      </c>
      <c r="F848">
        <v>318.60000000000002</v>
      </c>
      <c r="G848">
        <v>23.3</v>
      </c>
      <c r="H848">
        <v>4000</v>
      </c>
      <c r="I848">
        <v>5115.8999999999996</v>
      </c>
      <c r="J848">
        <v>1</v>
      </c>
      <c r="K848">
        <f>J848+energy_grid_portfolio_dataset!G848</f>
        <v>24.3</v>
      </c>
      <c r="L848">
        <f>HOUR(energy_timestamp[[#This Row],[timestamp]])</f>
        <v>6</v>
      </c>
    </row>
    <row r="849" spans="1:12" x14ac:dyDescent="0.3">
      <c r="A849" s="12" t="s">
        <v>218</v>
      </c>
      <c r="B849" s="12" t="s">
        <v>12</v>
      </c>
      <c r="C849">
        <v>23.6</v>
      </c>
      <c r="D849">
        <v>12.7</v>
      </c>
      <c r="E849">
        <v>3.6</v>
      </c>
      <c r="F849">
        <v>779.7</v>
      </c>
      <c r="G849">
        <v>4.4000000000000004</v>
      </c>
      <c r="H849">
        <v>4000</v>
      </c>
      <c r="I849">
        <v>5079.2</v>
      </c>
      <c r="J849">
        <v>1</v>
      </c>
      <c r="K849">
        <f>J849+energy_grid_portfolio_dataset!G849</f>
        <v>5.4</v>
      </c>
      <c r="L849">
        <f>HOUR(energy_timestamp[[#This Row],[timestamp]])</f>
        <v>7</v>
      </c>
    </row>
    <row r="850" spans="1:12" x14ac:dyDescent="0.3">
      <c r="A850" s="12" t="s">
        <v>219</v>
      </c>
      <c r="B850" s="12" t="s">
        <v>12</v>
      </c>
      <c r="C850">
        <v>24.3</v>
      </c>
      <c r="D850">
        <v>100</v>
      </c>
      <c r="E850">
        <v>1.8</v>
      </c>
      <c r="F850">
        <v>249.4</v>
      </c>
      <c r="G850">
        <v>0.6</v>
      </c>
      <c r="H850">
        <v>4000</v>
      </c>
      <c r="I850">
        <v>4938.8999999999996</v>
      </c>
      <c r="J850">
        <v>1</v>
      </c>
      <c r="K850">
        <f>J850+energy_grid_portfolio_dataset!G850</f>
        <v>1.6</v>
      </c>
      <c r="L850">
        <f>HOUR(energy_timestamp[[#This Row],[timestamp]])</f>
        <v>8</v>
      </c>
    </row>
    <row r="851" spans="1:12" x14ac:dyDescent="0.3">
      <c r="A851" s="12" t="s">
        <v>220</v>
      </c>
      <c r="B851" s="12" t="s">
        <v>12</v>
      </c>
      <c r="C851">
        <v>28.5</v>
      </c>
      <c r="D851">
        <v>100</v>
      </c>
      <c r="E851">
        <v>4.8</v>
      </c>
      <c r="F851">
        <v>312.7</v>
      </c>
      <c r="G851">
        <v>10.5</v>
      </c>
      <c r="H851">
        <v>4000</v>
      </c>
      <c r="I851">
        <v>5025.8</v>
      </c>
      <c r="J851">
        <v>1</v>
      </c>
      <c r="K851">
        <f>J851+energy_grid_portfolio_dataset!G851</f>
        <v>11.5</v>
      </c>
      <c r="L851">
        <f>HOUR(energy_timestamp[[#This Row],[timestamp]])</f>
        <v>9</v>
      </c>
    </row>
    <row r="852" spans="1:12" x14ac:dyDescent="0.3">
      <c r="A852" s="12" t="s">
        <v>221</v>
      </c>
      <c r="B852" s="12" t="s">
        <v>12</v>
      </c>
      <c r="C852">
        <v>27.5</v>
      </c>
      <c r="D852">
        <v>65.900000000000006</v>
      </c>
      <c r="E852">
        <v>5.7</v>
      </c>
      <c r="F852">
        <v>852.5</v>
      </c>
      <c r="G852">
        <v>17.8</v>
      </c>
      <c r="H852">
        <v>4000</v>
      </c>
      <c r="I852">
        <v>7223.7</v>
      </c>
      <c r="J852">
        <v>1</v>
      </c>
      <c r="K852">
        <f>J852+energy_grid_portfolio_dataset!G852</f>
        <v>18.8</v>
      </c>
      <c r="L852">
        <f>HOUR(energy_timestamp[[#This Row],[timestamp]])</f>
        <v>10</v>
      </c>
    </row>
    <row r="853" spans="1:12" x14ac:dyDescent="0.3">
      <c r="A853" s="12" t="s">
        <v>222</v>
      </c>
      <c r="B853" s="12" t="s">
        <v>12</v>
      </c>
      <c r="C853">
        <v>21.8</v>
      </c>
      <c r="D853">
        <v>80.5</v>
      </c>
      <c r="E853">
        <v>6.4</v>
      </c>
      <c r="F853">
        <v>694.7</v>
      </c>
      <c r="G853">
        <v>24.9</v>
      </c>
      <c r="H853">
        <v>4000</v>
      </c>
      <c r="I853">
        <v>7215.4</v>
      </c>
      <c r="J853">
        <v>1</v>
      </c>
      <c r="K853">
        <f>J853+energy_grid_portfolio_dataset!G853</f>
        <v>25.9</v>
      </c>
      <c r="L853">
        <f>HOUR(energy_timestamp[[#This Row],[timestamp]])</f>
        <v>11</v>
      </c>
    </row>
    <row r="854" spans="1:12" x14ac:dyDescent="0.3">
      <c r="A854" s="12" t="s">
        <v>223</v>
      </c>
      <c r="B854" s="12" t="s">
        <v>12</v>
      </c>
      <c r="C854">
        <v>31.1</v>
      </c>
      <c r="D854">
        <v>39.799999999999997</v>
      </c>
      <c r="E854">
        <v>4.8</v>
      </c>
      <c r="F854">
        <v>1364</v>
      </c>
      <c r="G854">
        <v>10.6</v>
      </c>
      <c r="H854">
        <v>4000</v>
      </c>
      <c r="I854">
        <v>7116.6</v>
      </c>
      <c r="J854">
        <v>1</v>
      </c>
      <c r="K854">
        <f>J854+energy_grid_portfolio_dataset!G854</f>
        <v>11.6</v>
      </c>
      <c r="L854">
        <f>HOUR(energy_timestamp[[#This Row],[timestamp]])</f>
        <v>12</v>
      </c>
    </row>
    <row r="855" spans="1:12" x14ac:dyDescent="0.3">
      <c r="A855" s="12" t="s">
        <v>224</v>
      </c>
      <c r="B855" s="12" t="s">
        <v>12</v>
      </c>
      <c r="C855">
        <v>25.2</v>
      </c>
      <c r="D855">
        <v>43.5</v>
      </c>
      <c r="E855">
        <v>5.6</v>
      </c>
      <c r="F855">
        <v>1271.4000000000001</v>
      </c>
      <c r="G855">
        <v>16.5</v>
      </c>
      <c r="H855">
        <v>4000</v>
      </c>
      <c r="I855">
        <v>7448.7</v>
      </c>
      <c r="J855">
        <v>1</v>
      </c>
      <c r="K855">
        <f>J855+energy_grid_portfolio_dataset!G855</f>
        <v>17.5</v>
      </c>
      <c r="L855">
        <f>HOUR(energy_timestamp[[#This Row],[timestamp]])</f>
        <v>13</v>
      </c>
    </row>
    <row r="856" spans="1:12" x14ac:dyDescent="0.3">
      <c r="A856" s="12" t="s">
        <v>225</v>
      </c>
      <c r="B856" s="12" t="s">
        <v>12</v>
      </c>
      <c r="C856">
        <v>26.7</v>
      </c>
      <c r="D856">
        <v>21.2</v>
      </c>
      <c r="E856">
        <v>4.4000000000000004</v>
      </c>
      <c r="F856">
        <v>1496</v>
      </c>
      <c r="G856">
        <v>8.1999999999999993</v>
      </c>
      <c r="H856">
        <v>4000</v>
      </c>
      <c r="I856">
        <v>7276.1</v>
      </c>
      <c r="J856">
        <v>1</v>
      </c>
      <c r="K856">
        <f>J856+energy_grid_portfolio_dataset!G856</f>
        <v>9.1999999999999993</v>
      </c>
      <c r="L856">
        <f>HOUR(energy_timestamp[[#This Row],[timestamp]])</f>
        <v>14</v>
      </c>
    </row>
    <row r="857" spans="1:12" x14ac:dyDescent="0.3">
      <c r="A857" s="12" t="s">
        <v>226</v>
      </c>
      <c r="B857" s="12" t="s">
        <v>12</v>
      </c>
      <c r="C857">
        <v>25.4</v>
      </c>
      <c r="D857">
        <v>72.8</v>
      </c>
      <c r="E857">
        <v>7.3</v>
      </c>
      <c r="F857">
        <v>653.29999999999995</v>
      </c>
      <c r="G857">
        <v>36.700000000000003</v>
      </c>
      <c r="H857">
        <v>4000</v>
      </c>
      <c r="I857">
        <v>4858.8999999999996</v>
      </c>
      <c r="J857">
        <v>1</v>
      </c>
      <c r="K857">
        <f>J857+energy_grid_portfolio_dataset!G857</f>
        <v>37.700000000000003</v>
      </c>
      <c r="L857">
        <f>HOUR(energy_timestamp[[#This Row],[timestamp]])</f>
        <v>15</v>
      </c>
    </row>
    <row r="858" spans="1:12" x14ac:dyDescent="0.3">
      <c r="A858" s="12" t="s">
        <v>227</v>
      </c>
      <c r="B858" s="12" t="s">
        <v>12</v>
      </c>
      <c r="C858">
        <v>26.6</v>
      </c>
      <c r="D858">
        <v>67.599999999999994</v>
      </c>
      <c r="E858">
        <v>10.199999999999999</v>
      </c>
      <c r="F858">
        <v>572.79999999999995</v>
      </c>
      <c r="G858">
        <v>100.5</v>
      </c>
      <c r="H858">
        <v>4000</v>
      </c>
      <c r="I858">
        <v>4683.6000000000004</v>
      </c>
      <c r="J858">
        <v>1</v>
      </c>
      <c r="K858">
        <f>J858+energy_grid_portfolio_dataset!G858</f>
        <v>101.5</v>
      </c>
      <c r="L858">
        <f>HOUR(energy_timestamp[[#This Row],[timestamp]])</f>
        <v>16</v>
      </c>
    </row>
    <row r="859" spans="1:12" x14ac:dyDescent="0.3">
      <c r="A859" s="12" t="s">
        <v>228</v>
      </c>
      <c r="B859" s="12" t="s">
        <v>12</v>
      </c>
      <c r="C859">
        <v>25.5</v>
      </c>
      <c r="D859">
        <v>74</v>
      </c>
      <c r="E859">
        <v>10</v>
      </c>
      <c r="F859">
        <v>354.1</v>
      </c>
      <c r="G859">
        <v>97.1</v>
      </c>
      <c r="H859">
        <v>4000</v>
      </c>
      <c r="I859">
        <v>5016.6000000000004</v>
      </c>
      <c r="J859">
        <v>1</v>
      </c>
      <c r="K859">
        <f>J859+energy_grid_portfolio_dataset!G859</f>
        <v>98.1</v>
      </c>
      <c r="L859">
        <f>HOUR(energy_timestamp[[#This Row],[timestamp]])</f>
        <v>17</v>
      </c>
    </row>
    <row r="860" spans="1:12" x14ac:dyDescent="0.3">
      <c r="A860" s="12" t="s">
        <v>229</v>
      </c>
      <c r="B860" s="12" t="s">
        <v>12</v>
      </c>
      <c r="C860">
        <v>21.8</v>
      </c>
      <c r="D860">
        <v>100</v>
      </c>
      <c r="E860">
        <v>8.6999999999999993</v>
      </c>
      <c r="F860">
        <v>89</v>
      </c>
      <c r="G860">
        <v>62.5</v>
      </c>
      <c r="H860">
        <v>4000</v>
      </c>
      <c r="I860">
        <v>7778.3</v>
      </c>
      <c r="J860">
        <v>1</v>
      </c>
      <c r="K860">
        <f>J860+energy_grid_portfolio_dataset!G860</f>
        <v>63.5</v>
      </c>
      <c r="L860">
        <f>HOUR(energy_timestamp[[#This Row],[timestamp]])</f>
        <v>18</v>
      </c>
    </row>
    <row r="861" spans="1:12" x14ac:dyDescent="0.3">
      <c r="A861" s="12" t="s">
        <v>230</v>
      </c>
      <c r="B861" s="12" t="s">
        <v>12</v>
      </c>
      <c r="C861">
        <v>18.2</v>
      </c>
      <c r="D861">
        <v>21.4</v>
      </c>
      <c r="E861">
        <v>6.9</v>
      </c>
      <c r="F861">
        <v>0</v>
      </c>
      <c r="G861">
        <v>31.2</v>
      </c>
      <c r="H861">
        <v>4000</v>
      </c>
      <c r="I861">
        <v>7786.1</v>
      </c>
      <c r="J861">
        <v>1</v>
      </c>
      <c r="K861">
        <f>J861+energy_grid_portfolio_dataset!G861</f>
        <v>32.200000000000003</v>
      </c>
      <c r="L861">
        <f>HOUR(energy_timestamp[[#This Row],[timestamp]])</f>
        <v>19</v>
      </c>
    </row>
    <row r="862" spans="1:12" x14ac:dyDescent="0.3">
      <c r="A862" s="12" t="s">
        <v>231</v>
      </c>
      <c r="B862" s="12" t="s">
        <v>12</v>
      </c>
      <c r="C862">
        <v>18.3</v>
      </c>
      <c r="D862">
        <v>64.2</v>
      </c>
      <c r="E862">
        <v>10.8</v>
      </c>
      <c r="F862">
        <v>0</v>
      </c>
      <c r="G862">
        <v>119.8</v>
      </c>
      <c r="H862">
        <v>4000</v>
      </c>
      <c r="I862">
        <v>7721.8</v>
      </c>
      <c r="J862">
        <v>1</v>
      </c>
      <c r="K862">
        <f>J862+energy_grid_portfolio_dataset!G862</f>
        <v>120.8</v>
      </c>
      <c r="L862">
        <f>HOUR(energy_timestamp[[#This Row],[timestamp]])</f>
        <v>20</v>
      </c>
    </row>
    <row r="863" spans="1:12" x14ac:dyDescent="0.3">
      <c r="A863" s="12" t="s">
        <v>232</v>
      </c>
      <c r="B863" s="12" t="s">
        <v>12</v>
      </c>
      <c r="C863">
        <v>16.2</v>
      </c>
      <c r="D863">
        <v>56.7</v>
      </c>
      <c r="E863">
        <v>3.6</v>
      </c>
      <c r="F863">
        <v>0</v>
      </c>
      <c r="G863">
        <v>4.4000000000000004</v>
      </c>
      <c r="H863">
        <v>4000</v>
      </c>
      <c r="I863">
        <v>7804.3</v>
      </c>
      <c r="J863">
        <v>1</v>
      </c>
      <c r="K863">
        <f>J863+energy_grid_portfolio_dataset!G863</f>
        <v>5.4</v>
      </c>
      <c r="L863">
        <f>HOUR(energy_timestamp[[#This Row],[timestamp]])</f>
        <v>21</v>
      </c>
    </row>
    <row r="864" spans="1:12" x14ac:dyDescent="0.3">
      <c r="A864" s="12" t="s">
        <v>233</v>
      </c>
      <c r="B864" s="12" t="s">
        <v>12</v>
      </c>
      <c r="C864">
        <v>16.8</v>
      </c>
      <c r="D864">
        <v>45.7</v>
      </c>
      <c r="E864">
        <v>2.2000000000000002</v>
      </c>
      <c r="F864">
        <v>0</v>
      </c>
      <c r="G864">
        <v>1.1000000000000001</v>
      </c>
      <c r="H864">
        <v>4000</v>
      </c>
      <c r="I864">
        <v>4891.8</v>
      </c>
      <c r="J864">
        <v>1</v>
      </c>
      <c r="K864">
        <f>J864+energy_grid_portfolio_dataset!G864</f>
        <v>2.1</v>
      </c>
      <c r="L864">
        <f>HOUR(energy_timestamp[[#This Row],[timestamp]])</f>
        <v>22</v>
      </c>
    </row>
    <row r="865" spans="1:12" x14ac:dyDescent="0.3">
      <c r="A865" s="12" t="s">
        <v>234</v>
      </c>
      <c r="B865" s="12" t="s">
        <v>12</v>
      </c>
      <c r="C865">
        <v>16</v>
      </c>
      <c r="D865">
        <v>0</v>
      </c>
      <c r="E865">
        <v>12.2</v>
      </c>
      <c r="F865">
        <v>0</v>
      </c>
      <c r="G865">
        <v>172.6</v>
      </c>
      <c r="H865">
        <v>4000</v>
      </c>
      <c r="I865">
        <v>4930.8999999999996</v>
      </c>
      <c r="J865">
        <v>1</v>
      </c>
      <c r="K865">
        <f>J865+energy_grid_portfolio_dataset!G865</f>
        <v>173.6</v>
      </c>
      <c r="L865">
        <f>HOUR(energy_timestamp[[#This Row],[timestamp]])</f>
        <v>23</v>
      </c>
    </row>
    <row r="866" spans="1:12" x14ac:dyDescent="0.3">
      <c r="A866" s="12" t="s">
        <v>235</v>
      </c>
      <c r="B866" s="12" t="s">
        <v>12</v>
      </c>
      <c r="C866">
        <v>16.2</v>
      </c>
      <c r="D866">
        <v>60.6</v>
      </c>
      <c r="E866">
        <v>2.5</v>
      </c>
      <c r="F866">
        <v>0</v>
      </c>
      <c r="G866">
        <v>1.5</v>
      </c>
      <c r="H866">
        <v>4000</v>
      </c>
      <c r="I866">
        <v>5113.3</v>
      </c>
      <c r="J866">
        <v>1</v>
      </c>
      <c r="K866">
        <f>J866+energy_grid_portfolio_dataset!G866</f>
        <v>2.5</v>
      </c>
      <c r="L866">
        <f>HOUR(energy_timestamp[[#This Row],[timestamp]])</f>
        <v>0</v>
      </c>
    </row>
    <row r="867" spans="1:12" x14ac:dyDescent="0.3">
      <c r="A867" s="12" t="s">
        <v>236</v>
      </c>
      <c r="B867" s="12" t="s">
        <v>12</v>
      </c>
      <c r="C867">
        <v>21</v>
      </c>
      <c r="D867">
        <v>64.7</v>
      </c>
      <c r="E867">
        <v>9.1</v>
      </c>
      <c r="F867">
        <v>0</v>
      </c>
      <c r="G867">
        <v>71.599999999999994</v>
      </c>
      <c r="H867">
        <v>4000</v>
      </c>
      <c r="I867">
        <v>5204.3999999999996</v>
      </c>
      <c r="J867">
        <v>1</v>
      </c>
      <c r="K867">
        <f>J867+energy_grid_portfolio_dataset!G867</f>
        <v>72.599999999999994</v>
      </c>
      <c r="L867">
        <f>HOUR(energy_timestamp[[#This Row],[timestamp]])</f>
        <v>1</v>
      </c>
    </row>
    <row r="868" spans="1:12" x14ac:dyDescent="0.3">
      <c r="A868" s="12" t="s">
        <v>237</v>
      </c>
      <c r="B868" s="12" t="s">
        <v>12</v>
      </c>
      <c r="C868">
        <v>15</v>
      </c>
      <c r="D868">
        <v>47.6</v>
      </c>
      <c r="E868">
        <v>6.4</v>
      </c>
      <c r="F868">
        <v>0</v>
      </c>
      <c r="G868">
        <v>25.1</v>
      </c>
      <c r="H868">
        <v>4000</v>
      </c>
      <c r="I868">
        <v>4976.3</v>
      </c>
      <c r="J868">
        <v>1</v>
      </c>
      <c r="K868">
        <f>J868+energy_grid_portfolio_dataset!G868</f>
        <v>26.1</v>
      </c>
      <c r="L868">
        <f>HOUR(energy_timestamp[[#This Row],[timestamp]])</f>
        <v>2</v>
      </c>
    </row>
    <row r="869" spans="1:12" x14ac:dyDescent="0.3">
      <c r="A869" s="12" t="s">
        <v>238</v>
      </c>
      <c r="B869" s="12" t="s">
        <v>12</v>
      </c>
      <c r="C869">
        <v>18</v>
      </c>
      <c r="D869">
        <v>57.3</v>
      </c>
      <c r="E869">
        <v>5.8</v>
      </c>
      <c r="F869">
        <v>0</v>
      </c>
      <c r="G869">
        <v>18.3</v>
      </c>
      <c r="H869">
        <v>4000</v>
      </c>
      <c r="I869">
        <v>4881.8</v>
      </c>
      <c r="J869">
        <v>1</v>
      </c>
      <c r="K869">
        <f>J869+energy_grid_portfolio_dataset!G869</f>
        <v>19.3</v>
      </c>
      <c r="L869">
        <f>HOUR(energy_timestamp[[#This Row],[timestamp]])</f>
        <v>3</v>
      </c>
    </row>
    <row r="870" spans="1:12" x14ac:dyDescent="0.3">
      <c r="A870" s="12" t="s">
        <v>239</v>
      </c>
      <c r="B870" s="12" t="s">
        <v>12</v>
      </c>
      <c r="C870">
        <v>17.399999999999999</v>
      </c>
      <c r="D870">
        <v>38.5</v>
      </c>
      <c r="E870">
        <v>2.1</v>
      </c>
      <c r="F870">
        <v>0</v>
      </c>
      <c r="G870">
        <v>0.9</v>
      </c>
      <c r="H870">
        <v>4000</v>
      </c>
      <c r="I870">
        <v>4957.8</v>
      </c>
      <c r="J870">
        <v>1</v>
      </c>
      <c r="K870">
        <f>J870+energy_grid_portfolio_dataset!G870</f>
        <v>1.9</v>
      </c>
      <c r="L870">
        <f>HOUR(energy_timestamp[[#This Row],[timestamp]])</f>
        <v>4</v>
      </c>
    </row>
    <row r="871" spans="1:12" x14ac:dyDescent="0.3">
      <c r="A871" s="12" t="s">
        <v>240</v>
      </c>
      <c r="B871" s="12" t="s">
        <v>12</v>
      </c>
      <c r="C871">
        <v>16.5</v>
      </c>
      <c r="D871">
        <v>94.6</v>
      </c>
      <c r="E871">
        <v>10.199999999999999</v>
      </c>
      <c r="F871">
        <v>0</v>
      </c>
      <c r="G871">
        <v>100.7</v>
      </c>
      <c r="H871">
        <v>4000</v>
      </c>
      <c r="I871">
        <v>5096.7</v>
      </c>
      <c r="J871">
        <v>1</v>
      </c>
      <c r="K871">
        <f>J871+energy_grid_portfolio_dataset!G871</f>
        <v>101.7</v>
      </c>
      <c r="L871">
        <f>HOUR(energy_timestamp[[#This Row],[timestamp]])</f>
        <v>5</v>
      </c>
    </row>
    <row r="872" spans="1:12" x14ac:dyDescent="0.3">
      <c r="A872" s="12" t="s">
        <v>241</v>
      </c>
      <c r="B872" s="12" t="s">
        <v>12</v>
      </c>
      <c r="C872">
        <v>16.8</v>
      </c>
      <c r="D872">
        <v>49.2</v>
      </c>
      <c r="E872">
        <v>5.8</v>
      </c>
      <c r="F872">
        <v>270</v>
      </c>
      <c r="G872">
        <v>18.8</v>
      </c>
      <c r="H872">
        <v>4000</v>
      </c>
      <c r="I872">
        <v>4904.7</v>
      </c>
      <c r="J872">
        <v>1</v>
      </c>
      <c r="K872">
        <f>J872+energy_grid_portfolio_dataset!G872</f>
        <v>19.8</v>
      </c>
      <c r="L872">
        <f>HOUR(energy_timestamp[[#This Row],[timestamp]])</f>
        <v>6</v>
      </c>
    </row>
    <row r="873" spans="1:12" x14ac:dyDescent="0.3">
      <c r="A873" s="12" t="s">
        <v>242</v>
      </c>
      <c r="B873" s="12" t="s">
        <v>12</v>
      </c>
      <c r="C873">
        <v>22.3</v>
      </c>
      <c r="D873">
        <v>100</v>
      </c>
      <c r="E873">
        <v>8</v>
      </c>
      <c r="F873">
        <v>173.6</v>
      </c>
      <c r="G873">
        <v>49.1</v>
      </c>
      <c r="H873">
        <v>4000</v>
      </c>
      <c r="I873">
        <v>4798.3999999999996</v>
      </c>
      <c r="J873">
        <v>1</v>
      </c>
      <c r="K873">
        <f>J873+energy_grid_portfolio_dataset!G873</f>
        <v>50.1</v>
      </c>
      <c r="L873">
        <f>HOUR(energy_timestamp[[#This Row],[timestamp]])</f>
        <v>7</v>
      </c>
    </row>
    <row r="874" spans="1:12" x14ac:dyDescent="0.3">
      <c r="A874" s="12" t="s">
        <v>243</v>
      </c>
      <c r="B874" s="12" t="s">
        <v>12</v>
      </c>
      <c r="C874">
        <v>21.3</v>
      </c>
      <c r="D874">
        <v>50.2</v>
      </c>
      <c r="E874">
        <v>5.4</v>
      </c>
      <c r="F874">
        <v>746.3</v>
      </c>
      <c r="G874">
        <v>14.8</v>
      </c>
      <c r="H874">
        <v>4000</v>
      </c>
      <c r="I874">
        <v>4811.3</v>
      </c>
      <c r="J874">
        <v>1</v>
      </c>
      <c r="K874">
        <f>J874+energy_grid_portfolio_dataset!G874</f>
        <v>15.8</v>
      </c>
      <c r="L874">
        <f>HOUR(energy_timestamp[[#This Row],[timestamp]])</f>
        <v>8</v>
      </c>
    </row>
    <row r="875" spans="1:12" x14ac:dyDescent="0.3">
      <c r="A875" s="12" t="s">
        <v>244</v>
      </c>
      <c r="B875" s="12" t="s">
        <v>12</v>
      </c>
      <c r="C875">
        <v>24.5</v>
      </c>
      <c r="D875">
        <v>75.3</v>
      </c>
      <c r="E875">
        <v>11.8</v>
      </c>
      <c r="F875">
        <v>621.1</v>
      </c>
      <c r="G875">
        <v>158</v>
      </c>
      <c r="H875">
        <v>4000</v>
      </c>
      <c r="I875">
        <v>5024.3999999999996</v>
      </c>
      <c r="J875">
        <v>1</v>
      </c>
      <c r="K875">
        <f>J875+energy_grid_portfolio_dataset!G875</f>
        <v>159</v>
      </c>
      <c r="L875">
        <f>HOUR(energy_timestamp[[#This Row],[timestamp]])</f>
        <v>9</v>
      </c>
    </row>
    <row r="876" spans="1:12" x14ac:dyDescent="0.3">
      <c r="A876" s="12" t="s">
        <v>245</v>
      </c>
      <c r="B876" s="12" t="s">
        <v>12</v>
      </c>
      <c r="C876">
        <v>26.2</v>
      </c>
      <c r="D876">
        <v>54.5</v>
      </c>
      <c r="E876">
        <v>4.9000000000000004</v>
      </c>
      <c r="F876">
        <v>1016.2</v>
      </c>
      <c r="G876">
        <v>11.5</v>
      </c>
      <c r="H876">
        <v>4000</v>
      </c>
      <c r="I876">
        <v>7272.3</v>
      </c>
      <c r="J876">
        <v>1</v>
      </c>
      <c r="K876">
        <f>J876+energy_grid_portfolio_dataset!G876</f>
        <v>12.5</v>
      </c>
      <c r="L876">
        <f>HOUR(energy_timestamp[[#This Row],[timestamp]])</f>
        <v>10</v>
      </c>
    </row>
    <row r="877" spans="1:12" x14ac:dyDescent="0.3">
      <c r="A877" s="12" t="s">
        <v>246</v>
      </c>
      <c r="B877" s="12" t="s">
        <v>12</v>
      </c>
      <c r="C877">
        <v>25.6</v>
      </c>
      <c r="D877">
        <v>61.4</v>
      </c>
      <c r="E877">
        <v>6.2</v>
      </c>
      <c r="F877">
        <v>992.8</v>
      </c>
      <c r="G877">
        <v>22.4</v>
      </c>
      <c r="H877">
        <v>4000</v>
      </c>
      <c r="I877">
        <v>7327.1</v>
      </c>
      <c r="J877">
        <v>1</v>
      </c>
      <c r="K877">
        <f>J877+energy_grid_portfolio_dataset!G877</f>
        <v>23.4</v>
      </c>
      <c r="L877">
        <f>HOUR(energy_timestamp[[#This Row],[timestamp]])</f>
        <v>11</v>
      </c>
    </row>
    <row r="878" spans="1:12" x14ac:dyDescent="0.3">
      <c r="A878" s="12" t="s">
        <v>247</v>
      </c>
      <c r="B878" s="12" t="s">
        <v>12</v>
      </c>
      <c r="C878">
        <v>24.3</v>
      </c>
      <c r="D878">
        <v>69.7</v>
      </c>
      <c r="E878">
        <v>5.8</v>
      </c>
      <c r="F878">
        <v>885</v>
      </c>
      <c r="G878">
        <v>18.899999999999999</v>
      </c>
      <c r="H878">
        <v>4000</v>
      </c>
      <c r="I878">
        <v>7074.7</v>
      </c>
      <c r="J878">
        <v>1</v>
      </c>
      <c r="K878">
        <f>J878+energy_grid_portfolio_dataset!G878</f>
        <v>19.899999999999999</v>
      </c>
      <c r="L878">
        <f>HOUR(energy_timestamp[[#This Row],[timestamp]])</f>
        <v>12</v>
      </c>
    </row>
    <row r="879" spans="1:12" x14ac:dyDescent="0.3">
      <c r="A879" s="12" t="s">
        <v>248</v>
      </c>
      <c r="B879" s="12" t="s">
        <v>12</v>
      </c>
      <c r="C879">
        <v>25.8</v>
      </c>
      <c r="D879">
        <v>96.6</v>
      </c>
      <c r="E879">
        <v>3.4</v>
      </c>
      <c r="F879">
        <v>442.6</v>
      </c>
      <c r="G879">
        <v>3.7</v>
      </c>
      <c r="H879">
        <v>4000</v>
      </c>
      <c r="I879">
        <v>7225</v>
      </c>
      <c r="J879">
        <v>1</v>
      </c>
      <c r="K879">
        <f>J879+energy_grid_portfolio_dataset!G879</f>
        <v>4.7</v>
      </c>
      <c r="L879">
        <f>HOUR(energy_timestamp[[#This Row],[timestamp]])</f>
        <v>13</v>
      </c>
    </row>
    <row r="880" spans="1:12" x14ac:dyDescent="0.3">
      <c r="A880" s="12" t="s">
        <v>249</v>
      </c>
      <c r="B880" s="12" t="s">
        <v>12</v>
      </c>
      <c r="C880">
        <v>22.8</v>
      </c>
      <c r="D880">
        <v>73</v>
      </c>
      <c r="E880">
        <v>7.4</v>
      </c>
      <c r="F880">
        <v>749</v>
      </c>
      <c r="G880">
        <v>39.299999999999997</v>
      </c>
      <c r="H880">
        <v>4000</v>
      </c>
      <c r="I880">
        <v>7406.8</v>
      </c>
      <c r="J880">
        <v>1</v>
      </c>
      <c r="K880">
        <f>J880+energy_grid_portfolio_dataset!G880</f>
        <v>40.299999999999997</v>
      </c>
      <c r="L880">
        <f>HOUR(energy_timestamp[[#This Row],[timestamp]])</f>
        <v>14</v>
      </c>
    </row>
    <row r="881" spans="1:12" x14ac:dyDescent="0.3">
      <c r="A881" s="12" t="s">
        <v>250</v>
      </c>
      <c r="B881" s="12" t="s">
        <v>12</v>
      </c>
      <c r="C881">
        <v>26.4</v>
      </c>
      <c r="D881">
        <v>98.4</v>
      </c>
      <c r="E881">
        <v>0</v>
      </c>
      <c r="F881">
        <v>332.9</v>
      </c>
      <c r="G881">
        <v>0</v>
      </c>
      <c r="H881">
        <v>4000</v>
      </c>
      <c r="I881">
        <v>4830.7</v>
      </c>
      <c r="J881">
        <v>1</v>
      </c>
      <c r="K881">
        <f>J881+energy_grid_portfolio_dataset!G881</f>
        <v>1</v>
      </c>
      <c r="L881">
        <f>HOUR(energy_timestamp[[#This Row],[timestamp]])</f>
        <v>15</v>
      </c>
    </row>
    <row r="882" spans="1:12" x14ac:dyDescent="0.3">
      <c r="A882" s="12" t="s">
        <v>251</v>
      </c>
      <c r="B882" s="12" t="s">
        <v>12</v>
      </c>
      <c r="C882">
        <v>19.5</v>
      </c>
      <c r="D882">
        <v>31</v>
      </c>
      <c r="E882">
        <v>10.9</v>
      </c>
      <c r="F882">
        <v>937.4</v>
      </c>
      <c r="G882">
        <v>123.9</v>
      </c>
      <c r="H882">
        <v>3964.1</v>
      </c>
      <c r="I882">
        <v>5025.3999999999996</v>
      </c>
      <c r="J882">
        <v>0</v>
      </c>
      <c r="K882">
        <f>J882+energy_grid_portfolio_dataset!G882</f>
        <v>123.9</v>
      </c>
      <c r="L882">
        <f>HOUR(energy_timestamp[[#This Row],[timestamp]])</f>
        <v>16</v>
      </c>
    </row>
    <row r="883" spans="1:12" x14ac:dyDescent="0.3">
      <c r="A883" s="12" t="s">
        <v>252</v>
      </c>
      <c r="B883" s="12" t="s">
        <v>12</v>
      </c>
      <c r="C883">
        <v>20.9</v>
      </c>
      <c r="D883">
        <v>54.1</v>
      </c>
      <c r="E883">
        <v>12.2</v>
      </c>
      <c r="F883">
        <v>492.5</v>
      </c>
      <c r="G883">
        <v>174.5</v>
      </c>
      <c r="H883">
        <v>4000</v>
      </c>
      <c r="I883">
        <v>4862.7</v>
      </c>
      <c r="J883">
        <v>1</v>
      </c>
      <c r="K883">
        <f>J883+energy_grid_portfolio_dataset!G883</f>
        <v>175.5</v>
      </c>
      <c r="L883">
        <f>HOUR(energy_timestamp[[#This Row],[timestamp]])</f>
        <v>17</v>
      </c>
    </row>
    <row r="884" spans="1:12" x14ac:dyDescent="0.3">
      <c r="A884" s="12" t="s">
        <v>253</v>
      </c>
      <c r="B884" s="12" t="s">
        <v>12</v>
      </c>
      <c r="C884">
        <v>19.899999999999999</v>
      </c>
      <c r="D884">
        <v>100</v>
      </c>
      <c r="E884">
        <v>11.6</v>
      </c>
      <c r="F884">
        <v>89</v>
      </c>
      <c r="G884">
        <v>148.80000000000001</v>
      </c>
      <c r="H884">
        <v>4000</v>
      </c>
      <c r="I884">
        <v>7425.2</v>
      </c>
      <c r="J884">
        <v>1</v>
      </c>
      <c r="K884">
        <f>J884+energy_grid_portfolio_dataset!G884</f>
        <v>149.80000000000001</v>
      </c>
      <c r="L884">
        <f>HOUR(energy_timestamp[[#This Row],[timestamp]])</f>
        <v>18</v>
      </c>
    </row>
    <row r="885" spans="1:12" x14ac:dyDescent="0.3">
      <c r="A885" s="12" t="s">
        <v>254</v>
      </c>
      <c r="B885" s="12" t="s">
        <v>12</v>
      </c>
      <c r="C885">
        <v>18.2</v>
      </c>
      <c r="D885">
        <v>100</v>
      </c>
      <c r="E885">
        <v>10.8</v>
      </c>
      <c r="F885">
        <v>0</v>
      </c>
      <c r="G885">
        <v>120.4</v>
      </c>
      <c r="H885">
        <v>4000</v>
      </c>
      <c r="I885">
        <v>7684.5</v>
      </c>
      <c r="J885">
        <v>1</v>
      </c>
      <c r="K885">
        <f>J885+energy_grid_portfolio_dataset!G885</f>
        <v>121.4</v>
      </c>
      <c r="L885">
        <f>HOUR(energy_timestamp[[#This Row],[timestamp]])</f>
        <v>19</v>
      </c>
    </row>
    <row r="886" spans="1:12" x14ac:dyDescent="0.3">
      <c r="A886" s="12" t="s">
        <v>255</v>
      </c>
      <c r="B886" s="12" t="s">
        <v>12</v>
      </c>
      <c r="C886">
        <v>17.899999999999999</v>
      </c>
      <c r="D886">
        <v>58.5</v>
      </c>
      <c r="E886">
        <v>5.5</v>
      </c>
      <c r="F886">
        <v>0</v>
      </c>
      <c r="G886">
        <v>16.100000000000001</v>
      </c>
      <c r="H886">
        <v>4000</v>
      </c>
      <c r="I886">
        <v>7801.8</v>
      </c>
      <c r="J886">
        <v>1</v>
      </c>
      <c r="K886">
        <f>J886+energy_grid_portfolio_dataset!G886</f>
        <v>17.100000000000001</v>
      </c>
      <c r="L886">
        <f>HOUR(energy_timestamp[[#This Row],[timestamp]])</f>
        <v>20</v>
      </c>
    </row>
    <row r="887" spans="1:12" x14ac:dyDescent="0.3">
      <c r="A887" s="12" t="s">
        <v>256</v>
      </c>
      <c r="B887" s="12" t="s">
        <v>12</v>
      </c>
      <c r="C887">
        <v>21.4</v>
      </c>
      <c r="D887">
        <v>86.4</v>
      </c>
      <c r="E887">
        <v>2.8</v>
      </c>
      <c r="F887">
        <v>0</v>
      </c>
      <c r="G887">
        <v>2</v>
      </c>
      <c r="H887">
        <v>4000</v>
      </c>
      <c r="I887">
        <v>7749.6</v>
      </c>
      <c r="J887">
        <v>1</v>
      </c>
      <c r="K887">
        <f>J887+energy_grid_portfolio_dataset!G887</f>
        <v>3</v>
      </c>
      <c r="L887">
        <f>HOUR(energy_timestamp[[#This Row],[timestamp]])</f>
        <v>21</v>
      </c>
    </row>
    <row r="888" spans="1:12" x14ac:dyDescent="0.3">
      <c r="A888" s="12" t="s">
        <v>257</v>
      </c>
      <c r="B888" s="12" t="s">
        <v>12</v>
      </c>
      <c r="C888">
        <v>18.3</v>
      </c>
      <c r="D888">
        <v>80.599999999999994</v>
      </c>
      <c r="E888">
        <v>10.4</v>
      </c>
      <c r="F888">
        <v>0</v>
      </c>
      <c r="G888">
        <v>108</v>
      </c>
      <c r="H888">
        <v>4000</v>
      </c>
      <c r="I888">
        <v>5156.5</v>
      </c>
      <c r="J888">
        <v>1</v>
      </c>
      <c r="K888">
        <f>J888+energy_grid_portfolio_dataset!G888</f>
        <v>109</v>
      </c>
      <c r="L888">
        <f>HOUR(energy_timestamp[[#This Row],[timestamp]])</f>
        <v>22</v>
      </c>
    </row>
    <row r="889" spans="1:12" x14ac:dyDescent="0.3">
      <c r="A889" s="12" t="s">
        <v>258</v>
      </c>
      <c r="B889" s="12" t="s">
        <v>12</v>
      </c>
      <c r="C889">
        <v>17.100000000000001</v>
      </c>
      <c r="D889">
        <v>44.1</v>
      </c>
      <c r="E889">
        <v>1.3</v>
      </c>
      <c r="F889">
        <v>0</v>
      </c>
      <c r="G889">
        <v>0.2</v>
      </c>
      <c r="H889">
        <v>4000</v>
      </c>
      <c r="I889">
        <v>4783.3</v>
      </c>
      <c r="J889">
        <v>1</v>
      </c>
      <c r="K889">
        <f>J889+energy_grid_portfolio_dataset!G889</f>
        <v>1.2</v>
      </c>
      <c r="L889">
        <f>HOUR(energy_timestamp[[#This Row],[timestamp]])</f>
        <v>23</v>
      </c>
    </row>
    <row r="890" spans="1:12" x14ac:dyDescent="0.3">
      <c r="A890" s="12" t="s">
        <v>259</v>
      </c>
      <c r="B890" s="12" t="s">
        <v>12</v>
      </c>
      <c r="C890">
        <v>22</v>
      </c>
      <c r="D890">
        <v>4.8</v>
      </c>
      <c r="E890">
        <v>5.9</v>
      </c>
      <c r="F890">
        <v>0</v>
      </c>
      <c r="G890">
        <v>19.7</v>
      </c>
      <c r="H890">
        <v>4000</v>
      </c>
      <c r="I890">
        <v>5002</v>
      </c>
      <c r="J890">
        <v>1</v>
      </c>
      <c r="K890">
        <f>J890+energy_grid_portfolio_dataset!G890</f>
        <v>20.7</v>
      </c>
      <c r="L890">
        <f>HOUR(energy_timestamp[[#This Row],[timestamp]])</f>
        <v>0</v>
      </c>
    </row>
    <row r="891" spans="1:12" x14ac:dyDescent="0.3">
      <c r="A891" s="12" t="s">
        <v>260</v>
      </c>
      <c r="B891" s="12" t="s">
        <v>12</v>
      </c>
      <c r="C891">
        <v>17.399999999999999</v>
      </c>
      <c r="D891">
        <v>56.6</v>
      </c>
      <c r="E891">
        <v>2.1</v>
      </c>
      <c r="F891">
        <v>0</v>
      </c>
      <c r="G891">
        <v>0.9</v>
      </c>
      <c r="H891">
        <v>4000</v>
      </c>
      <c r="I891">
        <v>5046.1000000000004</v>
      </c>
      <c r="J891">
        <v>1</v>
      </c>
      <c r="K891">
        <f>J891+energy_grid_portfolio_dataset!G891</f>
        <v>1.9</v>
      </c>
      <c r="L891">
        <f>HOUR(energy_timestamp[[#This Row],[timestamp]])</f>
        <v>1</v>
      </c>
    </row>
    <row r="892" spans="1:12" x14ac:dyDescent="0.3">
      <c r="A892" s="12" t="s">
        <v>261</v>
      </c>
      <c r="B892" s="12" t="s">
        <v>12</v>
      </c>
      <c r="C892">
        <v>16.2</v>
      </c>
      <c r="D892">
        <v>0</v>
      </c>
      <c r="E892">
        <v>9.6</v>
      </c>
      <c r="F892">
        <v>0</v>
      </c>
      <c r="G892">
        <v>84.5</v>
      </c>
      <c r="H892">
        <v>4000</v>
      </c>
      <c r="I892">
        <v>4984.8999999999996</v>
      </c>
      <c r="J892">
        <v>1</v>
      </c>
      <c r="K892">
        <f>J892+energy_grid_portfolio_dataset!G892</f>
        <v>85.5</v>
      </c>
      <c r="L892">
        <f>HOUR(energy_timestamp[[#This Row],[timestamp]])</f>
        <v>2</v>
      </c>
    </row>
    <row r="893" spans="1:12" x14ac:dyDescent="0.3">
      <c r="A893" s="12" t="s">
        <v>262</v>
      </c>
      <c r="B893" s="12" t="s">
        <v>12</v>
      </c>
      <c r="C893">
        <v>18.600000000000001</v>
      </c>
      <c r="D893">
        <v>66.900000000000006</v>
      </c>
      <c r="E893">
        <v>9.1999999999999993</v>
      </c>
      <c r="F893">
        <v>0</v>
      </c>
      <c r="G893">
        <v>75.3</v>
      </c>
      <c r="H893">
        <v>4000</v>
      </c>
      <c r="I893">
        <v>5093.8</v>
      </c>
      <c r="J893">
        <v>1</v>
      </c>
      <c r="K893">
        <f>J893+energy_grid_portfolio_dataset!G893</f>
        <v>76.3</v>
      </c>
      <c r="L893">
        <f>HOUR(energy_timestamp[[#This Row],[timestamp]])</f>
        <v>3</v>
      </c>
    </row>
    <row r="894" spans="1:12" x14ac:dyDescent="0.3">
      <c r="A894" s="12" t="s">
        <v>263</v>
      </c>
      <c r="B894" s="12" t="s">
        <v>12</v>
      </c>
      <c r="C894">
        <v>21.3</v>
      </c>
      <c r="D894">
        <v>51.1</v>
      </c>
      <c r="E894">
        <v>9.9</v>
      </c>
      <c r="F894">
        <v>0</v>
      </c>
      <c r="G894">
        <v>94.2</v>
      </c>
      <c r="H894">
        <v>4000</v>
      </c>
      <c r="I894">
        <v>4983.7</v>
      </c>
      <c r="J894">
        <v>1</v>
      </c>
      <c r="K894">
        <f>J894+energy_grid_portfolio_dataset!G894</f>
        <v>95.2</v>
      </c>
      <c r="L894">
        <f>HOUR(energy_timestamp[[#This Row],[timestamp]])</f>
        <v>4</v>
      </c>
    </row>
    <row r="895" spans="1:12" x14ac:dyDescent="0.3">
      <c r="A895" s="12" t="s">
        <v>264</v>
      </c>
      <c r="B895" s="12" t="s">
        <v>12</v>
      </c>
      <c r="C895">
        <v>21.1</v>
      </c>
      <c r="D895">
        <v>21.9</v>
      </c>
      <c r="E895">
        <v>6.9</v>
      </c>
      <c r="F895">
        <v>0</v>
      </c>
      <c r="G895">
        <v>31</v>
      </c>
      <c r="H895">
        <v>4000</v>
      </c>
      <c r="I895">
        <v>4998.1000000000004</v>
      </c>
      <c r="J895">
        <v>1</v>
      </c>
      <c r="K895">
        <f>J895+energy_grid_portfolio_dataset!G895</f>
        <v>32</v>
      </c>
      <c r="L895">
        <f>HOUR(energy_timestamp[[#This Row],[timestamp]])</f>
        <v>5</v>
      </c>
    </row>
    <row r="896" spans="1:12" x14ac:dyDescent="0.3">
      <c r="A896" s="12" t="s">
        <v>265</v>
      </c>
      <c r="B896" s="12" t="s">
        <v>12</v>
      </c>
      <c r="C896">
        <v>20.7</v>
      </c>
      <c r="D896">
        <v>35.5</v>
      </c>
      <c r="E896">
        <v>2.8</v>
      </c>
      <c r="F896">
        <v>318.5</v>
      </c>
      <c r="G896">
        <v>2.1</v>
      </c>
      <c r="H896">
        <v>4000</v>
      </c>
      <c r="I896">
        <v>4825.2</v>
      </c>
      <c r="J896">
        <v>1</v>
      </c>
      <c r="K896">
        <f>J896+energy_grid_portfolio_dataset!G896</f>
        <v>3.1</v>
      </c>
      <c r="L896">
        <f>HOUR(energy_timestamp[[#This Row],[timestamp]])</f>
        <v>6</v>
      </c>
    </row>
    <row r="897" spans="1:12" x14ac:dyDescent="0.3">
      <c r="A897" s="12" t="s">
        <v>266</v>
      </c>
      <c r="B897" s="12" t="s">
        <v>12</v>
      </c>
      <c r="C897">
        <v>26</v>
      </c>
      <c r="D897">
        <v>100</v>
      </c>
      <c r="E897">
        <v>2.2999999999999998</v>
      </c>
      <c r="F897">
        <v>173.6</v>
      </c>
      <c r="G897">
        <v>1.2</v>
      </c>
      <c r="H897">
        <v>4000</v>
      </c>
      <c r="I897">
        <v>5268.7</v>
      </c>
      <c r="J897">
        <v>1</v>
      </c>
      <c r="K897">
        <f>J897+energy_grid_portfolio_dataset!G897</f>
        <v>2.2000000000000002</v>
      </c>
      <c r="L897">
        <f>HOUR(energy_timestamp[[#This Row],[timestamp]])</f>
        <v>7</v>
      </c>
    </row>
    <row r="898" spans="1:12" x14ac:dyDescent="0.3">
      <c r="A898" s="12" t="s">
        <v>267</v>
      </c>
      <c r="B898" s="12" t="s">
        <v>12</v>
      </c>
      <c r="C898">
        <v>21.9</v>
      </c>
      <c r="D898">
        <v>39.1</v>
      </c>
      <c r="E898">
        <v>3.2</v>
      </c>
      <c r="F898">
        <v>856.6</v>
      </c>
      <c r="G898">
        <v>3.3</v>
      </c>
      <c r="H898">
        <v>4000</v>
      </c>
      <c r="I898">
        <v>4960.7</v>
      </c>
      <c r="J898">
        <v>1</v>
      </c>
      <c r="K898">
        <f>J898+energy_grid_portfolio_dataset!G898</f>
        <v>4.3</v>
      </c>
      <c r="L898">
        <f>HOUR(energy_timestamp[[#This Row],[timestamp]])</f>
        <v>8</v>
      </c>
    </row>
    <row r="899" spans="1:12" x14ac:dyDescent="0.3">
      <c r="A899" s="12" t="s">
        <v>268</v>
      </c>
      <c r="B899" s="12" t="s">
        <v>12</v>
      </c>
      <c r="C899">
        <v>24.7</v>
      </c>
      <c r="D899">
        <v>92.1</v>
      </c>
      <c r="E899">
        <v>7.8</v>
      </c>
      <c r="F899">
        <v>412.2</v>
      </c>
      <c r="G899">
        <v>45.8</v>
      </c>
      <c r="H899">
        <v>4000</v>
      </c>
      <c r="I899">
        <v>5135.8999999999996</v>
      </c>
      <c r="J899">
        <v>1</v>
      </c>
      <c r="K899">
        <f>J899+energy_grid_portfolio_dataset!G899</f>
        <v>46.8</v>
      </c>
      <c r="L899">
        <f>HOUR(energy_timestamp[[#This Row],[timestamp]])</f>
        <v>9</v>
      </c>
    </row>
    <row r="900" spans="1:12" x14ac:dyDescent="0.3">
      <c r="A900" s="12" t="s">
        <v>269</v>
      </c>
      <c r="B900" s="12" t="s">
        <v>12</v>
      </c>
      <c r="C900">
        <v>23.4</v>
      </c>
      <c r="D900">
        <v>97.8</v>
      </c>
      <c r="E900">
        <v>9.4</v>
      </c>
      <c r="F900">
        <v>392.4</v>
      </c>
      <c r="G900">
        <v>80.7</v>
      </c>
      <c r="H900">
        <v>4000</v>
      </c>
      <c r="I900">
        <v>7495.5</v>
      </c>
      <c r="J900">
        <v>1</v>
      </c>
      <c r="K900">
        <f>J900+energy_grid_portfolio_dataset!G900</f>
        <v>81.7</v>
      </c>
      <c r="L900">
        <f>HOUR(energy_timestamp[[#This Row],[timestamp]])</f>
        <v>10</v>
      </c>
    </row>
    <row r="901" spans="1:12" x14ac:dyDescent="0.3">
      <c r="A901" s="12" t="s">
        <v>270</v>
      </c>
      <c r="B901" s="12" t="s">
        <v>12</v>
      </c>
      <c r="C901">
        <v>28.8</v>
      </c>
      <c r="D901">
        <v>70.099999999999994</v>
      </c>
      <c r="E901">
        <v>5.3</v>
      </c>
      <c r="F901">
        <v>856.6</v>
      </c>
      <c r="G901">
        <v>14.4</v>
      </c>
      <c r="H901">
        <v>4000</v>
      </c>
      <c r="I901">
        <v>7004</v>
      </c>
      <c r="J901">
        <v>1</v>
      </c>
      <c r="K901">
        <f>J901+energy_grid_portfolio_dataset!G901</f>
        <v>15.4</v>
      </c>
      <c r="L901">
        <f>HOUR(energy_timestamp[[#This Row],[timestamp]])</f>
        <v>11</v>
      </c>
    </row>
    <row r="902" spans="1:12" x14ac:dyDescent="0.3">
      <c r="A902" s="12" t="s">
        <v>271</v>
      </c>
      <c r="B902" s="12" t="s">
        <v>12</v>
      </c>
      <c r="C902">
        <v>25.6</v>
      </c>
      <c r="D902">
        <v>100</v>
      </c>
      <c r="E902">
        <v>6</v>
      </c>
      <c r="F902">
        <v>400</v>
      </c>
      <c r="G902">
        <v>20.8</v>
      </c>
      <c r="H902">
        <v>4000</v>
      </c>
      <c r="I902">
        <v>7026.4</v>
      </c>
      <c r="J902">
        <v>1</v>
      </c>
      <c r="K902">
        <f>J902+energy_grid_portfolio_dataset!G902</f>
        <v>21.8</v>
      </c>
      <c r="L902">
        <f>HOUR(energy_timestamp[[#This Row],[timestamp]])</f>
        <v>12</v>
      </c>
    </row>
    <row r="903" spans="1:12" x14ac:dyDescent="0.3">
      <c r="A903" s="12" t="s">
        <v>272</v>
      </c>
      <c r="B903" s="12" t="s">
        <v>12</v>
      </c>
      <c r="C903">
        <v>25.2</v>
      </c>
      <c r="D903">
        <v>36.6</v>
      </c>
      <c r="E903">
        <v>9.1999999999999993</v>
      </c>
      <c r="F903">
        <v>1378.9</v>
      </c>
      <c r="G903">
        <v>75.900000000000006</v>
      </c>
      <c r="H903">
        <v>4000</v>
      </c>
      <c r="I903">
        <v>7267.3</v>
      </c>
      <c r="J903">
        <v>1</v>
      </c>
      <c r="K903">
        <f>J903+energy_grid_portfolio_dataset!G903</f>
        <v>76.900000000000006</v>
      </c>
      <c r="L903">
        <f>HOUR(energy_timestamp[[#This Row],[timestamp]])</f>
        <v>13</v>
      </c>
    </row>
    <row r="904" spans="1:12" x14ac:dyDescent="0.3">
      <c r="A904" s="12" t="s">
        <v>273</v>
      </c>
      <c r="B904" s="12" t="s">
        <v>12</v>
      </c>
      <c r="C904">
        <v>25.5</v>
      </c>
      <c r="D904">
        <v>61</v>
      </c>
      <c r="E904">
        <v>6.3</v>
      </c>
      <c r="F904">
        <v>922.3</v>
      </c>
      <c r="G904">
        <v>24.4</v>
      </c>
      <c r="H904">
        <v>4000</v>
      </c>
      <c r="I904">
        <v>6947.6</v>
      </c>
      <c r="J904">
        <v>1</v>
      </c>
      <c r="K904">
        <f>J904+energy_grid_portfolio_dataset!G904</f>
        <v>25.4</v>
      </c>
      <c r="L904">
        <f>HOUR(energy_timestamp[[#This Row],[timestamp]])</f>
        <v>14</v>
      </c>
    </row>
    <row r="905" spans="1:12" x14ac:dyDescent="0.3">
      <c r="A905" s="12" t="s">
        <v>274</v>
      </c>
      <c r="B905" s="12" t="s">
        <v>12</v>
      </c>
      <c r="C905">
        <v>26.3</v>
      </c>
      <c r="D905">
        <v>80.8</v>
      </c>
      <c r="E905">
        <v>8.1999999999999993</v>
      </c>
      <c r="F905">
        <v>553.1</v>
      </c>
      <c r="G905">
        <v>53</v>
      </c>
      <c r="H905">
        <v>4000</v>
      </c>
      <c r="I905">
        <v>4923.1000000000004</v>
      </c>
      <c r="J905">
        <v>1</v>
      </c>
      <c r="K905">
        <f>J905+energy_grid_portfolio_dataset!G905</f>
        <v>54</v>
      </c>
      <c r="L905">
        <f>HOUR(energy_timestamp[[#This Row],[timestamp]])</f>
        <v>15</v>
      </c>
    </row>
    <row r="906" spans="1:12" x14ac:dyDescent="0.3">
      <c r="A906" s="12" t="s">
        <v>275</v>
      </c>
      <c r="B906" s="12" t="s">
        <v>12</v>
      </c>
      <c r="C906">
        <v>23.9</v>
      </c>
      <c r="D906">
        <v>95.8</v>
      </c>
      <c r="E906">
        <v>8.6999999999999993</v>
      </c>
      <c r="F906">
        <v>290.89999999999998</v>
      </c>
      <c r="G906">
        <v>62.9</v>
      </c>
      <c r="H906">
        <v>4000</v>
      </c>
      <c r="I906">
        <v>4802.1000000000004</v>
      </c>
      <c r="J906">
        <v>1</v>
      </c>
      <c r="K906">
        <f>J906+energy_grid_portfolio_dataset!G906</f>
        <v>63.9</v>
      </c>
      <c r="L906">
        <f>HOUR(energy_timestamp[[#This Row],[timestamp]])</f>
        <v>16</v>
      </c>
    </row>
    <row r="907" spans="1:12" x14ac:dyDescent="0.3">
      <c r="A907" s="12" t="s">
        <v>276</v>
      </c>
      <c r="B907" s="12" t="s">
        <v>12</v>
      </c>
      <c r="C907">
        <v>24</v>
      </c>
      <c r="D907">
        <v>0.7</v>
      </c>
      <c r="E907">
        <v>6.1</v>
      </c>
      <c r="F907">
        <v>863.2</v>
      </c>
      <c r="G907">
        <v>22.2</v>
      </c>
      <c r="H907">
        <v>3858.7</v>
      </c>
      <c r="I907">
        <v>4744.1000000000004</v>
      </c>
      <c r="J907">
        <v>0</v>
      </c>
      <c r="K907">
        <f>J907+energy_grid_portfolio_dataset!G907</f>
        <v>22.2</v>
      </c>
      <c r="L907">
        <f>HOUR(energy_timestamp[[#This Row],[timestamp]])</f>
        <v>17</v>
      </c>
    </row>
    <row r="908" spans="1:12" x14ac:dyDescent="0.3">
      <c r="A908" s="12" t="s">
        <v>277</v>
      </c>
      <c r="B908" s="12" t="s">
        <v>12</v>
      </c>
      <c r="C908">
        <v>20.100000000000001</v>
      </c>
      <c r="D908">
        <v>35</v>
      </c>
      <c r="E908">
        <v>8.3000000000000007</v>
      </c>
      <c r="F908">
        <v>320.5</v>
      </c>
      <c r="G908">
        <v>54.7</v>
      </c>
      <c r="H908">
        <v>4000</v>
      </c>
      <c r="I908">
        <v>7984.7</v>
      </c>
      <c r="J908">
        <v>1</v>
      </c>
      <c r="K908">
        <f>J908+energy_grid_portfolio_dataset!G908</f>
        <v>55.7</v>
      </c>
      <c r="L908">
        <f>HOUR(energy_timestamp[[#This Row],[timestamp]])</f>
        <v>18</v>
      </c>
    </row>
    <row r="909" spans="1:12" x14ac:dyDescent="0.3">
      <c r="A909" s="12" t="s">
        <v>278</v>
      </c>
      <c r="B909" s="12" t="s">
        <v>12</v>
      </c>
      <c r="C909">
        <v>19.399999999999999</v>
      </c>
      <c r="D909">
        <v>77.900000000000006</v>
      </c>
      <c r="E909">
        <v>4.0999999999999996</v>
      </c>
      <c r="F909">
        <v>0</v>
      </c>
      <c r="G909">
        <v>6.6</v>
      </c>
      <c r="H909">
        <v>4000</v>
      </c>
      <c r="I909">
        <v>7468.6</v>
      </c>
      <c r="J909">
        <v>1</v>
      </c>
      <c r="K909">
        <f>J909+energy_grid_portfolio_dataset!G909</f>
        <v>7.6</v>
      </c>
      <c r="L909">
        <f>HOUR(energy_timestamp[[#This Row],[timestamp]])</f>
        <v>19</v>
      </c>
    </row>
    <row r="910" spans="1:12" x14ac:dyDescent="0.3">
      <c r="A910" s="12" t="s">
        <v>279</v>
      </c>
      <c r="B910" s="12" t="s">
        <v>12</v>
      </c>
      <c r="C910">
        <v>21</v>
      </c>
      <c r="D910">
        <v>72.599999999999994</v>
      </c>
      <c r="E910">
        <v>6.8</v>
      </c>
      <c r="F910">
        <v>0</v>
      </c>
      <c r="G910">
        <v>30.2</v>
      </c>
      <c r="H910">
        <v>4000</v>
      </c>
      <c r="I910">
        <v>7664.6</v>
      </c>
      <c r="J910">
        <v>1</v>
      </c>
      <c r="K910">
        <f>J910+energy_grid_portfolio_dataset!G910</f>
        <v>31.2</v>
      </c>
      <c r="L910">
        <f>HOUR(energy_timestamp[[#This Row],[timestamp]])</f>
        <v>20</v>
      </c>
    </row>
    <row r="911" spans="1:12" x14ac:dyDescent="0.3">
      <c r="A911" s="12" t="s">
        <v>280</v>
      </c>
      <c r="B911" s="12" t="s">
        <v>12</v>
      </c>
      <c r="C911">
        <v>19.2</v>
      </c>
      <c r="D911">
        <v>56.3</v>
      </c>
      <c r="E911">
        <v>7.4</v>
      </c>
      <c r="F911">
        <v>0</v>
      </c>
      <c r="G911">
        <v>38.5</v>
      </c>
      <c r="H911">
        <v>4000</v>
      </c>
      <c r="I911">
        <v>7649.1</v>
      </c>
      <c r="J911">
        <v>1</v>
      </c>
      <c r="K911">
        <f>J911+energy_grid_portfolio_dataset!G911</f>
        <v>39.5</v>
      </c>
      <c r="L911">
        <f>HOUR(energy_timestamp[[#This Row],[timestamp]])</f>
        <v>21</v>
      </c>
    </row>
    <row r="912" spans="1:12" x14ac:dyDescent="0.3">
      <c r="A912" s="12" t="s">
        <v>281</v>
      </c>
      <c r="B912" s="12" t="s">
        <v>12</v>
      </c>
      <c r="C912">
        <v>17.3</v>
      </c>
      <c r="D912">
        <v>30.3</v>
      </c>
      <c r="E912">
        <v>5.9</v>
      </c>
      <c r="F912">
        <v>0</v>
      </c>
      <c r="G912">
        <v>19.7</v>
      </c>
      <c r="H912">
        <v>4000</v>
      </c>
      <c r="I912">
        <v>4875.5</v>
      </c>
      <c r="J912">
        <v>1</v>
      </c>
      <c r="K912">
        <f>J912+energy_grid_portfolio_dataset!G912</f>
        <v>20.7</v>
      </c>
      <c r="L912">
        <f>HOUR(energy_timestamp[[#This Row],[timestamp]])</f>
        <v>22</v>
      </c>
    </row>
    <row r="913" spans="1:12" x14ac:dyDescent="0.3">
      <c r="A913" s="12" t="s">
        <v>282</v>
      </c>
      <c r="B913" s="12" t="s">
        <v>12</v>
      </c>
      <c r="C913">
        <v>14.9</v>
      </c>
      <c r="D913">
        <v>67.8</v>
      </c>
      <c r="E913">
        <v>6.6</v>
      </c>
      <c r="F913">
        <v>0</v>
      </c>
      <c r="G913">
        <v>28.1</v>
      </c>
      <c r="H913">
        <v>4000</v>
      </c>
      <c r="I913">
        <v>4828.3</v>
      </c>
      <c r="J913">
        <v>1</v>
      </c>
      <c r="K913">
        <f>J913+energy_grid_portfolio_dataset!G913</f>
        <v>29.1</v>
      </c>
      <c r="L913">
        <f>HOUR(energy_timestamp[[#This Row],[timestamp]])</f>
        <v>23</v>
      </c>
    </row>
    <row r="914" spans="1:12" x14ac:dyDescent="0.3">
      <c r="A914" s="12" t="s">
        <v>283</v>
      </c>
      <c r="B914" s="12" t="s">
        <v>12</v>
      </c>
      <c r="C914">
        <v>16.100000000000001</v>
      </c>
      <c r="D914">
        <v>72.2</v>
      </c>
      <c r="E914">
        <v>7.7</v>
      </c>
      <c r="F914">
        <v>0</v>
      </c>
      <c r="G914">
        <v>43</v>
      </c>
      <c r="H914">
        <v>4000</v>
      </c>
      <c r="I914">
        <v>5067.3999999999996</v>
      </c>
      <c r="J914">
        <v>1</v>
      </c>
      <c r="K914">
        <f>J914+energy_grid_portfolio_dataset!G914</f>
        <v>44</v>
      </c>
      <c r="L914">
        <f>HOUR(energy_timestamp[[#This Row],[timestamp]])</f>
        <v>0</v>
      </c>
    </row>
    <row r="915" spans="1:12" x14ac:dyDescent="0.3">
      <c r="A915" s="12" t="s">
        <v>284</v>
      </c>
      <c r="B915" s="12" t="s">
        <v>12</v>
      </c>
      <c r="C915">
        <v>15.5</v>
      </c>
      <c r="D915">
        <v>64.5</v>
      </c>
      <c r="E915">
        <v>7.1</v>
      </c>
      <c r="F915">
        <v>0</v>
      </c>
      <c r="G915">
        <v>34.200000000000003</v>
      </c>
      <c r="H915">
        <v>4000</v>
      </c>
      <c r="I915">
        <v>5016.7</v>
      </c>
      <c r="J915">
        <v>1</v>
      </c>
      <c r="K915">
        <f>J915+energy_grid_portfolio_dataset!G915</f>
        <v>35.200000000000003</v>
      </c>
      <c r="L915">
        <f>HOUR(energy_timestamp[[#This Row],[timestamp]])</f>
        <v>1</v>
      </c>
    </row>
    <row r="916" spans="1:12" x14ac:dyDescent="0.3">
      <c r="A916" s="12" t="s">
        <v>285</v>
      </c>
      <c r="B916" s="12" t="s">
        <v>12</v>
      </c>
      <c r="C916">
        <v>13.5</v>
      </c>
      <c r="D916">
        <v>64.8</v>
      </c>
      <c r="E916">
        <v>12.6</v>
      </c>
      <c r="F916">
        <v>0</v>
      </c>
      <c r="G916">
        <v>193.8</v>
      </c>
      <c r="H916">
        <v>4000</v>
      </c>
      <c r="I916">
        <v>4951.1000000000004</v>
      </c>
      <c r="J916">
        <v>1</v>
      </c>
      <c r="K916">
        <f>J916+energy_grid_portfolio_dataset!G916</f>
        <v>194.8</v>
      </c>
      <c r="L916">
        <f>HOUR(energy_timestamp[[#This Row],[timestamp]])</f>
        <v>2</v>
      </c>
    </row>
    <row r="917" spans="1:12" x14ac:dyDescent="0.3">
      <c r="A917" s="12" t="s">
        <v>286</v>
      </c>
      <c r="B917" s="12" t="s">
        <v>12</v>
      </c>
      <c r="C917">
        <v>17</v>
      </c>
      <c r="D917">
        <v>71.2</v>
      </c>
      <c r="E917">
        <v>6.9</v>
      </c>
      <c r="F917">
        <v>0</v>
      </c>
      <c r="G917">
        <v>32</v>
      </c>
      <c r="H917">
        <v>4000</v>
      </c>
      <c r="I917">
        <v>4896</v>
      </c>
      <c r="J917">
        <v>1</v>
      </c>
      <c r="K917">
        <f>J917+energy_grid_portfolio_dataset!G917</f>
        <v>33</v>
      </c>
      <c r="L917">
        <f>HOUR(energy_timestamp[[#This Row],[timestamp]])</f>
        <v>3</v>
      </c>
    </row>
    <row r="918" spans="1:12" x14ac:dyDescent="0.3">
      <c r="A918" s="12" t="s">
        <v>287</v>
      </c>
      <c r="B918" s="12" t="s">
        <v>12</v>
      </c>
      <c r="C918">
        <v>17</v>
      </c>
      <c r="D918">
        <v>81.900000000000006</v>
      </c>
      <c r="E918">
        <v>7.8</v>
      </c>
      <c r="F918">
        <v>0</v>
      </c>
      <c r="G918">
        <v>45.1</v>
      </c>
      <c r="H918">
        <v>4000</v>
      </c>
      <c r="I918">
        <v>5128.8999999999996</v>
      </c>
      <c r="J918">
        <v>1</v>
      </c>
      <c r="K918">
        <f>J918+energy_grid_portfolio_dataset!G918</f>
        <v>46.1</v>
      </c>
      <c r="L918">
        <f>HOUR(energy_timestamp[[#This Row],[timestamp]])</f>
        <v>4</v>
      </c>
    </row>
    <row r="919" spans="1:12" x14ac:dyDescent="0.3">
      <c r="A919" s="12" t="s">
        <v>288</v>
      </c>
      <c r="B919" s="12" t="s">
        <v>12</v>
      </c>
      <c r="C919">
        <v>21.4</v>
      </c>
      <c r="D919">
        <v>90.9</v>
      </c>
      <c r="E919">
        <v>8.6</v>
      </c>
      <c r="F919">
        <v>0</v>
      </c>
      <c r="G919">
        <v>61.4</v>
      </c>
      <c r="H919">
        <v>4000</v>
      </c>
      <c r="I919">
        <v>4928.7</v>
      </c>
      <c r="J919">
        <v>1</v>
      </c>
      <c r="K919">
        <f>J919+energy_grid_portfolio_dataset!G919</f>
        <v>62.4</v>
      </c>
      <c r="L919">
        <f>HOUR(energy_timestamp[[#This Row],[timestamp]])</f>
        <v>5</v>
      </c>
    </row>
    <row r="920" spans="1:12" x14ac:dyDescent="0.3">
      <c r="A920" s="12" t="s">
        <v>289</v>
      </c>
      <c r="B920" s="12" t="s">
        <v>12</v>
      </c>
      <c r="C920">
        <v>23.6</v>
      </c>
      <c r="D920">
        <v>58.1</v>
      </c>
      <c r="E920">
        <v>6.2</v>
      </c>
      <c r="F920">
        <v>238.3</v>
      </c>
      <c r="G920">
        <v>23.1</v>
      </c>
      <c r="H920">
        <v>4000</v>
      </c>
      <c r="I920">
        <v>4778.5</v>
      </c>
      <c r="J920">
        <v>1</v>
      </c>
      <c r="K920">
        <f>J920+energy_grid_portfolio_dataset!G920</f>
        <v>24.1</v>
      </c>
      <c r="L920">
        <f>HOUR(energy_timestamp[[#This Row],[timestamp]])</f>
        <v>6</v>
      </c>
    </row>
    <row r="921" spans="1:12" x14ac:dyDescent="0.3">
      <c r="A921" s="12" t="s">
        <v>290</v>
      </c>
      <c r="B921" s="12" t="s">
        <v>12</v>
      </c>
      <c r="C921">
        <v>23</v>
      </c>
      <c r="D921">
        <v>95.8</v>
      </c>
      <c r="E921">
        <v>5.7</v>
      </c>
      <c r="F921">
        <v>203</v>
      </c>
      <c r="G921">
        <v>18.2</v>
      </c>
      <c r="H921">
        <v>4000</v>
      </c>
      <c r="I921">
        <v>4961</v>
      </c>
      <c r="J921">
        <v>1</v>
      </c>
      <c r="K921">
        <f>J921+energy_grid_portfolio_dataset!G921</f>
        <v>19.2</v>
      </c>
      <c r="L921">
        <f>HOUR(energy_timestamp[[#This Row],[timestamp]])</f>
        <v>7</v>
      </c>
    </row>
    <row r="922" spans="1:12" x14ac:dyDescent="0.3">
      <c r="A922" s="12" t="s">
        <v>291</v>
      </c>
      <c r="B922" s="12" t="s">
        <v>12</v>
      </c>
      <c r="C922">
        <v>23.7</v>
      </c>
      <c r="D922">
        <v>65.400000000000006</v>
      </c>
      <c r="E922">
        <v>9.6999999999999993</v>
      </c>
      <c r="F922">
        <v>595</v>
      </c>
      <c r="G922">
        <v>87.3</v>
      </c>
      <c r="H922">
        <v>4000</v>
      </c>
      <c r="I922">
        <v>4782.1000000000004</v>
      </c>
      <c r="J922">
        <v>1</v>
      </c>
      <c r="K922">
        <f>J922+energy_grid_portfolio_dataset!G922</f>
        <v>88.3</v>
      </c>
      <c r="L922">
        <f>HOUR(energy_timestamp[[#This Row],[timestamp]])</f>
        <v>8</v>
      </c>
    </row>
    <row r="923" spans="1:12" x14ac:dyDescent="0.3">
      <c r="A923" s="12" t="s">
        <v>292</v>
      </c>
      <c r="B923" s="12" t="s">
        <v>12</v>
      </c>
      <c r="C923">
        <v>23.8</v>
      </c>
      <c r="D923">
        <v>100</v>
      </c>
      <c r="E923">
        <v>6.8</v>
      </c>
      <c r="F923">
        <v>312.7</v>
      </c>
      <c r="G923">
        <v>30.1</v>
      </c>
      <c r="H923">
        <v>4000</v>
      </c>
      <c r="I923">
        <v>5040.5</v>
      </c>
      <c r="J923">
        <v>1</v>
      </c>
      <c r="K923">
        <f>J923+energy_grid_portfolio_dataset!G923</f>
        <v>31.1</v>
      </c>
      <c r="L923">
        <f>HOUR(energy_timestamp[[#This Row],[timestamp]])</f>
        <v>9</v>
      </c>
    </row>
    <row r="924" spans="1:12" x14ac:dyDescent="0.3">
      <c r="A924" s="12" t="s">
        <v>293</v>
      </c>
      <c r="B924" s="12" t="s">
        <v>12</v>
      </c>
      <c r="C924">
        <v>26</v>
      </c>
      <c r="D924">
        <v>76</v>
      </c>
      <c r="E924">
        <v>8.5</v>
      </c>
      <c r="F924">
        <v>706.3</v>
      </c>
      <c r="G924">
        <v>59.3</v>
      </c>
      <c r="H924">
        <v>4000</v>
      </c>
      <c r="I924">
        <v>7341.3</v>
      </c>
      <c r="J924">
        <v>1</v>
      </c>
      <c r="K924">
        <f>J924+energy_grid_portfolio_dataset!G924</f>
        <v>60.3</v>
      </c>
      <c r="L924">
        <f>HOUR(energy_timestamp[[#This Row],[timestamp]])</f>
        <v>10</v>
      </c>
    </row>
    <row r="925" spans="1:12" x14ac:dyDescent="0.3">
      <c r="A925" s="12" t="s">
        <v>294</v>
      </c>
      <c r="B925" s="12" t="s">
        <v>12</v>
      </c>
      <c r="C925">
        <v>28.9</v>
      </c>
      <c r="D925">
        <v>86.2</v>
      </c>
      <c r="E925">
        <v>5.0999999999999996</v>
      </c>
      <c r="F925">
        <v>605.79999999999995</v>
      </c>
      <c r="G925">
        <v>12.4</v>
      </c>
      <c r="H925">
        <v>4000</v>
      </c>
      <c r="I925">
        <v>7332.7</v>
      </c>
      <c r="J925">
        <v>1</v>
      </c>
      <c r="K925">
        <f>J925+energy_grid_portfolio_dataset!G925</f>
        <v>13.4</v>
      </c>
      <c r="L925">
        <f>HOUR(energy_timestamp[[#This Row],[timestamp]])</f>
        <v>11</v>
      </c>
    </row>
    <row r="926" spans="1:12" x14ac:dyDescent="0.3">
      <c r="A926" s="12" t="s">
        <v>295</v>
      </c>
      <c r="B926" s="12" t="s">
        <v>12</v>
      </c>
      <c r="C926">
        <v>27.7</v>
      </c>
      <c r="D926">
        <v>88</v>
      </c>
      <c r="E926">
        <v>5.3</v>
      </c>
      <c r="F926">
        <v>592.1</v>
      </c>
      <c r="G926">
        <v>14.6</v>
      </c>
      <c r="H926">
        <v>4000</v>
      </c>
      <c r="I926">
        <v>7064.2</v>
      </c>
      <c r="J926">
        <v>1</v>
      </c>
      <c r="K926">
        <f>J926+energy_grid_portfolio_dataset!G926</f>
        <v>15.6</v>
      </c>
      <c r="L926">
        <f>HOUR(energy_timestamp[[#This Row],[timestamp]])</f>
        <v>12</v>
      </c>
    </row>
    <row r="927" spans="1:12" x14ac:dyDescent="0.3">
      <c r="A927" s="12" t="s">
        <v>296</v>
      </c>
      <c r="B927" s="12" t="s">
        <v>12</v>
      </c>
      <c r="C927">
        <v>29.7</v>
      </c>
      <c r="D927">
        <v>32.5</v>
      </c>
      <c r="E927">
        <v>3.5</v>
      </c>
      <c r="F927">
        <v>1442.7</v>
      </c>
      <c r="G927">
        <v>4.0999999999999996</v>
      </c>
      <c r="H927">
        <v>4000</v>
      </c>
      <c r="I927">
        <v>7309.8</v>
      </c>
      <c r="J927">
        <v>1</v>
      </c>
      <c r="K927">
        <f>J927+energy_grid_portfolio_dataset!G927</f>
        <v>5.0999999999999996</v>
      </c>
      <c r="L927">
        <f>HOUR(energy_timestamp[[#This Row],[timestamp]])</f>
        <v>13</v>
      </c>
    </row>
    <row r="928" spans="1:12" x14ac:dyDescent="0.3">
      <c r="A928" s="12" t="s">
        <v>297</v>
      </c>
      <c r="B928" s="12" t="s">
        <v>12</v>
      </c>
      <c r="C928">
        <v>26.9</v>
      </c>
      <c r="D928">
        <v>44.3</v>
      </c>
      <c r="E928">
        <v>10.1</v>
      </c>
      <c r="F928">
        <v>1163.9000000000001</v>
      </c>
      <c r="G928">
        <v>97.6</v>
      </c>
      <c r="H928">
        <v>4000</v>
      </c>
      <c r="I928">
        <v>7128.9</v>
      </c>
      <c r="J928">
        <v>1</v>
      </c>
      <c r="K928">
        <f>J928+energy_grid_portfolio_dataset!G928</f>
        <v>98.6</v>
      </c>
      <c r="L928">
        <f>HOUR(energy_timestamp[[#This Row],[timestamp]])</f>
        <v>14</v>
      </c>
    </row>
    <row r="929" spans="1:12" x14ac:dyDescent="0.3">
      <c r="A929" s="12" t="s">
        <v>298</v>
      </c>
      <c r="B929" s="12" t="s">
        <v>12</v>
      </c>
      <c r="C929">
        <v>25.6</v>
      </c>
      <c r="D929">
        <v>16.899999999999999</v>
      </c>
      <c r="E929">
        <v>2.1</v>
      </c>
      <c r="F929">
        <v>1352</v>
      </c>
      <c r="G929">
        <v>0.8</v>
      </c>
      <c r="H929">
        <v>3660.8</v>
      </c>
      <c r="I929">
        <v>5013.6000000000004</v>
      </c>
      <c r="J929">
        <v>0</v>
      </c>
      <c r="K929">
        <f>J929+energy_grid_portfolio_dataset!G929</f>
        <v>0.8</v>
      </c>
      <c r="L929">
        <f>HOUR(energy_timestamp[[#This Row],[timestamp]])</f>
        <v>15</v>
      </c>
    </row>
    <row r="930" spans="1:12" x14ac:dyDescent="0.3">
      <c r="A930" s="12" t="s">
        <v>299</v>
      </c>
      <c r="B930" s="12" t="s">
        <v>12</v>
      </c>
      <c r="C930">
        <v>20.2</v>
      </c>
      <c r="D930">
        <v>90.4</v>
      </c>
      <c r="E930">
        <v>5.5</v>
      </c>
      <c r="F930">
        <v>345.4</v>
      </c>
      <c r="G930">
        <v>16.2</v>
      </c>
      <c r="H930">
        <v>4000</v>
      </c>
      <c r="I930">
        <v>4992.2</v>
      </c>
      <c r="J930">
        <v>1</v>
      </c>
      <c r="K930">
        <f>J930+energy_grid_portfolio_dataset!G930</f>
        <v>17.2</v>
      </c>
      <c r="L930">
        <f>HOUR(energy_timestamp[[#This Row],[timestamp]])</f>
        <v>16</v>
      </c>
    </row>
    <row r="931" spans="1:12" x14ac:dyDescent="0.3">
      <c r="A931" s="12" t="s">
        <v>300</v>
      </c>
      <c r="B931" s="12" t="s">
        <v>12</v>
      </c>
      <c r="C931">
        <v>27.9</v>
      </c>
      <c r="D931">
        <v>54.6</v>
      </c>
      <c r="E931">
        <v>5.7</v>
      </c>
      <c r="F931">
        <v>489</v>
      </c>
      <c r="G931">
        <v>17.600000000000001</v>
      </c>
      <c r="H931">
        <v>4000</v>
      </c>
      <c r="I931">
        <v>5436.5</v>
      </c>
      <c r="J931">
        <v>1</v>
      </c>
      <c r="K931">
        <f>J931+energy_grid_portfolio_dataset!G931</f>
        <v>18.600000000000001</v>
      </c>
      <c r="L931">
        <f>HOUR(energy_timestamp[[#This Row],[timestamp]])</f>
        <v>17</v>
      </c>
    </row>
    <row r="932" spans="1:12" x14ac:dyDescent="0.3">
      <c r="A932" s="12" t="s">
        <v>301</v>
      </c>
      <c r="B932" s="12" t="s">
        <v>12</v>
      </c>
      <c r="C932">
        <v>25.4</v>
      </c>
      <c r="D932">
        <v>10.9</v>
      </c>
      <c r="E932">
        <v>0.6</v>
      </c>
      <c r="F932">
        <v>406.4</v>
      </c>
      <c r="G932">
        <v>0</v>
      </c>
      <c r="H932">
        <v>4000</v>
      </c>
      <c r="I932">
        <v>7849.3</v>
      </c>
      <c r="J932">
        <v>1</v>
      </c>
      <c r="K932">
        <f>J932+energy_grid_portfolio_dataset!G932</f>
        <v>1</v>
      </c>
      <c r="L932">
        <f>HOUR(energy_timestamp[[#This Row],[timestamp]])</f>
        <v>18</v>
      </c>
    </row>
    <row r="933" spans="1:12" x14ac:dyDescent="0.3">
      <c r="A933" s="12" t="s">
        <v>302</v>
      </c>
      <c r="B933" s="12" t="s">
        <v>12</v>
      </c>
      <c r="C933">
        <v>21.9</v>
      </c>
      <c r="D933">
        <v>74.900000000000006</v>
      </c>
      <c r="E933">
        <v>9.1999999999999993</v>
      </c>
      <c r="F933">
        <v>0</v>
      </c>
      <c r="G933">
        <v>75</v>
      </c>
      <c r="H933">
        <v>4000</v>
      </c>
      <c r="I933">
        <v>7606.7</v>
      </c>
      <c r="J933">
        <v>1</v>
      </c>
      <c r="K933">
        <f>J933+energy_grid_portfolio_dataset!G933</f>
        <v>76</v>
      </c>
      <c r="L933">
        <f>HOUR(energy_timestamp[[#This Row],[timestamp]])</f>
        <v>19</v>
      </c>
    </row>
    <row r="934" spans="1:12" x14ac:dyDescent="0.3">
      <c r="A934" s="12" t="s">
        <v>303</v>
      </c>
      <c r="B934" s="12" t="s">
        <v>12</v>
      </c>
      <c r="C934">
        <v>14.9</v>
      </c>
      <c r="D934">
        <v>85.7</v>
      </c>
      <c r="E934">
        <v>3.5</v>
      </c>
      <c r="F934">
        <v>0</v>
      </c>
      <c r="G934">
        <v>4.2</v>
      </c>
      <c r="H934">
        <v>4000</v>
      </c>
      <c r="I934">
        <v>7520</v>
      </c>
      <c r="J934">
        <v>1</v>
      </c>
      <c r="K934">
        <f>J934+energy_grid_portfolio_dataset!G934</f>
        <v>5.2</v>
      </c>
      <c r="L934">
        <f>HOUR(energy_timestamp[[#This Row],[timestamp]])</f>
        <v>20</v>
      </c>
    </row>
    <row r="935" spans="1:12" x14ac:dyDescent="0.3">
      <c r="A935" s="12" t="s">
        <v>304</v>
      </c>
      <c r="B935" s="12" t="s">
        <v>12</v>
      </c>
      <c r="C935">
        <v>18.8</v>
      </c>
      <c r="D935">
        <v>83.8</v>
      </c>
      <c r="E935">
        <v>5.6</v>
      </c>
      <c r="F935">
        <v>0</v>
      </c>
      <c r="G935">
        <v>17.2</v>
      </c>
      <c r="H935">
        <v>4000</v>
      </c>
      <c r="I935">
        <v>7397.2</v>
      </c>
      <c r="J935">
        <v>1</v>
      </c>
      <c r="K935">
        <f>J935+energy_grid_portfolio_dataset!G935</f>
        <v>18.2</v>
      </c>
      <c r="L935">
        <f>HOUR(energy_timestamp[[#This Row],[timestamp]])</f>
        <v>21</v>
      </c>
    </row>
    <row r="936" spans="1:12" x14ac:dyDescent="0.3">
      <c r="A936" s="12" t="s">
        <v>305</v>
      </c>
      <c r="B936" s="12" t="s">
        <v>12</v>
      </c>
      <c r="C936">
        <v>17.399999999999999</v>
      </c>
      <c r="D936">
        <v>48.9</v>
      </c>
      <c r="E936">
        <v>2</v>
      </c>
      <c r="F936">
        <v>0</v>
      </c>
      <c r="G936">
        <v>0.7</v>
      </c>
      <c r="H936">
        <v>4000</v>
      </c>
      <c r="I936">
        <v>4881.3</v>
      </c>
      <c r="J936">
        <v>1</v>
      </c>
      <c r="K936">
        <f>J936+energy_grid_portfolio_dataset!G936</f>
        <v>1.7</v>
      </c>
      <c r="L936">
        <f>HOUR(energy_timestamp[[#This Row],[timestamp]])</f>
        <v>22</v>
      </c>
    </row>
    <row r="937" spans="1:12" x14ac:dyDescent="0.3">
      <c r="A937" s="12" t="s">
        <v>306</v>
      </c>
      <c r="B937" s="12" t="s">
        <v>12</v>
      </c>
      <c r="C937">
        <v>18.2</v>
      </c>
      <c r="D937">
        <v>69.7</v>
      </c>
      <c r="E937">
        <v>6.5</v>
      </c>
      <c r="F937">
        <v>0</v>
      </c>
      <c r="G937">
        <v>26.4</v>
      </c>
      <c r="H937">
        <v>4000</v>
      </c>
      <c r="I937">
        <v>4842.8</v>
      </c>
      <c r="J937">
        <v>1</v>
      </c>
      <c r="K937">
        <f>J937+energy_grid_portfolio_dataset!G937</f>
        <v>27.4</v>
      </c>
      <c r="L937">
        <f>HOUR(energy_timestamp[[#This Row],[timestamp]])</f>
        <v>23</v>
      </c>
    </row>
    <row r="938" spans="1:12" x14ac:dyDescent="0.3">
      <c r="A938" s="12" t="s">
        <v>307</v>
      </c>
      <c r="B938" s="12" t="s">
        <v>12</v>
      </c>
      <c r="C938">
        <v>16.600000000000001</v>
      </c>
      <c r="D938">
        <v>0</v>
      </c>
      <c r="E938">
        <v>6.5</v>
      </c>
      <c r="F938">
        <v>0</v>
      </c>
      <c r="G938">
        <v>26.8</v>
      </c>
      <c r="H938">
        <v>4000</v>
      </c>
      <c r="I938">
        <v>4170.7</v>
      </c>
      <c r="J938">
        <v>1</v>
      </c>
      <c r="K938">
        <f>J938+energy_grid_portfolio_dataset!G938</f>
        <v>27.8</v>
      </c>
      <c r="L938">
        <f>HOUR(energy_timestamp[[#This Row],[timestamp]])</f>
        <v>0</v>
      </c>
    </row>
    <row r="939" spans="1:12" x14ac:dyDescent="0.3">
      <c r="A939" s="12" t="s">
        <v>308</v>
      </c>
      <c r="B939" s="12" t="s">
        <v>12</v>
      </c>
      <c r="C939">
        <v>14.2</v>
      </c>
      <c r="D939">
        <v>42.4</v>
      </c>
      <c r="E939">
        <v>7</v>
      </c>
      <c r="F939">
        <v>0</v>
      </c>
      <c r="G939">
        <v>32.700000000000003</v>
      </c>
      <c r="H939">
        <v>4000</v>
      </c>
      <c r="I939">
        <v>4534.3</v>
      </c>
      <c r="J939">
        <v>1</v>
      </c>
      <c r="K939">
        <f>J939+energy_grid_portfolio_dataset!G939</f>
        <v>33.700000000000003</v>
      </c>
      <c r="L939">
        <f>HOUR(energy_timestamp[[#This Row],[timestamp]])</f>
        <v>1</v>
      </c>
    </row>
    <row r="940" spans="1:12" x14ac:dyDescent="0.3">
      <c r="A940" s="12" t="s">
        <v>309</v>
      </c>
      <c r="B940" s="12" t="s">
        <v>12</v>
      </c>
      <c r="C940">
        <v>16.8</v>
      </c>
      <c r="D940">
        <v>39.200000000000003</v>
      </c>
      <c r="E940">
        <v>0.1</v>
      </c>
      <c r="F940">
        <v>0</v>
      </c>
      <c r="G940">
        <v>0</v>
      </c>
      <c r="H940">
        <v>4000</v>
      </c>
      <c r="I940">
        <v>4507.8999999999996</v>
      </c>
      <c r="J940">
        <v>1</v>
      </c>
      <c r="K940">
        <f>J940+energy_grid_portfolio_dataset!G940</f>
        <v>1</v>
      </c>
      <c r="L940">
        <f>HOUR(energy_timestamp[[#This Row],[timestamp]])</f>
        <v>2</v>
      </c>
    </row>
    <row r="941" spans="1:12" x14ac:dyDescent="0.3">
      <c r="A941" s="12" t="s">
        <v>310</v>
      </c>
      <c r="B941" s="12" t="s">
        <v>12</v>
      </c>
      <c r="C941">
        <v>22.5</v>
      </c>
      <c r="D941">
        <v>68.3</v>
      </c>
      <c r="E941">
        <v>5.9</v>
      </c>
      <c r="F941">
        <v>0</v>
      </c>
      <c r="G941">
        <v>20.100000000000001</v>
      </c>
      <c r="H941">
        <v>4000</v>
      </c>
      <c r="I941">
        <v>4335.5</v>
      </c>
      <c r="J941">
        <v>1</v>
      </c>
      <c r="K941">
        <f>J941+energy_grid_portfolio_dataset!G941</f>
        <v>21.1</v>
      </c>
      <c r="L941">
        <f>HOUR(energy_timestamp[[#This Row],[timestamp]])</f>
        <v>3</v>
      </c>
    </row>
    <row r="942" spans="1:12" x14ac:dyDescent="0.3">
      <c r="A942" s="12" t="s">
        <v>311</v>
      </c>
      <c r="B942" s="12" t="s">
        <v>12</v>
      </c>
      <c r="C942">
        <v>19.5</v>
      </c>
      <c r="D942">
        <v>35.6</v>
      </c>
      <c r="E942">
        <v>8.5</v>
      </c>
      <c r="F942">
        <v>0</v>
      </c>
      <c r="G942">
        <v>58.3</v>
      </c>
      <c r="H942">
        <v>4000</v>
      </c>
      <c r="I942">
        <v>4368.3</v>
      </c>
      <c r="J942">
        <v>1</v>
      </c>
      <c r="K942">
        <f>J942+energy_grid_portfolio_dataset!G942</f>
        <v>59.3</v>
      </c>
      <c r="L942">
        <f>HOUR(energy_timestamp[[#This Row],[timestamp]])</f>
        <v>4</v>
      </c>
    </row>
    <row r="943" spans="1:12" x14ac:dyDescent="0.3">
      <c r="A943" s="12" t="s">
        <v>312</v>
      </c>
      <c r="B943" s="12" t="s">
        <v>12</v>
      </c>
      <c r="C943">
        <v>20.7</v>
      </c>
      <c r="D943">
        <v>30.7</v>
      </c>
      <c r="E943">
        <v>9.9</v>
      </c>
      <c r="F943">
        <v>0</v>
      </c>
      <c r="G943">
        <v>93.4</v>
      </c>
      <c r="H943">
        <v>4000</v>
      </c>
      <c r="I943">
        <v>4353.8999999999996</v>
      </c>
      <c r="J943">
        <v>1</v>
      </c>
      <c r="K943">
        <f>J943+energy_grid_portfolio_dataset!G943</f>
        <v>94.4</v>
      </c>
      <c r="L943">
        <f>HOUR(energy_timestamp[[#This Row],[timestamp]])</f>
        <v>5</v>
      </c>
    </row>
    <row r="944" spans="1:12" x14ac:dyDescent="0.3">
      <c r="A944" s="12" t="s">
        <v>313</v>
      </c>
      <c r="B944" s="12" t="s">
        <v>12</v>
      </c>
      <c r="C944">
        <v>20.9</v>
      </c>
      <c r="D944">
        <v>90.1</v>
      </c>
      <c r="E944">
        <v>4.5</v>
      </c>
      <c r="F944">
        <v>124.4</v>
      </c>
      <c r="G944">
        <v>8.8000000000000007</v>
      </c>
      <c r="H944">
        <v>4000</v>
      </c>
      <c r="I944">
        <v>4419.7</v>
      </c>
      <c r="J944">
        <v>1</v>
      </c>
      <c r="K944">
        <f>J944+energy_grid_portfolio_dataset!G944</f>
        <v>9.8000000000000007</v>
      </c>
      <c r="L944">
        <f>HOUR(energy_timestamp[[#This Row],[timestamp]])</f>
        <v>6</v>
      </c>
    </row>
    <row r="945" spans="1:12" x14ac:dyDescent="0.3">
      <c r="A945" s="12" t="s">
        <v>314</v>
      </c>
      <c r="B945" s="12" t="s">
        <v>12</v>
      </c>
      <c r="C945">
        <v>21.8</v>
      </c>
      <c r="D945">
        <v>6.9</v>
      </c>
      <c r="E945">
        <v>7.4</v>
      </c>
      <c r="F945">
        <v>820.1</v>
      </c>
      <c r="G945">
        <v>39.1</v>
      </c>
      <c r="H945">
        <v>3343.5</v>
      </c>
      <c r="I945">
        <v>4202.7</v>
      </c>
      <c r="J945">
        <v>0</v>
      </c>
      <c r="K945">
        <f>J945+energy_grid_portfolio_dataset!G945</f>
        <v>39.1</v>
      </c>
      <c r="L945">
        <f>HOUR(energy_timestamp[[#This Row],[timestamp]])</f>
        <v>7</v>
      </c>
    </row>
    <row r="946" spans="1:12" x14ac:dyDescent="0.3">
      <c r="A946" s="12" t="s">
        <v>315</v>
      </c>
      <c r="B946" s="12" t="s">
        <v>12</v>
      </c>
      <c r="C946">
        <v>22</v>
      </c>
      <c r="D946">
        <v>0</v>
      </c>
      <c r="E946">
        <v>5.7</v>
      </c>
      <c r="F946">
        <v>1247</v>
      </c>
      <c r="G946">
        <v>18.2</v>
      </c>
      <c r="H946">
        <v>2780.1</v>
      </c>
      <c r="I946">
        <v>4045.3</v>
      </c>
      <c r="J946">
        <v>0</v>
      </c>
      <c r="K946">
        <f>J946+energy_grid_portfolio_dataset!G946</f>
        <v>18.2</v>
      </c>
      <c r="L946">
        <f>HOUR(energy_timestamp[[#This Row],[timestamp]])</f>
        <v>8</v>
      </c>
    </row>
    <row r="947" spans="1:12" x14ac:dyDescent="0.3">
      <c r="A947" s="12" t="s">
        <v>316</v>
      </c>
      <c r="B947" s="12" t="s">
        <v>12</v>
      </c>
      <c r="C947">
        <v>24.9</v>
      </c>
      <c r="D947">
        <v>28.7</v>
      </c>
      <c r="E947">
        <v>2.5</v>
      </c>
      <c r="F947">
        <v>1204.4000000000001</v>
      </c>
      <c r="G947">
        <v>1.5</v>
      </c>
      <c r="H947">
        <v>3091.6</v>
      </c>
      <c r="I947">
        <v>4297.5</v>
      </c>
      <c r="J947">
        <v>0</v>
      </c>
      <c r="K947">
        <f>J947+energy_grid_portfolio_dataset!G947</f>
        <v>1.5</v>
      </c>
      <c r="L947">
        <f>HOUR(energy_timestamp[[#This Row],[timestamp]])</f>
        <v>9</v>
      </c>
    </row>
    <row r="948" spans="1:12" x14ac:dyDescent="0.3">
      <c r="A948" s="12" t="s">
        <v>317</v>
      </c>
      <c r="B948" s="12" t="s">
        <v>12</v>
      </c>
      <c r="C948">
        <v>25.2</v>
      </c>
      <c r="D948">
        <v>69.5</v>
      </c>
      <c r="E948">
        <v>3.3</v>
      </c>
      <c r="F948">
        <v>800.2</v>
      </c>
      <c r="G948">
        <v>3.6</v>
      </c>
      <c r="H948">
        <v>4000</v>
      </c>
      <c r="I948">
        <v>6309.7</v>
      </c>
      <c r="J948">
        <v>1</v>
      </c>
      <c r="K948">
        <f>J948+energy_grid_portfolio_dataset!G948</f>
        <v>4.5999999999999996</v>
      </c>
      <c r="L948">
        <f>HOUR(energy_timestamp[[#This Row],[timestamp]])</f>
        <v>10</v>
      </c>
    </row>
    <row r="949" spans="1:12" x14ac:dyDescent="0.3">
      <c r="A949" s="12" t="s">
        <v>318</v>
      </c>
      <c r="B949" s="12" t="s">
        <v>12</v>
      </c>
      <c r="C949">
        <v>29.4</v>
      </c>
      <c r="D949">
        <v>77.599999999999994</v>
      </c>
      <c r="E949">
        <v>4.8</v>
      </c>
      <c r="F949">
        <v>739.6</v>
      </c>
      <c r="G949">
        <v>10.4</v>
      </c>
      <c r="H949">
        <v>4000</v>
      </c>
      <c r="I949">
        <v>6267.2</v>
      </c>
      <c r="J949">
        <v>1</v>
      </c>
      <c r="K949">
        <f>J949+energy_grid_portfolio_dataset!G949</f>
        <v>11.4</v>
      </c>
      <c r="L949">
        <f>HOUR(energy_timestamp[[#This Row],[timestamp]])</f>
        <v>11</v>
      </c>
    </row>
    <row r="950" spans="1:12" x14ac:dyDescent="0.3">
      <c r="A950" s="12" t="s">
        <v>319</v>
      </c>
      <c r="B950" s="12" t="s">
        <v>12</v>
      </c>
      <c r="C950">
        <v>26.5</v>
      </c>
      <c r="D950">
        <v>60.2</v>
      </c>
      <c r="E950">
        <v>5</v>
      </c>
      <c r="F950">
        <v>1036.2</v>
      </c>
      <c r="G950">
        <v>12.2</v>
      </c>
      <c r="H950">
        <v>4000</v>
      </c>
      <c r="I950">
        <v>6278.6</v>
      </c>
      <c r="J950">
        <v>1</v>
      </c>
      <c r="K950">
        <f>J950+energy_grid_portfolio_dataset!G950</f>
        <v>13.2</v>
      </c>
      <c r="L950">
        <f>HOUR(energy_timestamp[[#This Row],[timestamp]])</f>
        <v>12</v>
      </c>
    </row>
    <row r="951" spans="1:12" x14ac:dyDescent="0.3">
      <c r="A951" s="12" t="s">
        <v>320</v>
      </c>
      <c r="B951" s="12" t="s">
        <v>12</v>
      </c>
      <c r="C951">
        <v>27.3</v>
      </c>
      <c r="D951">
        <v>30.2</v>
      </c>
      <c r="E951">
        <v>3</v>
      </c>
      <c r="F951">
        <v>1478.8</v>
      </c>
      <c r="G951">
        <v>2.5</v>
      </c>
      <c r="H951">
        <v>4000</v>
      </c>
      <c r="I951">
        <v>6215.3</v>
      </c>
      <c r="J951">
        <v>1</v>
      </c>
      <c r="K951">
        <f>J951+energy_grid_portfolio_dataset!G951</f>
        <v>3.5</v>
      </c>
      <c r="L951">
        <f>HOUR(energy_timestamp[[#This Row],[timestamp]])</f>
        <v>13</v>
      </c>
    </row>
    <row r="952" spans="1:12" x14ac:dyDescent="0.3">
      <c r="A952" s="12" t="s">
        <v>321</v>
      </c>
      <c r="B952" s="12" t="s">
        <v>12</v>
      </c>
      <c r="C952">
        <v>23.1</v>
      </c>
      <c r="D952">
        <v>23.5</v>
      </c>
      <c r="E952">
        <v>6.5</v>
      </c>
      <c r="F952">
        <v>1463.4</v>
      </c>
      <c r="G952">
        <v>26.1</v>
      </c>
      <c r="H952">
        <v>4000</v>
      </c>
      <c r="I952">
        <v>6031.7</v>
      </c>
      <c r="J952">
        <v>1</v>
      </c>
      <c r="K952">
        <f>J952+energy_grid_portfolio_dataset!G952</f>
        <v>27.1</v>
      </c>
      <c r="L952">
        <f>HOUR(energy_timestamp[[#This Row],[timestamp]])</f>
        <v>14</v>
      </c>
    </row>
    <row r="953" spans="1:12" x14ac:dyDescent="0.3">
      <c r="A953" s="12" t="s">
        <v>322</v>
      </c>
      <c r="B953" s="12" t="s">
        <v>12</v>
      </c>
      <c r="C953">
        <v>26.6</v>
      </c>
      <c r="D953">
        <v>61</v>
      </c>
      <c r="E953">
        <v>0.1</v>
      </c>
      <c r="F953">
        <v>800.1</v>
      </c>
      <c r="G953">
        <v>0</v>
      </c>
      <c r="H953">
        <v>3386</v>
      </c>
      <c r="I953">
        <v>4186.1000000000004</v>
      </c>
      <c r="J953">
        <v>0</v>
      </c>
      <c r="K953">
        <f>J953+energy_grid_portfolio_dataset!G953</f>
        <v>0</v>
      </c>
      <c r="L953">
        <f>HOUR(energy_timestamp[[#This Row],[timestamp]])</f>
        <v>15</v>
      </c>
    </row>
    <row r="954" spans="1:12" x14ac:dyDescent="0.3">
      <c r="A954" s="12" t="s">
        <v>323</v>
      </c>
      <c r="B954" s="12" t="s">
        <v>12</v>
      </c>
      <c r="C954">
        <v>26.1</v>
      </c>
      <c r="D954">
        <v>30.2</v>
      </c>
      <c r="E954">
        <v>7.3</v>
      </c>
      <c r="F954">
        <v>945.9</v>
      </c>
      <c r="G954">
        <v>36.700000000000003</v>
      </c>
      <c r="H954">
        <v>3435.6</v>
      </c>
      <c r="I954">
        <v>4418.2</v>
      </c>
      <c r="J954">
        <v>0</v>
      </c>
      <c r="K954">
        <f>J954+energy_grid_portfolio_dataset!G954</f>
        <v>36.700000000000003</v>
      </c>
      <c r="L954">
        <f>HOUR(energy_timestamp[[#This Row],[timestamp]])</f>
        <v>16</v>
      </c>
    </row>
    <row r="955" spans="1:12" x14ac:dyDescent="0.3">
      <c r="A955" s="12" t="s">
        <v>324</v>
      </c>
      <c r="B955" s="12" t="s">
        <v>12</v>
      </c>
      <c r="C955">
        <v>23.5</v>
      </c>
      <c r="D955">
        <v>22.1</v>
      </c>
      <c r="E955">
        <v>0.6</v>
      </c>
      <c r="F955">
        <v>714.6</v>
      </c>
      <c r="G955">
        <v>0</v>
      </c>
      <c r="H955">
        <v>3476.9</v>
      </c>
      <c r="I955">
        <v>4191.5</v>
      </c>
      <c r="J955">
        <v>0</v>
      </c>
      <c r="K955">
        <f>J955+energy_grid_portfolio_dataset!G955</f>
        <v>0</v>
      </c>
      <c r="L955">
        <f>HOUR(energy_timestamp[[#This Row],[timestamp]])</f>
        <v>17</v>
      </c>
    </row>
    <row r="956" spans="1:12" x14ac:dyDescent="0.3">
      <c r="A956" s="12" t="s">
        <v>325</v>
      </c>
      <c r="B956" s="12" t="s">
        <v>12</v>
      </c>
      <c r="C956">
        <v>21.8</v>
      </c>
      <c r="D956">
        <v>48.1</v>
      </c>
      <c r="E956">
        <v>2.4</v>
      </c>
      <c r="F956">
        <v>273.89999999999998</v>
      </c>
      <c r="G956">
        <v>1.4</v>
      </c>
      <c r="H956">
        <v>4000</v>
      </c>
      <c r="I956">
        <v>6662.6</v>
      </c>
      <c r="J956">
        <v>1</v>
      </c>
      <c r="K956">
        <f>J956+energy_grid_portfolio_dataset!G956</f>
        <v>2.4</v>
      </c>
      <c r="L956">
        <f>HOUR(energy_timestamp[[#This Row],[timestamp]])</f>
        <v>18</v>
      </c>
    </row>
    <row r="957" spans="1:12" x14ac:dyDescent="0.3">
      <c r="A957" s="12" t="s">
        <v>326</v>
      </c>
      <c r="B957" s="12" t="s">
        <v>12</v>
      </c>
      <c r="C957">
        <v>21.2</v>
      </c>
      <c r="D957">
        <v>58.7</v>
      </c>
      <c r="E957">
        <v>6.5</v>
      </c>
      <c r="F957">
        <v>0</v>
      </c>
      <c r="G957">
        <v>26.9</v>
      </c>
      <c r="H957">
        <v>4000</v>
      </c>
      <c r="I957">
        <v>6660</v>
      </c>
      <c r="J957">
        <v>1</v>
      </c>
      <c r="K957">
        <f>J957+energy_grid_portfolio_dataset!G957</f>
        <v>27.9</v>
      </c>
      <c r="L957">
        <f>HOUR(energy_timestamp[[#This Row],[timestamp]])</f>
        <v>19</v>
      </c>
    </row>
    <row r="958" spans="1:12" x14ac:dyDescent="0.3">
      <c r="A958" s="12" t="s">
        <v>327</v>
      </c>
      <c r="B958" s="12" t="s">
        <v>12</v>
      </c>
      <c r="C958">
        <v>21.8</v>
      </c>
      <c r="D958">
        <v>24.7</v>
      </c>
      <c r="E958">
        <v>7.5</v>
      </c>
      <c r="F958">
        <v>0</v>
      </c>
      <c r="G958">
        <v>39.9</v>
      </c>
      <c r="H958">
        <v>4000</v>
      </c>
      <c r="I958">
        <v>6619.5</v>
      </c>
      <c r="J958">
        <v>1</v>
      </c>
      <c r="K958">
        <f>J958+energy_grid_portfolio_dataset!G958</f>
        <v>40.9</v>
      </c>
      <c r="L958">
        <f>HOUR(energy_timestamp[[#This Row],[timestamp]])</f>
        <v>20</v>
      </c>
    </row>
    <row r="959" spans="1:12" x14ac:dyDescent="0.3">
      <c r="A959" s="12" t="s">
        <v>328</v>
      </c>
      <c r="B959" s="12" t="s">
        <v>12</v>
      </c>
      <c r="C959">
        <v>19.399999999999999</v>
      </c>
      <c r="D959">
        <v>53.9</v>
      </c>
      <c r="E959">
        <v>4.4000000000000004</v>
      </c>
      <c r="F959">
        <v>0</v>
      </c>
      <c r="G959">
        <v>8.3000000000000007</v>
      </c>
      <c r="H959">
        <v>4000</v>
      </c>
      <c r="I959">
        <v>6897.3</v>
      </c>
      <c r="J959">
        <v>1</v>
      </c>
      <c r="K959">
        <f>J959+energy_grid_portfolio_dataset!G959</f>
        <v>9.3000000000000007</v>
      </c>
      <c r="L959">
        <f>HOUR(energy_timestamp[[#This Row],[timestamp]])</f>
        <v>21</v>
      </c>
    </row>
    <row r="960" spans="1:12" x14ac:dyDescent="0.3">
      <c r="A960" s="12" t="s">
        <v>329</v>
      </c>
      <c r="B960" s="12" t="s">
        <v>12</v>
      </c>
      <c r="C960">
        <v>14.8</v>
      </c>
      <c r="D960">
        <v>30.9</v>
      </c>
      <c r="E960">
        <v>4.8</v>
      </c>
      <c r="F960">
        <v>0</v>
      </c>
      <c r="G960">
        <v>10.7</v>
      </c>
      <c r="H960">
        <v>4000</v>
      </c>
      <c r="I960">
        <v>4475.3999999999996</v>
      </c>
      <c r="J960">
        <v>1</v>
      </c>
      <c r="K960">
        <f>J960+energy_grid_portfolio_dataset!G960</f>
        <v>11.7</v>
      </c>
      <c r="L960">
        <f>HOUR(energy_timestamp[[#This Row],[timestamp]])</f>
        <v>22</v>
      </c>
    </row>
    <row r="961" spans="1:12" x14ac:dyDescent="0.3">
      <c r="A961" s="12" t="s">
        <v>330</v>
      </c>
      <c r="B961" s="12" t="s">
        <v>12</v>
      </c>
      <c r="C961">
        <v>17.899999999999999</v>
      </c>
      <c r="D961">
        <v>31</v>
      </c>
      <c r="E961">
        <v>5.0999999999999996</v>
      </c>
      <c r="F961">
        <v>0</v>
      </c>
      <c r="G961">
        <v>12.5</v>
      </c>
      <c r="H961">
        <v>4000</v>
      </c>
      <c r="I961">
        <v>4505.6000000000004</v>
      </c>
      <c r="J961">
        <v>1</v>
      </c>
      <c r="K961">
        <f>J961+energy_grid_portfolio_dataset!G961</f>
        <v>13.5</v>
      </c>
      <c r="L961">
        <f>HOUR(energy_timestamp[[#This Row],[timestamp]])</f>
        <v>23</v>
      </c>
    </row>
    <row r="962" spans="1:12" x14ac:dyDescent="0.3">
      <c r="A962" s="12" t="s">
        <v>331</v>
      </c>
      <c r="B962" s="12" t="s">
        <v>12</v>
      </c>
      <c r="C962">
        <v>15.6</v>
      </c>
      <c r="D962">
        <v>89.4</v>
      </c>
      <c r="E962">
        <v>1.9</v>
      </c>
      <c r="F962">
        <v>0</v>
      </c>
      <c r="G962">
        <v>0.6</v>
      </c>
      <c r="H962">
        <v>4000</v>
      </c>
      <c r="I962">
        <v>4227.8999999999996</v>
      </c>
      <c r="J962">
        <v>1</v>
      </c>
      <c r="K962">
        <f>J962+energy_grid_portfolio_dataset!G962</f>
        <v>1.6</v>
      </c>
      <c r="L962">
        <f>HOUR(energy_timestamp[[#This Row],[timestamp]])</f>
        <v>0</v>
      </c>
    </row>
    <row r="963" spans="1:12" x14ac:dyDescent="0.3">
      <c r="A963" s="12" t="s">
        <v>332</v>
      </c>
      <c r="B963" s="12" t="s">
        <v>12</v>
      </c>
      <c r="C963">
        <v>18.8</v>
      </c>
      <c r="D963">
        <v>92.7</v>
      </c>
      <c r="E963">
        <v>4.5999999999999996</v>
      </c>
      <c r="F963">
        <v>0</v>
      </c>
      <c r="G963">
        <v>9.4</v>
      </c>
      <c r="H963">
        <v>4000</v>
      </c>
      <c r="I963">
        <v>4561.3</v>
      </c>
      <c r="J963">
        <v>1</v>
      </c>
      <c r="K963">
        <f>J963+energy_grid_portfolio_dataset!G963</f>
        <v>10.4</v>
      </c>
      <c r="L963">
        <f>HOUR(energy_timestamp[[#This Row],[timestamp]])</f>
        <v>1</v>
      </c>
    </row>
    <row r="964" spans="1:12" x14ac:dyDescent="0.3">
      <c r="A964" s="12" t="s">
        <v>333</v>
      </c>
      <c r="B964" s="12" t="s">
        <v>12</v>
      </c>
      <c r="C964">
        <v>14.8</v>
      </c>
      <c r="D964">
        <v>44.3</v>
      </c>
      <c r="E964">
        <v>7.5</v>
      </c>
      <c r="F964">
        <v>0</v>
      </c>
      <c r="G964">
        <v>40.200000000000003</v>
      </c>
      <c r="H964">
        <v>4000</v>
      </c>
      <c r="I964">
        <v>4297.5</v>
      </c>
      <c r="J964">
        <v>1</v>
      </c>
      <c r="K964">
        <f>J964+energy_grid_portfolio_dataset!G964</f>
        <v>41.2</v>
      </c>
      <c r="L964">
        <f>HOUR(energy_timestamp[[#This Row],[timestamp]])</f>
        <v>2</v>
      </c>
    </row>
    <row r="965" spans="1:12" x14ac:dyDescent="0.3">
      <c r="A965" s="12" t="s">
        <v>334</v>
      </c>
      <c r="B965" s="12" t="s">
        <v>12</v>
      </c>
      <c r="C965">
        <v>16.3</v>
      </c>
      <c r="D965">
        <v>49</v>
      </c>
      <c r="E965">
        <v>5.5</v>
      </c>
      <c r="F965">
        <v>0</v>
      </c>
      <c r="G965">
        <v>16.399999999999999</v>
      </c>
      <c r="H965">
        <v>4000</v>
      </c>
      <c r="I965">
        <v>4514.3999999999996</v>
      </c>
      <c r="J965">
        <v>1</v>
      </c>
      <c r="K965">
        <f>J965+energy_grid_portfolio_dataset!G965</f>
        <v>17.399999999999999</v>
      </c>
      <c r="L965">
        <f>HOUR(energy_timestamp[[#This Row],[timestamp]])</f>
        <v>3</v>
      </c>
    </row>
    <row r="966" spans="1:12" x14ac:dyDescent="0.3">
      <c r="A966" s="12" t="s">
        <v>335</v>
      </c>
      <c r="B966" s="12" t="s">
        <v>12</v>
      </c>
      <c r="C966">
        <v>20.7</v>
      </c>
      <c r="D966">
        <v>38.299999999999997</v>
      </c>
      <c r="E966">
        <v>5.4</v>
      </c>
      <c r="F966">
        <v>0</v>
      </c>
      <c r="G966">
        <v>15.2</v>
      </c>
      <c r="H966">
        <v>4000</v>
      </c>
      <c r="I966">
        <v>4110.6000000000004</v>
      </c>
      <c r="J966">
        <v>1</v>
      </c>
      <c r="K966">
        <f>J966+energy_grid_portfolio_dataset!G966</f>
        <v>16.2</v>
      </c>
      <c r="L966">
        <f>HOUR(energy_timestamp[[#This Row],[timestamp]])</f>
        <v>4</v>
      </c>
    </row>
    <row r="967" spans="1:12" x14ac:dyDescent="0.3">
      <c r="A967" s="12" t="s">
        <v>336</v>
      </c>
      <c r="B967" s="12" t="s">
        <v>12</v>
      </c>
      <c r="C967">
        <v>19.100000000000001</v>
      </c>
      <c r="D967">
        <v>59.8</v>
      </c>
      <c r="E967">
        <v>5.4</v>
      </c>
      <c r="F967">
        <v>0</v>
      </c>
      <c r="G967">
        <v>14.7</v>
      </c>
      <c r="H967">
        <v>4000</v>
      </c>
      <c r="I967">
        <v>4252.2</v>
      </c>
      <c r="J967">
        <v>1</v>
      </c>
      <c r="K967">
        <f>J967+energy_grid_portfolio_dataset!G967</f>
        <v>15.7</v>
      </c>
      <c r="L967">
        <f>HOUR(energy_timestamp[[#This Row],[timestamp]])</f>
        <v>5</v>
      </c>
    </row>
    <row r="968" spans="1:12" x14ac:dyDescent="0.3">
      <c r="A968" s="12" t="s">
        <v>337</v>
      </c>
      <c r="B968" s="12" t="s">
        <v>12</v>
      </c>
      <c r="C968">
        <v>20.5</v>
      </c>
      <c r="D968">
        <v>69.599999999999994</v>
      </c>
      <c r="E968">
        <v>11</v>
      </c>
      <c r="F968">
        <v>197.3</v>
      </c>
      <c r="G968">
        <v>126.4</v>
      </c>
      <c r="H968">
        <v>3940.5</v>
      </c>
      <c r="I968">
        <v>4264.2</v>
      </c>
      <c r="J968">
        <v>0</v>
      </c>
      <c r="K968">
        <f>J968+energy_grid_portfolio_dataset!G968</f>
        <v>126.4</v>
      </c>
      <c r="L968">
        <f>HOUR(energy_timestamp[[#This Row],[timestamp]])</f>
        <v>6</v>
      </c>
    </row>
    <row r="969" spans="1:12" x14ac:dyDescent="0.3">
      <c r="A969" s="12" t="s">
        <v>338</v>
      </c>
      <c r="B969" s="12" t="s">
        <v>12</v>
      </c>
      <c r="C969">
        <v>25.3</v>
      </c>
      <c r="D969">
        <v>18.3</v>
      </c>
      <c r="E969">
        <v>6.5</v>
      </c>
      <c r="F969">
        <v>740.8</v>
      </c>
      <c r="G969">
        <v>26</v>
      </c>
      <c r="H969">
        <v>3574.2</v>
      </c>
      <c r="I969">
        <v>4341</v>
      </c>
      <c r="J969">
        <v>0</v>
      </c>
      <c r="K969">
        <f>J969+energy_grid_portfolio_dataset!G969</f>
        <v>26</v>
      </c>
      <c r="L969">
        <f>HOUR(energy_timestamp[[#This Row],[timestamp]])</f>
        <v>7</v>
      </c>
    </row>
    <row r="970" spans="1:12" x14ac:dyDescent="0.3">
      <c r="A970" s="12" t="s">
        <v>339</v>
      </c>
      <c r="B970" s="12" t="s">
        <v>12</v>
      </c>
      <c r="C970">
        <v>21.5</v>
      </c>
      <c r="D970">
        <v>37.799999999999997</v>
      </c>
      <c r="E970">
        <v>9.6</v>
      </c>
      <c r="F970">
        <v>869.7</v>
      </c>
      <c r="G970">
        <v>84.3</v>
      </c>
      <c r="H970">
        <v>3201.4</v>
      </c>
      <c r="I970">
        <v>4155.3999999999996</v>
      </c>
      <c r="J970">
        <v>0</v>
      </c>
      <c r="K970">
        <f>J970+energy_grid_portfolio_dataset!G970</f>
        <v>84.3</v>
      </c>
      <c r="L970">
        <f>HOUR(energy_timestamp[[#This Row],[timestamp]])</f>
        <v>8</v>
      </c>
    </row>
    <row r="971" spans="1:12" x14ac:dyDescent="0.3">
      <c r="A971" s="12" t="s">
        <v>340</v>
      </c>
      <c r="B971" s="12" t="s">
        <v>12</v>
      </c>
      <c r="C971">
        <v>26</v>
      </c>
      <c r="D971">
        <v>14</v>
      </c>
      <c r="E971">
        <v>5.4</v>
      </c>
      <c r="F971">
        <v>1388.3</v>
      </c>
      <c r="G971">
        <v>15.2</v>
      </c>
      <c r="H971">
        <v>3059</v>
      </c>
      <c r="I971">
        <v>4462.5</v>
      </c>
      <c r="J971">
        <v>0</v>
      </c>
      <c r="K971">
        <f>J971+energy_grid_portfolio_dataset!G971</f>
        <v>15.2</v>
      </c>
      <c r="L971">
        <f>HOUR(energy_timestamp[[#This Row],[timestamp]])</f>
        <v>9</v>
      </c>
    </row>
    <row r="972" spans="1:12" x14ac:dyDescent="0.3">
      <c r="A972" s="12" t="s">
        <v>341</v>
      </c>
      <c r="B972" s="12" t="s">
        <v>12</v>
      </c>
      <c r="C972">
        <v>26.7</v>
      </c>
      <c r="D972">
        <v>4.7</v>
      </c>
      <c r="E972">
        <v>3.3</v>
      </c>
      <c r="F972">
        <v>1734.4</v>
      </c>
      <c r="G972">
        <v>3.5</v>
      </c>
      <c r="H972">
        <v>4000</v>
      </c>
      <c r="I972">
        <v>6285.3</v>
      </c>
      <c r="J972">
        <v>1</v>
      </c>
      <c r="K972">
        <f>J972+energy_grid_portfolio_dataset!G972</f>
        <v>4.5</v>
      </c>
      <c r="L972">
        <f>HOUR(energy_timestamp[[#This Row],[timestamp]])</f>
        <v>10</v>
      </c>
    </row>
    <row r="973" spans="1:12" x14ac:dyDescent="0.3">
      <c r="A973" s="12" t="s">
        <v>342</v>
      </c>
      <c r="B973" s="12" t="s">
        <v>12</v>
      </c>
      <c r="C973">
        <v>27.9</v>
      </c>
      <c r="D973">
        <v>0</v>
      </c>
      <c r="E973">
        <v>5.5</v>
      </c>
      <c r="F973">
        <v>1949.9</v>
      </c>
      <c r="G973">
        <v>16.100000000000001</v>
      </c>
      <c r="H973">
        <v>4000</v>
      </c>
      <c r="I973">
        <v>6230.4</v>
      </c>
      <c r="J973">
        <v>1</v>
      </c>
      <c r="K973">
        <f>J973+energy_grid_portfolio_dataset!G973</f>
        <v>17.100000000000001</v>
      </c>
      <c r="L973">
        <f>HOUR(energy_timestamp[[#This Row],[timestamp]])</f>
        <v>11</v>
      </c>
    </row>
    <row r="974" spans="1:12" x14ac:dyDescent="0.3">
      <c r="A974" s="12" t="s">
        <v>343</v>
      </c>
      <c r="B974" s="12" t="s">
        <v>12</v>
      </c>
      <c r="C974">
        <v>28.7</v>
      </c>
      <c r="D974">
        <v>80.8</v>
      </c>
      <c r="E974">
        <v>7.7</v>
      </c>
      <c r="F974">
        <v>707.4</v>
      </c>
      <c r="G974">
        <v>44.6</v>
      </c>
      <c r="H974">
        <v>4000</v>
      </c>
      <c r="I974">
        <v>6261.5</v>
      </c>
      <c r="J974">
        <v>1</v>
      </c>
      <c r="K974">
        <f>J974+energy_grid_portfolio_dataset!G974</f>
        <v>45.6</v>
      </c>
      <c r="L974">
        <f>HOUR(energy_timestamp[[#This Row],[timestamp]])</f>
        <v>12</v>
      </c>
    </row>
    <row r="975" spans="1:12" x14ac:dyDescent="0.3">
      <c r="A975" s="12" t="s">
        <v>344</v>
      </c>
      <c r="B975" s="12" t="s">
        <v>12</v>
      </c>
      <c r="C975">
        <v>23</v>
      </c>
      <c r="D975">
        <v>48.2</v>
      </c>
      <c r="E975">
        <v>9</v>
      </c>
      <c r="F975">
        <v>1197.9000000000001</v>
      </c>
      <c r="G975">
        <v>70.099999999999994</v>
      </c>
      <c r="H975">
        <v>4000</v>
      </c>
      <c r="I975">
        <v>6120</v>
      </c>
      <c r="J975">
        <v>1</v>
      </c>
      <c r="K975">
        <f>J975+energy_grid_portfolio_dataset!G975</f>
        <v>71.099999999999994</v>
      </c>
      <c r="L975">
        <f>HOUR(energy_timestamp[[#This Row],[timestamp]])</f>
        <v>13</v>
      </c>
    </row>
    <row r="976" spans="1:12" x14ac:dyDescent="0.3">
      <c r="A976" s="12" t="s">
        <v>345</v>
      </c>
      <c r="B976" s="12" t="s">
        <v>12</v>
      </c>
      <c r="C976">
        <v>27.8</v>
      </c>
      <c r="D976">
        <v>72.900000000000006</v>
      </c>
      <c r="E976">
        <v>7.1</v>
      </c>
      <c r="F976">
        <v>751.3</v>
      </c>
      <c r="G976">
        <v>34.9</v>
      </c>
      <c r="H976">
        <v>4000</v>
      </c>
      <c r="I976">
        <v>6449</v>
      </c>
      <c r="J976">
        <v>1</v>
      </c>
      <c r="K976">
        <f>J976+energy_grid_portfolio_dataset!G976</f>
        <v>35.9</v>
      </c>
      <c r="L976">
        <f>HOUR(energy_timestamp[[#This Row],[timestamp]])</f>
        <v>14</v>
      </c>
    </row>
    <row r="977" spans="1:12" x14ac:dyDescent="0.3">
      <c r="A977" s="12" t="s">
        <v>346</v>
      </c>
      <c r="B977" s="12" t="s">
        <v>12</v>
      </c>
      <c r="C977">
        <v>25.3</v>
      </c>
      <c r="D977">
        <v>100</v>
      </c>
      <c r="E977">
        <v>3.2</v>
      </c>
      <c r="F977">
        <v>312.7</v>
      </c>
      <c r="G977">
        <v>3.1</v>
      </c>
      <c r="H977">
        <v>3920.8</v>
      </c>
      <c r="I977">
        <v>4236.6000000000004</v>
      </c>
      <c r="J977">
        <v>0</v>
      </c>
      <c r="K977">
        <f>J977+energy_grid_portfolio_dataset!G977</f>
        <v>3.1</v>
      </c>
      <c r="L977">
        <f>HOUR(energy_timestamp[[#This Row],[timestamp]])</f>
        <v>15</v>
      </c>
    </row>
    <row r="978" spans="1:12" x14ac:dyDescent="0.3">
      <c r="A978" s="12" t="s">
        <v>347</v>
      </c>
      <c r="B978" s="12" t="s">
        <v>12</v>
      </c>
      <c r="C978">
        <v>23.9</v>
      </c>
      <c r="D978">
        <v>99.8</v>
      </c>
      <c r="E978">
        <v>1.8</v>
      </c>
      <c r="F978">
        <v>251.8</v>
      </c>
      <c r="G978">
        <v>0.5</v>
      </c>
      <c r="H978">
        <v>4000</v>
      </c>
      <c r="I978">
        <v>4562.2</v>
      </c>
      <c r="J978">
        <v>1</v>
      </c>
      <c r="K978">
        <f>J978+energy_grid_portfolio_dataset!G978</f>
        <v>1.5</v>
      </c>
      <c r="L978">
        <f>HOUR(energy_timestamp[[#This Row],[timestamp]])</f>
        <v>16</v>
      </c>
    </row>
    <row r="979" spans="1:12" x14ac:dyDescent="0.3">
      <c r="A979" s="12" t="s">
        <v>348</v>
      </c>
      <c r="B979" s="12" t="s">
        <v>12</v>
      </c>
      <c r="C979">
        <v>21.8</v>
      </c>
      <c r="D979">
        <v>17.5</v>
      </c>
      <c r="E979">
        <v>6.7</v>
      </c>
      <c r="F979">
        <v>746</v>
      </c>
      <c r="G979">
        <v>28.3</v>
      </c>
      <c r="H979">
        <v>3633.6</v>
      </c>
      <c r="I979">
        <v>4407.8999999999996</v>
      </c>
      <c r="J979">
        <v>0</v>
      </c>
      <c r="K979">
        <f>J979+energy_grid_portfolio_dataset!G979</f>
        <v>28.3</v>
      </c>
      <c r="L979">
        <f>HOUR(energy_timestamp[[#This Row],[timestamp]])</f>
        <v>17</v>
      </c>
    </row>
    <row r="980" spans="1:12" x14ac:dyDescent="0.3">
      <c r="A980" s="12" t="s">
        <v>349</v>
      </c>
      <c r="B980" s="12" t="s">
        <v>12</v>
      </c>
      <c r="C980">
        <v>20.3</v>
      </c>
      <c r="D980">
        <v>15</v>
      </c>
      <c r="E980">
        <v>5.7</v>
      </c>
      <c r="F980">
        <v>391.5</v>
      </c>
      <c r="G980">
        <v>18</v>
      </c>
      <c r="H980">
        <v>4000</v>
      </c>
      <c r="I980">
        <v>6871.4</v>
      </c>
      <c r="J980">
        <v>1</v>
      </c>
      <c r="K980">
        <f>J980+energy_grid_portfolio_dataset!G980</f>
        <v>19</v>
      </c>
      <c r="L980">
        <f>HOUR(energy_timestamp[[#This Row],[timestamp]])</f>
        <v>18</v>
      </c>
    </row>
    <row r="981" spans="1:12" x14ac:dyDescent="0.3">
      <c r="A981" s="12" t="s">
        <v>350</v>
      </c>
      <c r="B981" s="12" t="s">
        <v>12</v>
      </c>
      <c r="C981">
        <v>21.8</v>
      </c>
      <c r="D981">
        <v>88.5</v>
      </c>
      <c r="E981">
        <v>5.8</v>
      </c>
      <c r="F981">
        <v>0</v>
      </c>
      <c r="G981">
        <v>18.899999999999999</v>
      </c>
      <c r="H981">
        <v>4000</v>
      </c>
      <c r="I981">
        <v>6706.9</v>
      </c>
      <c r="J981">
        <v>1</v>
      </c>
      <c r="K981">
        <f>J981+energy_grid_portfolio_dataset!G981</f>
        <v>19.899999999999999</v>
      </c>
      <c r="L981">
        <f>HOUR(energy_timestamp[[#This Row],[timestamp]])</f>
        <v>19</v>
      </c>
    </row>
    <row r="982" spans="1:12" x14ac:dyDescent="0.3">
      <c r="A982" s="12" t="s">
        <v>351</v>
      </c>
      <c r="B982" s="12" t="s">
        <v>12</v>
      </c>
      <c r="C982">
        <v>19.899999999999999</v>
      </c>
      <c r="D982">
        <v>49.6</v>
      </c>
      <c r="E982">
        <v>1.2</v>
      </c>
      <c r="F982">
        <v>0</v>
      </c>
      <c r="G982">
        <v>0.2</v>
      </c>
      <c r="H982">
        <v>4000</v>
      </c>
      <c r="I982">
        <v>6998.3</v>
      </c>
      <c r="J982">
        <v>1</v>
      </c>
      <c r="K982">
        <f>J982+energy_grid_portfolio_dataset!G982</f>
        <v>1.2</v>
      </c>
      <c r="L982">
        <f>HOUR(energy_timestamp[[#This Row],[timestamp]])</f>
        <v>20</v>
      </c>
    </row>
    <row r="983" spans="1:12" x14ac:dyDescent="0.3">
      <c r="A983" s="12" t="s">
        <v>352</v>
      </c>
      <c r="B983" s="12" t="s">
        <v>12</v>
      </c>
      <c r="C983">
        <v>17.8</v>
      </c>
      <c r="D983">
        <v>88.8</v>
      </c>
      <c r="E983">
        <v>7.4</v>
      </c>
      <c r="F983">
        <v>0</v>
      </c>
      <c r="G983">
        <v>38.700000000000003</v>
      </c>
      <c r="H983">
        <v>4000</v>
      </c>
      <c r="I983">
        <v>6680.6</v>
      </c>
      <c r="J983">
        <v>1</v>
      </c>
      <c r="K983">
        <f>J983+energy_grid_portfolio_dataset!G983</f>
        <v>39.700000000000003</v>
      </c>
      <c r="L983">
        <f>HOUR(energy_timestamp[[#This Row],[timestamp]])</f>
        <v>21</v>
      </c>
    </row>
    <row r="984" spans="1:12" x14ac:dyDescent="0.3">
      <c r="A984" s="12" t="s">
        <v>353</v>
      </c>
      <c r="B984" s="12" t="s">
        <v>12</v>
      </c>
      <c r="C984">
        <v>18</v>
      </c>
      <c r="D984">
        <v>80.099999999999994</v>
      </c>
      <c r="E984">
        <v>10.6</v>
      </c>
      <c r="F984">
        <v>0</v>
      </c>
      <c r="G984">
        <v>113.8</v>
      </c>
      <c r="H984">
        <v>4000</v>
      </c>
      <c r="I984">
        <v>4143.1000000000004</v>
      </c>
      <c r="J984">
        <v>1</v>
      </c>
      <c r="K984">
        <f>J984+energy_grid_portfolio_dataset!G984</f>
        <v>114.8</v>
      </c>
      <c r="L984">
        <f>HOUR(energy_timestamp[[#This Row],[timestamp]])</f>
        <v>22</v>
      </c>
    </row>
    <row r="985" spans="1:12" x14ac:dyDescent="0.3">
      <c r="A985" s="12" t="s">
        <v>354</v>
      </c>
      <c r="B985" s="12" t="s">
        <v>12</v>
      </c>
      <c r="C985">
        <v>18.7</v>
      </c>
      <c r="D985">
        <v>61.8</v>
      </c>
      <c r="E985">
        <v>7.2</v>
      </c>
      <c r="F985">
        <v>0</v>
      </c>
      <c r="G985">
        <v>35.299999999999997</v>
      </c>
      <c r="H985">
        <v>4000</v>
      </c>
      <c r="I985">
        <v>4453.1000000000004</v>
      </c>
      <c r="J985">
        <v>1</v>
      </c>
      <c r="K985">
        <f>J985+energy_grid_portfolio_dataset!G985</f>
        <v>36.299999999999997</v>
      </c>
      <c r="L985">
        <f>HOUR(energy_timestamp[[#This Row],[timestamp]])</f>
        <v>23</v>
      </c>
    </row>
    <row r="986" spans="1:12" x14ac:dyDescent="0.3">
      <c r="A986" s="12" t="s">
        <v>355</v>
      </c>
      <c r="B986" s="12" t="s">
        <v>12</v>
      </c>
      <c r="C986">
        <v>14.3</v>
      </c>
      <c r="D986">
        <v>49.5</v>
      </c>
      <c r="E986">
        <v>3.7</v>
      </c>
      <c r="F986">
        <v>0</v>
      </c>
      <c r="G986">
        <v>4.8</v>
      </c>
      <c r="H986">
        <v>4000</v>
      </c>
      <c r="I986">
        <v>5137.3999999999996</v>
      </c>
      <c r="J986">
        <v>1</v>
      </c>
      <c r="K986">
        <f>J986+energy_grid_portfolio_dataset!G986</f>
        <v>5.8</v>
      </c>
      <c r="L986">
        <f>HOUR(energy_timestamp[[#This Row],[timestamp]])</f>
        <v>0</v>
      </c>
    </row>
    <row r="987" spans="1:12" x14ac:dyDescent="0.3">
      <c r="A987" s="12" t="s">
        <v>356</v>
      </c>
      <c r="B987" s="12" t="s">
        <v>12</v>
      </c>
      <c r="C987">
        <v>19.600000000000001</v>
      </c>
      <c r="D987">
        <v>42.1</v>
      </c>
      <c r="E987">
        <v>0</v>
      </c>
      <c r="F987">
        <v>0</v>
      </c>
      <c r="G987">
        <v>0</v>
      </c>
      <c r="H987">
        <v>4000</v>
      </c>
      <c r="I987">
        <v>5006.8999999999996</v>
      </c>
      <c r="J987">
        <v>1</v>
      </c>
      <c r="K987">
        <f>J987+energy_grid_portfolio_dataset!G987</f>
        <v>1</v>
      </c>
      <c r="L987">
        <f>HOUR(energy_timestamp[[#This Row],[timestamp]])</f>
        <v>1</v>
      </c>
    </row>
    <row r="988" spans="1:12" x14ac:dyDescent="0.3">
      <c r="A988" s="12" t="s">
        <v>357</v>
      </c>
      <c r="B988" s="12" t="s">
        <v>12</v>
      </c>
      <c r="C988">
        <v>19.5</v>
      </c>
      <c r="D988">
        <v>76.099999999999994</v>
      </c>
      <c r="E988">
        <v>7.3</v>
      </c>
      <c r="F988">
        <v>0</v>
      </c>
      <c r="G988">
        <v>37.1</v>
      </c>
      <c r="H988">
        <v>4000</v>
      </c>
      <c r="I988">
        <v>4888.2</v>
      </c>
      <c r="J988">
        <v>1</v>
      </c>
      <c r="K988">
        <f>J988+energy_grid_portfolio_dataset!G988</f>
        <v>38.1</v>
      </c>
      <c r="L988">
        <f>HOUR(energy_timestamp[[#This Row],[timestamp]])</f>
        <v>2</v>
      </c>
    </row>
    <row r="989" spans="1:12" x14ac:dyDescent="0.3">
      <c r="A989" s="12" t="s">
        <v>358</v>
      </c>
      <c r="B989" s="12" t="s">
        <v>12</v>
      </c>
      <c r="C989">
        <v>15.9</v>
      </c>
      <c r="D989">
        <v>75.5</v>
      </c>
      <c r="E989">
        <v>3.5</v>
      </c>
      <c r="F989">
        <v>0</v>
      </c>
      <c r="G989">
        <v>4.0999999999999996</v>
      </c>
      <c r="H989">
        <v>4000</v>
      </c>
      <c r="I989">
        <v>4908</v>
      </c>
      <c r="J989">
        <v>1</v>
      </c>
      <c r="K989">
        <f>J989+energy_grid_portfolio_dataset!G989</f>
        <v>5.0999999999999996</v>
      </c>
      <c r="L989">
        <f>HOUR(energy_timestamp[[#This Row],[timestamp]])</f>
        <v>3</v>
      </c>
    </row>
    <row r="990" spans="1:12" x14ac:dyDescent="0.3">
      <c r="A990" s="12" t="s">
        <v>359</v>
      </c>
      <c r="B990" s="12" t="s">
        <v>12</v>
      </c>
      <c r="C990">
        <v>20.6</v>
      </c>
      <c r="D990">
        <v>42.6</v>
      </c>
      <c r="E990">
        <v>4.2</v>
      </c>
      <c r="F990">
        <v>0</v>
      </c>
      <c r="G990">
        <v>6.9</v>
      </c>
      <c r="H990">
        <v>4000</v>
      </c>
      <c r="I990">
        <v>5277.6</v>
      </c>
      <c r="J990">
        <v>1</v>
      </c>
      <c r="K990">
        <f>J990+energy_grid_portfolio_dataset!G990</f>
        <v>7.9</v>
      </c>
      <c r="L990">
        <f>HOUR(energy_timestamp[[#This Row],[timestamp]])</f>
        <v>4</v>
      </c>
    </row>
    <row r="991" spans="1:12" x14ac:dyDescent="0.3">
      <c r="A991" s="12" t="s">
        <v>360</v>
      </c>
      <c r="B991" s="12" t="s">
        <v>12</v>
      </c>
      <c r="C991">
        <v>20.2</v>
      </c>
      <c r="D991">
        <v>93.5</v>
      </c>
      <c r="E991">
        <v>6.6</v>
      </c>
      <c r="F991">
        <v>0</v>
      </c>
      <c r="G991">
        <v>27.1</v>
      </c>
      <c r="H991">
        <v>4000</v>
      </c>
      <c r="I991">
        <v>4936.1000000000004</v>
      </c>
      <c r="J991">
        <v>1</v>
      </c>
      <c r="K991">
        <f>J991+energy_grid_portfolio_dataset!G991</f>
        <v>28.1</v>
      </c>
      <c r="L991">
        <f>HOUR(energy_timestamp[[#This Row],[timestamp]])</f>
        <v>5</v>
      </c>
    </row>
    <row r="992" spans="1:12" x14ac:dyDescent="0.3">
      <c r="A992" s="12" t="s">
        <v>361</v>
      </c>
      <c r="B992" s="12" t="s">
        <v>12</v>
      </c>
      <c r="C992">
        <v>25.8</v>
      </c>
      <c r="D992">
        <v>61.5</v>
      </c>
      <c r="E992">
        <v>8.3000000000000007</v>
      </c>
      <c r="F992">
        <v>226.2</v>
      </c>
      <c r="G992">
        <v>55</v>
      </c>
      <c r="H992">
        <v>4000</v>
      </c>
      <c r="I992">
        <v>4840.3</v>
      </c>
      <c r="J992">
        <v>1</v>
      </c>
      <c r="K992">
        <f>J992+energy_grid_portfolio_dataset!G992</f>
        <v>56</v>
      </c>
      <c r="L992">
        <f>HOUR(energy_timestamp[[#This Row],[timestamp]])</f>
        <v>6</v>
      </c>
    </row>
    <row r="993" spans="1:12" x14ac:dyDescent="0.3">
      <c r="A993" s="12" t="s">
        <v>362</v>
      </c>
      <c r="B993" s="12" t="s">
        <v>12</v>
      </c>
      <c r="C993">
        <v>24</v>
      </c>
      <c r="D993">
        <v>69.3</v>
      </c>
      <c r="E993">
        <v>0.3</v>
      </c>
      <c r="F993">
        <v>386.4</v>
      </c>
      <c r="G993">
        <v>0</v>
      </c>
      <c r="H993">
        <v>4000</v>
      </c>
      <c r="I993">
        <v>4858.8</v>
      </c>
      <c r="J993">
        <v>1</v>
      </c>
      <c r="K993">
        <f>J993+energy_grid_portfolio_dataset!G993</f>
        <v>1</v>
      </c>
      <c r="L993">
        <f>HOUR(energy_timestamp[[#This Row],[timestamp]])</f>
        <v>7</v>
      </c>
    </row>
    <row r="994" spans="1:12" x14ac:dyDescent="0.3">
      <c r="A994" s="12" t="s">
        <v>363</v>
      </c>
      <c r="B994" s="12" t="s">
        <v>12</v>
      </c>
      <c r="C994">
        <v>27.1</v>
      </c>
      <c r="D994">
        <v>48.1</v>
      </c>
      <c r="E994">
        <v>2.7</v>
      </c>
      <c r="F994">
        <v>767.3</v>
      </c>
      <c r="G994">
        <v>1.9</v>
      </c>
      <c r="H994">
        <v>4000</v>
      </c>
      <c r="I994">
        <v>5252.3</v>
      </c>
      <c r="J994">
        <v>1</v>
      </c>
      <c r="K994">
        <f>J994+energy_grid_portfolio_dataset!G994</f>
        <v>2.9</v>
      </c>
      <c r="L994">
        <f>HOUR(energy_timestamp[[#This Row],[timestamp]])</f>
        <v>8</v>
      </c>
    </row>
    <row r="995" spans="1:12" x14ac:dyDescent="0.3">
      <c r="A995" s="12" t="s">
        <v>364</v>
      </c>
      <c r="B995" s="12" t="s">
        <v>12</v>
      </c>
      <c r="C995">
        <v>25.7</v>
      </c>
      <c r="D995">
        <v>70.7</v>
      </c>
      <c r="E995">
        <v>6.6</v>
      </c>
      <c r="F995">
        <v>679.6</v>
      </c>
      <c r="G995">
        <v>27.3</v>
      </c>
      <c r="H995">
        <v>4000</v>
      </c>
      <c r="I995">
        <v>5002.1000000000004</v>
      </c>
      <c r="J995">
        <v>1</v>
      </c>
      <c r="K995">
        <f>J995+energy_grid_portfolio_dataset!G995</f>
        <v>28.3</v>
      </c>
      <c r="L995">
        <f>HOUR(energy_timestamp[[#This Row],[timestamp]])</f>
        <v>9</v>
      </c>
    </row>
    <row r="996" spans="1:12" x14ac:dyDescent="0.3">
      <c r="A996" s="12" t="s">
        <v>365</v>
      </c>
      <c r="B996" s="12" t="s">
        <v>12</v>
      </c>
      <c r="C996">
        <v>29.2</v>
      </c>
      <c r="D996">
        <v>77</v>
      </c>
      <c r="E996">
        <v>2.9</v>
      </c>
      <c r="F996">
        <v>691.3</v>
      </c>
      <c r="G996">
        <v>2.2000000000000002</v>
      </c>
      <c r="H996">
        <v>4000</v>
      </c>
      <c r="I996">
        <v>7225.9</v>
      </c>
      <c r="J996">
        <v>1</v>
      </c>
      <c r="K996">
        <f>J996+energy_grid_portfolio_dataset!G996</f>
        <v>3.2</v>
      </c>
      <c r="L996">
        <f>HOUR(energy_timestamp[[#This Row],[timestamp]])</f>
        <v>10</v>
      </c>
    </row>
    <row r="997" spans="1:12" x14ac:dyDescent="0.3">
      <c r="A997" s="12" t="s">
        <v>366</v>
      </c>
      <c r="B997" s="12" t="s">
        <v>12</v>
      </c>
      <c r="C997">
        <v>30.1</v>
      </c>
      <c r="D997">
        <v>100</v>
      </c>
      <c r="E997">
        <v>2.6</v>
      </c>
      <c r="F997">
        <v>390</v>
      </c>
      <c r="G997">
        <v>1.7</v>
      </c>
      <c r="H997">
        <v>4000</v>
      </c>
      <c r="I997">
        <v>7354.4</v>
      </c>
      <c r="J997">
        <v>1</v>
      </c>
      <c r="K997">
        <f>J997+energy_grid_portfolio_dataset!G997</f>
        <v>2.7</v>
      </c>
      <c r="L997">
        <f>HOUR(energy_timestamp[[#This Row],[timestamp]])</f>
        <v>11</v>
      </c>
    </row>
    <row r="998" spans="1:12" x14ac:dyDescent="0.3">
      <c r="A998" s="12" t="s">
        <v>367</v>
      </c>
      <c r="B998" s="12" t="s">
        <v>12</v>
      </c>
      <c r="C998">
        <v>22.8</v>
      </c>
      <c r="D998">
        <v>76.599999999999994</v>
      </c>
      <c r="E998">
        <v>4.4000000000000004</v>
      </c>
      <c r="F998">
        <v>774.5</v>
      </c>
      <c r="G998">
        <v>7.9</v>
      </c>
      <c r="H998">
        <v>4000</v>
      </c>
      <c r="I998">
        <v>7186.4</v>
      </c>
      <c r="J998">
        <v>1</v>
      </c>
      <c r="K998">
        <f>J998+energy_grid_portfolio_dataset!G998</f>
        <v>8.9</v>
      </c>
      <c r="L998">
        <f>HOUR(energy_timestamp[[#This Row],[timestamp]])</f>
        <v>12</v>
      </c>
    </row>
    <row r="999" spans="1:12" x14ac:dyDescent="0.3">
      <c r="A999" s="12" t="s">
        <v>368</v>
      </c>
      <c r="B999" s="12" t="s">
        <v>12</v>
      </c>
      <c r="C999">
        <v>25.3</v>
      </c>
      <c r="D999">
        <v>9.3000000000000007</v>
      </c>
      <c r="E999">
        <v>4.5999999999999996</v>
      </c>
      <c r="F999">
        <v>1804.4</v>
      </c>
      <c r="G999">
        <v>9.3000000000000007</v>
      </c>
      <c r="H999">
        <v>4000</v>
      </c>
      <c r="I999">
        <v>7438.5</v>
      </c>
      <c r="J999">
        <v>1</v>
      </c>
      <c r="K999">
        <f>J999+energy_grid_portfolio_dataset!G999</f>
        <v>10.3</v>
      </c>
      <c r="L999">
        <f>HOUR(energy_timestamp[[#This Row],[timestamp]])</f>
        <v>13</v>
      </c>
    </row>
    <row r="1000" spans="1:12" x14ac:dyDescent="0.3">
      <c r="A1000" s="12" t="s">
        <v>369</v>
      </c>
      <c r="B1000" s="12" t="s">
        <v>12</v>
      </c>
      <c r="C1000">
        <v>27.8</v>
      </c>
      <c r="D1000">
        <v>0</v>
      </c>
      <c r="E1000">
        <v>6.1</v>
      </c>
      <c r="F1000">
        <v>1801.9</v>
      </c>
      <c r="G1000">
        <v>21.6</v>
      </c>
      <c r="H1000">
        <v>4000</v>
      </c>
      <c r="I1000">
        <v>6853.7</v>
      </c>
      <c r="J1000">
        <v>1</v>
      </c>
      <c r="K1000">
        <f>J1000+energy_grid_portfolio_dataset!G1000</f>
        <v>22.6</v>
      </c>
      <c r="L1000">
        <f>HOUR(energy_timestamp[[#This Row],[timestamp]])</f>
        <v>14</v>
      </c>
    </row>
    <row r="1001" spans="1:12" x14ac:dyDescent="0.3">
      <c r="A1001" s="12" t="s">
        <v>370</v>
      </c>
      <c r="B1001" s="12" t="s">
        <v>12</v>
      </c>
      <c r="C1001">
        <v>24.9</v>
      </c>
      <c r="D1001">
        <v>100</v>
      </c>
      <c r="E1001">
        <v>7.1</v>
      </c>
      <c r="F1001">
        <v>312.7</v>
      </c>
      <c r="G1001">
        <v>34.1</v>
      </c>
      <c r="H1001">
        <v>4000</v>
      </c>
      <c r="I1001">
        <v>4638.3</v>
      </c>
      <c r="J1001">
        <v>1</v>
      </c>
      <c r="K1001">
        <f>J1001+energy_grid_portfolio_dataset!G1001</f>
        <v>35.1</v>
      </c>
      <c r="L1001">
        <f>HOUR(energy_timestamp[[#This Row],[timestamp]])</f>
        <v>15</v>
      </c>
    </row>
    <row r="1002" spans="1:12" x14ac:dyDescent="0.3">
      <c r="A1002" s="12" t="s">
        <v>371</v>
      </c>
      <c r="B1002" s="12" t="s">
        <v>12</v>
      </c>
      <c r="C1002">
        <v>24.4</v>
      </c>
      <c r="D1002">
        <v>60.5</v>
      </c>
      <c r="E1002">
        <v>7.4</v>
      </c>
      <c r="F1002">
        <v>643</v>
      </c>
      <c r="G1002">
        <v>39.200000000000003</v>
      </c>
      <c r="H1002">
        <v>4000</v>
      </c>
      <c r="I1002">
        <v>4820.5</v>
      </c>
      <c r="J1002">
        <v>1</v>
      </c>
      <c r="K1002">
        <f>J1002+energy_grid_portfolio_dataset!G1002</f>
        <v>40.200000000000003</v>
      </c>
      <c r="L1002">
        <f>HOUR(energy_timestamp[[#This Row],[timestamp]])</f>
        <v>16</v>
      </c>
    </row>
    <row r="1003" spans="1:12" x14ac:dyDescent="0.3">
      <c r="A1003" s="12" t="s">
        <v>372</v>
      </c>
      <c r="B1003" s="12" t="s">
        <v>12</v>
      </c>
      <c r="C1003">
        <v>24.5</v>
      </c>
      <c r="D1003">
        <v>0</v>
      </c>
      <c r="E1003">
        <v>4.0999999999999996</v>
      </c>
      <c r="F1003">
        <v>867.8</v>
      </c>
      <c r="G1003">
        <v>6.7</v>
      </c>
      <c r="H1003">
        <v>3870.5</v>
      </c>
      <c r="I1003">
        <v>4745</v>
      </c>
      <c r="J1003">
        <v>0</v>
      </c>
      <c r="K1003">
        <f>J1003+energy_grid_portfolio_dataset!G1003</f>
        <v>6.7</v>
      </c>
      <c r="L1003">
        <f>HOUR(energy_timestamp[[#This Row],[timestamp]])</f>
        <v>17</v>
      </c>
    </row>
    <row r="1004" spans="1:12" x14ac:dyDescent="0.3">
      <c r="A1004" s="12" t="s">
        <v>373</v>
      </c>
      <c r="B1004" s="12" t="s">
        <v>12</v>
      </c>
      <c r="C1004">
        <v>23.3</v>
      </c>
      <c r="D1004">
        <v>60.7</v>
      </c>
      <c r="E1004">
        <v>1.8</v>
      </c>
      <c r="F1004">
        <v>229</v>
      </c>
      <c r="G1004">
        <v>0.5</v>
      </c>
      <c r="H1004">
        <v>4000</v>
      </c>
      <c r="I1004">
        <v>7626.8</v>
      </c>
      <c r="J1004">
        <v>1</v>
      </c>
      <c r="K1004">
        <f>J1004+energy_grid_portfolio_dataset!G1004</f>
        <v>1.5</v>
      </c>
      <c r="L1004">
        <f>HOUR(energy_timestamp[[#This Row],[timestamp]])</f>
        <v>18</v>
      </c>
    </row>
    <row r="1005" spans="1:12" x14ac:dyDescent="0.3">
      <c r="A1005" s="12" t="s">
        <v>374</v>
      </c>
      <c r="B1005" s="12" t="s">
        <v>12</v>
      </c>
      <c r="C1005">
        <v>21.1</v>
      </c>
      <c r="D1005">
        <v>57.6</v>
      </c>
      <c r="E1005">
        <v>4.3</v>
      </c>
      <c r="F1005">
        <v>0</v>
      </c>
      <c r="G1005">
        <v>7.4</v>
      </c>
      <c r="H1005">
        <v>4000</v>
      </c>
      <c r="I1005">
        <v>7552.3</v>
      </c>
      <c r="J1005">
        <v>1</v>
      </c>
      <c r="K1005">
        <f>J1005+energy_grid_portfolio_dataset!G1005</f>
        <v>8.4</v>
      </c>
      <c r="L1005">
        <f>HOUR(energy_timestamp[[#This Row],[timestamp]])</f>
        <v>19</v>
      </c>
    </row>
    <row r="1006" spans="1:12" x14ac:dyDescent="0.3">
      <c r="A1006" s="12" t="s">
        <v>375</v>
      </c>
      <c r="B1006" s="12" t="s">
        <v>12</v>
      </c>
      <c r="C1006">
        <v>20.9</v>
      </c>
      <c r="D1006">
        <v>44.5</v>
      </c>
      <c r="E1006">
        <v>5.7</v>
      </c>
      <c r="F1006">
        <v>0</v>
      </c>
      <c r="G1006">
        <v>18.100000000000001</v>
      </c>
      <c r="H1006">
        <v>4000</v>
      </c>
      <c r="I1006">
        <v>7627.9</v>
      </c>
      <c r="J1006">
        <v>1</v>
      </c>
      <c r="K1006">
        <f>J1006+energy_grid_portfolio_dataset!G1006</f>
        <v>19.100000000000001</v>
      </c>
      <c r="L1006">
        <f>HOUR(energy_timestamp[[#This Row],[timestamp]])</f>
        <v>20</v>
      </c>
    </row>
    <row r="1007" spans="1:12" x14ac:dyDescent="0.3">
      <c r="A1007" s="12" t="s">
        <v>376</v>
      </c>
      <c r="B1007" s="12" t="s">
        <v>12</v>
      </c>
      <c r="C1007">
        <v>15.6</v>
      </c>
      <c r="D1007">
        <v>4.4000000000000004</v>
      </c>
      <c r="E1007">
        <v>8.4</v>
      </c>
      <c r="F1007">
        <v>0</v>
      </c>
      <c r="G1007">
        <v>55.9</v>
      </c>
      <c r="H1007">
        <v>4000</v>
      </c>
      <c r="I1007">
        <v>8025.5</v>
      </c>
      <c r="J1007">
        <v>1</v>
      </c>
      <c r="K1007">
        <f>J1007+energy_grid_portfolio_dataset!G1007</f>
        <v>56.9</v>
      </c>
      <c r="L1007">
        <f>HOUR(energy_timestamp[[#This Row],[timestamp]])</f>
        <v>21</v>
      </c>
    </row>
    <row r="1008" spans="1:12" x14ac:dyDescent="0.3">
      <c r="A1008" s="12" t="s">
        <v>377</v>
      </c>
      <c r="B1008" s="12" t="s">
        <v>12</v>
      </c>
      <c r="C1008">
        <v>17</v>
      </c>
      <c r="D1008">
        <v>36.6</v>
      </c>
      <c r="E1008">
        <v>5.2</v>
      </c>
      <c r="F1008">
        <v>0</v>
      </c>
      <c r="G1008">
        <v>13.7</v>
      </c>
      <c r="H1008">
        <v>4000</v>
      </c>
      <c r="I1008">
        <v>4848.2</v>
      </c>
      <c r="J1008">
        <v>1</v>
      </c>
      <c r="K1008">
        <f>J1008+energy_grid_portfolio_dataset!G1008</f>
        <v>14.7</v>
      </c>
      <c r="L1008">
        <f>HOUR(energy_timestamp[[#This Row],[timestamp]])</f>
        <v>22</v>
      </c>
    </row>
    <row r="1009" spans="1:12" x14ac:dyDescent="0.3">
      <c r="A1009" s="12" t="s">
        <v>378</v>
      </c>
      <c r="B1009" s="12" t="s">
        <v>12</v>
      </c>
      <c r="C1009">
        <v>18.8</v>
      </c>
      <c r="D1009">
        <v>85.9</v>
      </c>
      <c r="E1009">
        <v>1.8</v>
      </c>
      <c r="F1009">
        <v>0</v>
      </c>
      <c r="G1009">
        <v>0.5</v>
      </c>
      <c r="H1009">
        <v>4000</v>
      </c>
      <c r="I1009">
        <v>5189.8</v>
      </c>
      <c r="J1009">
        <v>1</v>
      </c>
      <c r="K1009">
        <f>J1009+energy_grid_portfolio_dataset!G1009</f>
        <v>1.5</v>
      </c>
      <c r="L1009">
        <f>HOUR(energy_timestamp[[#This Row],[timestamp]])</f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DB2E-FA31-4DBF-BA54-7CF02964F7CA}">
  <dimension ref="A1:M1009"/>
  <sheetViews>
    <sheetView workbookViewId="0">
      <selection activeCell="L1" sqref="L1:M1048576"/>
    </sheetView>
  </sheetViews>
  <sheetFormatPr defaultRowHeight="14.4" x14ac:dyDescent="0.3"/>
  <cols>
    <col min="1" max="1" width="15.44140625" bestFit="1" customWidth="1"/>
    <col min="2" max="2" width="11.33203125" bestFit="1" customWidth="1"/>
    <col min="3" max="3" width="13.21875" bestFit="1" customWidth="1"/>
    <col min="4" max="4" width="14.6640625" bestFit="1" customWidth="1"/>
    <col min="5" max="5" width="14.109375" bestFit="1" customWidth="1"/>
    <col min="6" max="6" width="9" bestFit="1" customWidth="1"/>
    <col min="8" max="8" width="16.109375" bestFit="1" customWidth="1"/>
    <col min="9" max="9" width="15.6640625" bestFit="1" customWidth="1"/>
    <col min="10" max="10" width="17.21875" bestFit="1" customWidth="1"/>
    <col min="11" max="11" width="29.5546875" bestFit="1" customWidth="1"/>
    <col min="12" max="12" width="10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  <c r="L1" t="s">
        <v>27</v>
      </c>
      <c r="M1" t="s">
        <v>29</v>
      </c>
    </row>
    <row r="2" spans="1:13" x14ac:dyDescent="0.3">
      <c r="A2" s="1">
        <v>46266</v>
      </c>
      <c r="B2" t="s">
        <v>10</v>
      </c>
      <c r="C2">
        <v>21.8</v>
      </c>
      <c r="D2">
        <v>38</v>
      </c>
      <c r="E2">
        <v>7</v>
      </c>
      <c r="F2">
        <v>0</v>
      </c>
      <c r="G2">
        <v>22.4</v>
      </c>
      <c r="H2">
        <v>4000</v>
      </c>
      <c r="I2">
        <v>5024.5</v>
      </c>
      <c r="J2">
        <v>1</v>
      </c>
      <c r="K2">
        <f>F2+G2</f>
        <v>22.4</v>
      </c>
      <c r="L2">
        <f>K2+energy_grid_portfolio_dataset!H2</f>
        <v>4022.4</v>
      </c>
      <c r="M2">
        <f>HOUR(A2)</f>
        <v>0</v>
      </c>
    </row>
    <row r="3" spans="1:13" x14ac:dyDescent="0.3">
      <c r="A3" s="1">
        <v>46266.041666666664</v>
      </c>
      <c r="B3" t="s">
        <v>10</v>
      </c>
      <c r="C3">
        <v>21.9</v>
      </c>
      <c r="D3">
        <v>56.6</v>
      </c>
      <c r="E3">
        <v>5.5</v>
      </c>
      <c r="F3">
        <v>0</v>
      </c>
      <c r="G3">
        <v>10.9</v>
      </c>
      <c r="H3">
        <v>4000</v>
      </c>
      <c r="I3">
        <v>4914.8999999999996</v>
      </c>
      <c r="J3">
        <v>1</v>
      </c>
      <c r="K3">
        <f t="shared" ref="K3:K66" si="0">F3+G3</f>
        <v>10.9</v>
      </c>
      <c r="L3">
        <f>K3+energy_grid_portfolio_dataset!H3</f>
        <v>4010.9</v>
      </c>
      <c r="M3">
        <f t="shared" ref="M3:M66" si="1">HOUR(A3)</f>
        <v>1</v>
      </c>
    </row>
    <row r="4" spans="1:13" x14ac:dyDescent="0.3">
      <c r="A4" s="1">
        <v>46266.083333333336</v>
      </c>
      <c r="B4" t="s">
        <v>10</v>
      </c>
      <c r="C4">
        <v>23.6</v>
      </c>
      <c r="D4">
        <v>15.7</v>
      </c>
      <c r="E4">
        <v>3.1</v>
      </c>
      <c r="F4">
        <v>0</v>
      </c>
      <c r="G4">
        <v>1.8</v>
      </c>
      <c r="H4">
        <v>4000</v>
      </c>
      <c r="I4">
        <v>4879.6000000000004</v>
      </c>
      <c r="J4">
        <v>1</v>
      </c>
      <c r="K4">
        <f t="shared" si="0"/>
        <v>1.8</v>
      </c>
      <c r="L4">
        <f>K4+energy_grid_portfolio_dataset!H4</f>
        <v>4001.8</v>
      </c>
      <c r="M4">
        <f t="shared" si="1"/>
        <v>2</v>
      </c>
    </row>
    <row r="5" spans="1:13" x14ac:dyDescent="0.3">
      <c r="A5" s="1">
        <v>46266.125</v>
      </c>
      <c r="B5" t="s">
        <v>10</v>
      </c>
      <c r="C5">
        <v>20.9</v>
      </c>
      <c r="D5">
        <v>0</v>
      </c>
      <c r="E5">
        <v>2.9</v>
      </c>
      <c r="F5">
        <v>0</v>
      </c>
      <c r="G5">
        <v>1.5</v>
      </c>
      <c r="H5">
        <v>4000</v>
      </c>
      <c r="I5">
        <v>4986.3</v>
      </c>
      <c r="J5">
        <v>1</v>
      </c>
      <c r="K5">
        <f t="shared" si="0"/>
        <v>1.5</v>
      </c>
      <c r="L5">
        <f>K5+energy_grid_portfolio_dataset!H5</f>
        <v>4001.5</v>
      </c>
      <c r="M5">
        <f t="shared" si="1"/>
        <v>3</v>
      </c>
    </row>
    <row r="6" spans="1:13" x14ac:dyDescent="0.3">
      <c r="A6" s="1">
        <v>46266.166666666664</v>
      </c>
      <c r="B6" t="s">
        <v>10</v>
      </c>
      <c r="C6">
        <v>25.5</v>
      </c>
      <c r="D6">
        <v>6.8</v>
      </c>
      <c r="E6">
        <v>1.2</v>
      </c>
      <c r="F6">
        <v>0</v>
      </c>
      <c r="G6">
        <v>0.1</v>
      </c>
      <c r="H6">
        <v>4000</v>
      </c>
      <c r="I6">
        <v>4798.1000000000004</v>
      </c>
      <c r="J6">
        <v>1</v>
      </c>
      <c r="K6">
        <f t="shared" si="0"/>
        <v>0.1</v>
      </c>
      <c r="L6">
        <f>K6+energy_grid_portfolio_dataset!H6</f>
        <v>4000.1</v>
      </c>
      <c r="M6">
        <f t="shared" si="1"/>
        <v>4</v>
      </c>
    </row>
    <row r="7" spans="1:13" x14ac:dyDescent="0.3">
      <c r="A7" s="1">
        <v>46266.208333333336</v>
      </c>
      <c r="B7" t="s">
        <v>10</v>
      </c>
      <c r="C7">
        <v>26.1</v>
      </c>
      <c r="D7">
        <v>26.4</v>
      </c>
      <c r="E7">
        <v>1.2</v>
      </c>
      <c r="F7">
        <v>0</v>
      </c>
      <c r="G7">
        <v>0.1</v>
      </c>
      <c r="H7">
        <v>4000</v>
      </c>
      <c r="I7">
        <v>5169.8</v>
      </c>
      <c r="J7">
        <v>1</v>
      </c>
      <c r="K7">
        <f t="shared" si="0"/>
        <v>0.1</v>
      </c>
      <c r="L7">
        <f>K7+energy_grid_portfolio_dataset!H7</f>
        <v>4000.1</v>
      </c>
      <c r="M7">
        <f t="shared" si="1"/>
        <v>5</v>
      </c>
    </row>
    <row r="8" spans="1:13" x14ac:dyDescent="0.3">
      <c r="A8" s="1">
        <v>46266.25</v>
      </c>
      <c r="B8" t="s">
        <v>10</v>
      </c>
      <c r="C8">
        <v>28.2</v>
      </c>
      <c r="D8">
        <v>2</v>
      </c>
      <c r="E8">
        <v>4.8</v>
      </c>
      <c r="F8">
        <v>658.3</v>
      </c>
      <c r="G8">
        <v>6.9</v>
      </c>
      <c r="H8">
        <v>4000</v>
      </c>
      <c r="I8">
        <v>4868.3</v>
      </c>
      <c r="J8">
        <v>1</v>
      </c>
      <c r="K8">
        <f t="shared" si="0"/>
        <v>665.19999999999993</v>
      </c>
      <c r="L8">
        <f>K8+energy_grid_portfolio_dataset!H8</f>
        <v>4665.2</v>
      </c>
      <c r="M8">
        <f t="shared" si="1"/>
        <v>6</v>
      </c>
    </row>
    <row r="9" spans="1:13" x14ac:dyDescent="0.3">
      <c r="A9" s="1">
        <v>46266.291666666664</v>
      </c>
      <c r="B9" t="s">
        <v>10</v>
      </c>
      <c r="C9">
        <v>29.1</v>
      </c>
      <c r="D9">
        <v>13</v>
      </c>
      <c r="E9">
        <v>7.7</v>
      </c>
      <c r="F9">
        <v>1183.5</v>
      </c>
      <c r="G9">
        <v>29.3</v>
      </c>
      <c r="H9">
        <v>3647.1</v>
      </c>
      <c r="I9">
        <v>4859.8999999999996</v>
      </c>
      <c r="J9">
        <v>0</v>
      </c>
      <c r="K9">
        <f t="shared" si="0"/>
        <v>1212.8</v>
      </c>
      <c r="L9">
        <f>K9+energy_grid_portfolio_dataset!H9</f>
        <v>4859.8999999999996</v>
      </c>
      <c r="M9">
        <f t="shared" si="1"/>
        <v>7</v>
      </c>
    </row>
    <row r="10" spans="1:13" x14ac:dyDescent="0.3">
      <c r="A10" s="1">
        <v>46266.333333333336</v>
      </c>
      <c r="B10" t="s">
        <v>10</v>
      </c>
      <c r="C10">
        <v>29.4</v>
      </c>
      <c r="D10">
        <v>41.5</v>
      </c>
      <c r="E10">
        <v>1.6</v>
      </c>
      <c r="F10">
        <v>1327.7</v>
      </c>
      <c r="G10">
        <v>0.2</v>
      </c>
      <c r="H10">
        <v>3620.1</v>
      </c>
      <c r="I10">
        <v>4948</v>
      </c>
      <c r="J10">
        <v>0</v>
      </c>
      <c r="K10">
        <f t="shared" si="0"/>
        <v>1327.9</v>
      </c>
      <c r="L10">
        <f>K10+energy_grid_portfolio_dataset!H10</f>
        <v>4948</v>
      </c>
      <c r="M10">
        <f t="shared" si="1"/>
        <v>8</v>
      </c>
    </row>
    <row r="11" spans="1:13" x14ac:dyDescent="0.3">
      <c r="A11" s="1">
        <v>46266.375</v>
      </c>
      <c r="B11" t="s">
        <v>10</v>
      </c>
      <c r="C11">
        <v>29.3</v>
      </c>
      <c r="D11">
        <v>0</v>
      </c>
      <c r="E11">
        <v>4.4000000000000004</v>
      </c>
      <c r="F11">
        <v>2345.5</v>
      </c>
      <c r="G11">
        <v>5.4</v>
      </c>
      <c r="H11">
        <v>2630.4</v>
      </c>
      <c r="I11">
        <v>4981.3</v>
      </c>
      <c r="J11">
        <v>0</v>
      </c>
      <c r="K11">
        <f t="shared" si="0"/>
        <v>2350.9</v>
      </c>
      <c r="L11">
        <f>K11+energy_grid_portfolio_dataset!H11</f>
        <v>4981.3</v>
      </c>
      <c r="M11">
        <f t="shared" si="1"/>
        <v>9</v>
      </c>
    </row>
    <row r="12" spans="1:13" x14ac:dyDescent="0.3">
      <c r="A12" s="1">
        <v>46266.416666666664</v>
      </c>
      <c r="B12" t="s">
        <v>10</v>
      </c>
      <c r="C12">
        <v>33.5</v>
      </c>
      <c r="D12">
        <v>22.7</v>
      </c>
      <c r="E12">
        <v>3.4</v>
      </c>
      <c r="F12">
        <v>2273.6999999999998</v>
      </c>
      <c r="G12">
        <v>2.5</v>
      </c>
      <c r="H12">
        <v>4000</v>
      </c>
      <c r="I12">
        <v>7260.8</v>
      </c>
      <c r="J12">
        <v>1</v>
      </c>
      <c r="K12">
        <f t="shared" si="0"/>
        <v>2276.1999999999998</v>
      </c>
      <c r="L12">
        <f>K12+energy_grid_portfolio_dataset!H12</f>
        <v>6276.2</v>
      </c>
      <c r="M12">
        <f t="shared" si="1"/>
        <v>10</v>
      </c>
    </row>
    <row r="13" spans="1:13" x14ac:dyDescent="0.3">
      <c r="A13" s="1">
        <v>46266.458333333336</v>
      </c>
      <c r="B13" t="s">
        <v>10</v>
      </c>
      <c r="C13">
        <v>32.700000000000003</v>
      </c>
      <c r="D13">
        <v>15.8</v>
      </c>
      <c r="E13">
        <v>6.1</v>
      </c>
      <c r="F13">
        <v>2601.6</v>
      </c>
      <c r="G13">
        <v>14.6</v>
      </c>
      <c r="H13">
        <v>4000</v>
      </c>
      <c r="I13">
        <v>6928.2</v>
      </c>
      <c r="J13">
        <v>1</v>
      </c>
      <c r="K13">
        <f t="shared" si="0"/>
        <v>2616.1999999999998</v>
      </c>
      <c r="L13">
        <f>K13+energy_grid_portfolio_dataset!H13</f>
        <v>6616.2</v>
      </c>
      <c r="M13">
        <f t="shared" si="1"/>
        <v>11</v>
      </c>
    </row>
    <row r="14" spans="1:13" x14ac:dyDescent="0.3">
      <c r="A14" s="1">
        <v>46266.5</v>
      </c>
      <c r="B14" t="s">
        <v>10</v>
      </c>
      <c r="C14">
        <v>31.4</v>
      </c>
      <c r="D14">
        <v>31.5</v>
      </c>
      <c r="E14">
        <v>3.2</v>
      </c>
      <c r="F14">
        <v>2338.9</v>
      </c>
      <c r="G14">
        <v>2.2000000000000002</v>
      </c>
      <c r="H14">
        <v>4000</v>
      </c>
      <c r="I14">
        <v>7201.5</v>
      </c>
      <c r="J14">
        <v>1</v>
      </c>
      <c r="K14">
        <f t="shared" si="0"/>
        <v>2341.1</v>
      </c>
      <c r="L14">
        <f>K14+energy_grid_portfolio_dataset!H14</f>
        <v>6341.1</v>
      </c>
      <c r="M14">
        <f t="shared" si="1"/>
        <v>12</v>
      </c>
    </row>
    <row r="15" spans="1:13" x14ac:dyDescent="0.3">
      <c r="A15" s="1">
        <v>46266.541666666664</v>
      </c>
      <c r="B15" t="s">
        <v>10</v>
      </c>
      <c r="C15">
        <v>34.700000000000003</v>
      </c>
      <c r="D15">
        <v>45.6</v>
      </c>
      <c r="E15">
        <v>5.9</v>
      </c>
      <c r="F15">
        <v>1990.8</v>
      </c>
      <c r="G15">
        <v>12.9</v>
      </c>
      <c r="H15">
        <v>4000</v>
      </c>
      <c r="I15">
        <v>7048.5</v>
      </c>
      <c r="J15">
        <v>1</v>
      </c>
      <c r="K15">
        <f t="shared" si="0"/>
        <v>2003.7</v>
      </c>
      <c r="L15">
        <f>K15+energy_grid_portfolio_dataset!H15</f>
        <v>6003.7</v>
      </c>
      <c r="M15">
        <f t="shared" si="1"/>
        <v>13</v>
      </c>
    </row>
    <row r="16" spans="1:13" x14ac:dyDescent="0.3">
      <c r="A16" s="1">
        <v>46266.583333333336</v>
      </c>
      <c r="B16" t="s">
        <v>10</v>
      </c>
      <c r="C16">
        <v>32.700000000000003</v>
      </c>
      <c r="D16">
        <v>31.6</v>
      </c>
      <c r="E16">
        <v>6</v>
      </c>
      <c r="F16">
        <v>2104.5</v>
      </c>
      <c r="G16">
        <v>13.5</v>
      </c>
      <c r="H16">
        <v>4000</v>
      </c>
      <c r="I16">
        <v>7024.1</v>
      </c>
      <c r="J16">
        <v>1</v>
      </c>
      <c r="K16">
        <f t="shared" si="0"/>
        <v>2118</v>
      </c>
      <c r="L16">
        <f>K16+energy_grid_portfolio_dataset!H16</f>
        <v>6118</v>
      </c>
      <c r="M16">
        <f t="shared" si="1"/>
        <v>14</v>
      </c>
    </row>
    <row r="17" spans="1:13" x14ac:dyDescent="0.3">
      <c r="A17" s="1">
        <v>46266.625</v>
      </c>
      <c r="B17" t="s">
        <v>10</v>
      </c>
      <c r="C17">
        <v>32</v>
      </c>
      <c r="D17">
        <v>2.9</v>
      </c>
      <c r="E17">
        <v>1.6</v>
      </c>
      <c r="F17">
        <v>2298.3000000000002</v>
      </c>
      <c r="G17">
        <v>0.3</v>
      </c>
      <c r="H17">
        <v>2579.5</v>
      </c>
      <c r="I17">
        <v>4878.1000000000004</v>
      </c>
      <c r="J17">
        <v>0</v>
      </c>
      <c r="K17">
        <f t="shared" si="0"/>
        <v>2298.6000000000004</v>
      </c>
      <c r="L17">
        <f>K17+energy_grid_portfolio_dataset!H17</f>
        <v>4878.1000000000004</v>
      </c>
      <c r="M17">
        <f t="shared" si="1"/>
        <v>15</v>
      </c>
    </row>
    <row r="18" spans="1:13" x14ac:dyDescent="0.3">
      <c r="A18" s="1">
        <v>46266.666666666664</v>
      </c>
      <c r="B18" t="s">
        <v>10</v>
      </c>
      <c r="C18">
        <v>33</v>
      </c>
      <c r="D18">
        <v>23.6</v>
      </c>
      <c r="E18">
        <v>6</v>
      </c>
      <c r="F18">
        <v>1562</v>
      </c>
      <c r="G18">
        <v>13.9</v>
      </c>
      <c r="H18">
        <v>3496</v>
      </c>
      <c r="I18">
        <v>5071.8999999999996</v>
      </c>
      <c r="J18">
        <v>0</v>
      </c>
      <c r="K18">
        <f t="shared" si="0"/>
        <v>1575.9</v>
      </c>
      <c r="L18">
        <f>K18+energy_grid_portfolio_dataset!H18</f>
        <v>5071.8999999999996</v>
      </c>
      <c r="M18">
        <f t="shared" si="1"/>
        <v>16</v>
      </c>
    </row>
    <row r="19" spans="1:13" x14ac:dyDescent="0.3">
      <c r="A19" s="1">
        <v>46266.708333333336</v>
      </c>
      <c r="B19" t="s">
        <v>10</v>
      </c>
      <c r="C19">
        <v>28.6</v>
      </c>
      <c r="D19">
        <v>32.200000000000003</v>
      </c>
      <c r="E19">
        <v>7.1</v>
      </c>
      <c r="F19">
        <v>1008</v>
      </c>
      <c r="G19">
        <v>22.7</v>
      </c>
      <c r="H19">
        <v>3973.5</v>
      </c>
      <c r="I19">
        <v>5004.2</v>
      </c>
      <c r="J19">
        <v>0</v>
      </c>
      <c r="K19">
        <f t="shared" si="0"/>
        <v>1030.7</v>
      </c>
      <c r="L19">
        <f>K19+energy_grid_portfolio_dataset!H19</f>
        <v>5004.2</v>
      </c>
      <c r="M19">
        <f t="shared" si="1"/>
        <v>17</v>
      </c>
    </row>
    <row r="20" spans="1:13" x14ac:dyDescent="0.3">
      <c r="A20" s="1">
        <v>46266.75</v>
      </c>
      <c r="B20" t="s">
        <v>10</v>
      </c>
      <c r="C20">
        <v>30.3</v>
      </c>
      <c r="D20">
        <v>0</v>
      </c>
      <c r="E20">
        <v>5.6</v>
      </c>
      <c r="F20">
        <v>667.6</v>
      </c>
      <c r="G20">
        <v>11.5</v>
      </c>
      <c r="H20">
        <v>4000</v>
      </c>
      <c r="I20">
        <v>7694.6</v>
      </c>
      <c r="J20">
        <v>1</v>
      </c>
      <c r="K20">
        <f t="shared" si="0"/>
        <v>679.1</v>
      </c>
      <c r="L20">
        <f>K20+energy_grid_portfolio_dataset!H20</f>
        <v>4679.1000000000004</v>
      </c>
      <c r="M20">
        <f t="shared" si="1"/>
        <v>18</v>
      </c>
    </row>
    <row r="21" spans="1:13" x14ac:dyDescent="0.3">
      <c r="A21" s="1">
        <v>46266.791666666664</v>
      </c>
      <c r="B21" t="s">
        <v>10</v>
      </c>
      <c r="C21">
        <v>26</v>
      </c>
      <c r="D21">
        <v>26.8</v>
      </c>
      <c r="E21">
        <v>0</v>
      </c>
      <c r="F21">
        <v>0</v>
      </c>
      <c r="G21">
        <v>0</v>
      </c>
      <c r="H21">
        <v>4000</v>
      </c>
      <c r="I21">
        <v>7713.1</v>
      </c>
      <c r="J21">
        <v>1</v>
      </c>
      <c r="K21">
        <f t="shared" si="0"/>
        <v>0</v>
      </c>
      <c r="L21">
        <f>K21+energy_grid_portfolio_dataset!H21</f>
        <v>4000</v>
      </c>
      <c r="M21">
        <f t="shared" si="1"/>
        <v>19</v>
      </c>
    </row>
    <row r="22" spans="1:13" x14ac:dyDescent="0.3">
      <c r="A22" s="1">
        <v>46266.833333333336</v>
      </c>
      <c r="B22" t="s">
        <v>10</v>
      </c>
      <c r="C22">
        <v>25.5</v>
      </c>
      <c r="D22">
        <v>54.6</v>
      </c>
      <c r="E22">
        <v>3</v>
      </c>
      <c r="F22">
        <v>0</v>
      </c>
      <c r="G22">
        <v>1.7</v>
      </c>
      <c r="H22">
        <v>4000</v>
      </c>
      <c r="I22">
        <v>7667</v>
      </c>
      <c r="J22">
        <v>1</v>
      </c>
      <c r="K22">
        <f t="shared" si="0"/>
        <v>1.7</v>
      </c>
      <c r="L22">
        <f>K22+energy_grid_portfolio_dataset!H22</f>
        <v>4001.7</v>
      </c>
      <c r="M22">
        <f t="shared" si="1"/>
        <v>20</v>
      </c>
    </row>
    <row r="23" spans="1:13" x14ac:dyDescent="0.3">
      <c r="A23" s="1">
        <v>46266.875</v>
      </c>
      <c r="B23" t="s">
        <v>10</v>
      </c>
      <c r="C23">
        <v>23</v>
      </c>
      <c r="D23">
        <v>43.3</v>
      </c>
      <c r="E23">
        <v>4.7</v>
      </c>
      <c r="F23">
        <v>0</v>
      </c>
      <c r="G23">
        <v>6.5</v>
      </c>
      <c r="H23">
        <v>4000</v>
      </c>
      <c r="I23">
        <v>7578.7</v>
      </c>
      <c r="J23">
        <v>1</v>
      </c>
      <c r="K23">
        <f t="shared" si="0"/>
        <v>6.5</v>
      </c>
      <c r="L23">
        <f>K23+energy_grid_portfolio_dataset!H23</f>
        <v>4006.5</v>
      </c>
      <c r="M23">
        <f t="shared" si="1"/>
        <v>21</v>
      </c>
    </row>
    <row r="24" spans="1:13" x14ac:dyDescent="0.3">
      <c r="A24" s="1">
        <v>46266.916666666664</v>
      </c>
      <c r="B24" t="s">
        <v>10</v>
      </c>
      <c r="C24">
        <v>23.6</v>
      </c>
      <c r="D24">
        <v>26.9</v>
      </c>
      <c r="E24">
        <v>5.9</v>
      </c>
      <c r="F24">
        <v>0</v>
      </c>
      <c r="G24">
        <v>13.4</v>
      </c>
      <c r="H24">
        <v>4000</v>
      </c>
      <c r="I24">
        <v>4870.5</v>
      </c>
      <c r="J24">
        <v>1</v>
      </c>
      <c r="K24">
        <f t="shared" si="0"/>
        <v>13.4</v>
      </c>
      <c r="L24">
        <f>K24+energy_grid_portfolio_dataset!H24</f>
        <v>4013.4</v>
      </c>
      <c r="M24">
        <f t="shared" si="1"/>
        <v>22</v>
      </c>
    </row>
    <row r="25" spans="1:13" x14ac:dyDescent="0.3">
      <c r="A25" s="1">
        <v>46266.958333333336</v>
      </c>
      <c r="B25" t="s">
        <v>10</v>
      </c>
      <c r="C25">
        <v>21.7</v>
      </c>
      <c r="D25">
        <v>17.2</v>
      </c>
      <c r="E25">
        <v>1.1000000000000001</v>
      </c>
      <c r="F25">
        <v>0</v>
      </c>
      <c r="G25">
        <v>0.1</v>
      </c>
      <c r="H25">
        <v>4000</v>
      </c>
      <c r="I25">
        <v>4844.7</v>
      </c>
      <c r="J25">
        <v>1</v>
      </c>
      <c r="K25">
        <f t="shared" si="0"/>
        <v>0.1</v>
      </c>
      <c r="L25">
        <f>K25+energy_grid_portfolio_dataset!H25</f>
        <v>4000.1</v>
      </c>
      <c r="M25">
        <f t="shared" si="1"/>
        <v>23</v>
      </c>
    </row>
    <row r="26" spans="1:13" x14ac:dyDescent="0.3">
      <c r="A26" s="1">
        <v>46267</v>
      </c>
      <c r="B26" t="s">
        <v>10</v>
      </c>
      <c r="C26">
        <v>22.4</v>
      </c>
      <c r="D26">
        <v>25.1</v>
      </c>
      <c r="E26">
        <v>3.5</v>
      </c>
      <c r="F26">
        <v>0</v>
      </c>
      <c r="G26">
        <v>2.8</v>
      </c>
      <c r="H26">
        <v>4000</v>
      </c>
      <c r="I26">
        <v>4994.3999999999996</v>
      </c>
      <c r="J26">
        <v>1</v>
      </c>
      <c r="K26">
        <f t="shared" si="0"/>
        <v>2.8</v>
      </c>
      <c r="L26">
        <f>K26+energy_grid_portfolio_dataset!H26</f>
        <v>4002.8</v>
      </c>
      <c r="M26">
        <f t="shared" si="1"/>
        <v>0</v>
      </c>
    </row>
    <row r="27" spans="1:13" x14ac:dyDescent="0.3">
      <c r="A27" s="1">
        <v>46267.041666666664</v>
      </c>
      <c r="B27" t="s">
        <v>10</v>
      </c>
      <c r="C27">
        <v>21.6</v>
      </c>
      <c r="D27">
        <v>18.100000000000001</v>
      </c>
      <c r="E27">
        <v>2.4</v>
      </c>
      <c r="F27">
        <v>0</v>
      </c>
      <c r="G27">
        <v>0.9</v>
      </c>
      <c r="H27">
        <v>4000</v>
      </c>
      <c r="I27">
        <v>4737.7</v>
      </c>
      <c r="J27">
        <v>1</v>
      </c>
      <c r="K27">
        <f t="shared" si="0"/>
        <v>0.9</v>
      </c>
      <c r="L27">
        <f>K27+energy_grid_portfolio_dataset!H27</f>
        <v>4000.9</v>
      </c>
      <c r="M27">
        <f t="shared" si="1"/>
        <v>1</v>
      </c>
    </row>
    <row r="28" spans="1:13" x14ac:dyDescent="0.3">
      <c r="A28" s="1">
        <v>46267.083333333336</v>
      </c>
      <c r="B28" t="s">
        <v>10</v>
      </c>
      <c r="C28">
        <v>23.4</v>
      </c>
      <c r="D28">
        <v>62.7</v>
      </c>
      <c r="E28">
        <v>4.3</v>
      </c>
      <c r="F28">
        <v>0</v>
      </c>
      <c r="G28">
        <v>5.3</v>
      </c>
      <c r="H28">
        <v>4000</v>
      </c>
      <c r="I28">
        <v>4925.8</v>
      </c>
      <c r="J28">
        <v>1</v>
      </c>
      <c r="K28">
        <f t="shared" si="0"/>
        <v>5.3</v>
      </c>
      <c r="L28">
        <f>K28+energy_grid_portfolio_dataset!H28</f>
        <v>4005.3</v>
      </c>
      <c r="M28">
        <f t="shared" si="1"/>
        <v>2</v>
      </c>
    </row>
    <row r="29" spans="1:13" x14ac:dyDescent="0.3">
      <c r="A29" s="1">
        <v>46267.125</v>
      </c>
      <c r="B29" t="s">
        <v>10</v>
      </c>
      <c r="C29">
        <v>23.6</v>
      </c>
      <c r="D29">
        <v>0</v>
      </c>
      <c r="E29">
        <v>3.9</v>
      </c>
      <c r="F29">
        <v>0</v>
      </c>
      <c r="G29">
        <v>3.9</v>
      </c>
      <c r="H29">
        <v>4000</v>
      </c>
      <c r="I29">
        <v>4988.6000000000004</v>
      </c>
      <c r="J29">
        <v>1</v>
      </c>
      <c r="K29">
        <f t="shared" si="0"/>
        <v>3.9</v>
      </c>
      <c r="L29">
        <f>K29+energy_grid_portfolio_dataset!H29</f>
        <v>4003.9</v>
      </c>
      <c r="M29">
        <f t="shared" si="1"/>
        <v>3</v>
      </c>
    </row>
    <row r="30" spans="1:13" x14ac:dyDescent="0.3">
      <c r="A30" s="1">
        <v>46267.166666666664</v>
      </c>
      <c r="B30" t="s">
        <v>10</v>
      </c>
      <c r="C30">
        <v>28.7</v>
      </c>
      <c r="D30">
        <v>21.2</v>
      </c>
      <c r="E30">
        <v>4.5999999999999996</v>
      </c>
      <c r="F30">
        <v>0</v>
      </c>
      <c r="G30">
        <v>6.2</v>
      </c>
      <c r="H30">
        <v>4000</v>
      </c>
      <c r="I30">
        <v>4959</v>
      </c>
      <c r="J30">
        <v>1</v>
      </c>
      <c r="K30">
        <f t="shared" si="0"/>
        <v>6.2</v>
      </c>
      <c r="L30">
        <f>K30+energy_grid_portfolio_dataset!H30</f>
        <v>4006.2</v>
      </c>
      <c r="M30">
        <f t="shared" si="1"/>
        <v>4</v>
      </c>
    </row>
    <row r="31" spans="1:13" x14ac:dyDescent="0.3">
      <c r="A31" s="1">
        <v>46267.208333333336</v>
      </c>
      <c r="B31" t="s">
        <v>10</v>
      </c>
      <c r="C31">
        <v>24.7</v>
      </c>
      <c r="D31">
        <v>47.9</v>
      </c>
      <c r="E31">
        <v>5.5</v>
      </c>
      <c r="F31">
        <v>0</v>
      </c>
      <c r="G31">
        <v>10.7</v>
      </c>
      <c r="H31">
        <v>4000</v>
      </c>
      <c r="I31">
        <v>4944.8</v>
      </c>
      <c r="J31">
        <v>1</v>
      </c>
      <c r="K31">
        <f t="shared" si="0"/>
        <v>10.7</v>
      </c>
      <c r="L31">
        <f>K31+energy_grid_portfolio_dataset!H31</f>
        <v>4010.7</v>
      </c>
      <c r="M31">
        <f t="shared" si="1"/>
        <v>5</v>
      </c>
    </row>
    <row r="32" spans="1:13" x14ac:dyDescent="0.3">
      <c r="A32" s="1">
        <v>46267.25</v>
      </c>
      <c r="B32" t="s">
        <v>10</v>
      </c>
      <c r="C32">
        <v>26.6</v>
      </c>
      <c r="D32">
        <v>53.1</v>
      </c>
      <c r="E32">
        <v>1.2</v>
      </c>
      <c r="F32">
        <v>419.6</v>
      </c>
      <c r="G32">
        <v>0.1</v>
      </c>
      <c r="H32">
        <v>4000</v>
      </c>
      <c r="I32">
        <v>5068.7</v>
      </c>
      <c r="J32">
        <v>1</v>
      </c>
      <c r="K32">
        <f t="shared" si="0"/>
        <v>419.70000000000005</v>
      </c>
      <c r="L32">
        <f>K32+energy_grid_portfolio_dataset!H32</f>
        <v>4419.7</v>
      </c>
      <c r="M32">
        <f t="shared" si="1"/>
        <v>6</v>
      </c>
    </row>
    <row r="33" spans="1:13" x14ac:dyDescent="0.3">
      <c r="A33" s="1">
        <v>46267.291666666664</v>
      </c>
      <c r="B33" t="s">
        <v>10</v>
      </c>
      <c r="C33">
        <v>32.799999999999997</v>
      </c>
      <c r="D33">
        <v>5.2</v>
      </c>
      <c r="E33">
        <v>2.9</v>
      </c>
      <c r="F33">
        <v>1254.4000000000001</v>
      </c>
      <c r="G33">
        <v>1.5</v>
      </c>
      <c r="H33">
        <v>3782.1</v>
      </c>
      <c r="I33">
        <v>5038</v>
      </c>
      <c r="J33">
        <v>0</v>
      </c>
      <c r="K33">
        <f t="shared" si="0"/>
        <v>1255.9000000000001</v>
      </c>
      <c r="L33">
        <f>K33+energy_grid_portfolio_dataset!H33</f>
        <v>5038</v>
      </c>
      <c r="M33">
        <f t="shared" si="1"/>
        <v>7</v>
      </c>
    </row>
    <row r="34" spans="1:13" x14ac:dyDescent="0.3">
      <c r="A34" s="1">
        <v>46267.333333333336</v>
      </c>
      <c r="B34" t="s">
        <v>10</v>
      </c>
      <c r="C34">
        <v>30.2</v>
      </c>
      <c r="D34">
        <v>0</v>
      </c>
      <c r="E34">
        <v>4.0999999999999996</v>
      </c>
      <c r="F34">
        <v>1870.5</v>
      </c>
      <c r="G34">
        <v>4.5</v>
      </c>
      <c r="H34">
        <v>3089.9</v>
      </c>
      <c r="I34">
        <v>4964.8999999999996</v>
      </c>
      <c r="J34">
        <v>0</v>
      </c>
      <c r="K34">
        <f t="shared" si="0"/>
        <v>1875</v>
      </c>
      <c r="L34">
        <f>K34+energy_grid_portfolio_dataset!H34</f>
        <v>4964.8999999999996</v>
      </c>
      <c r="M34">
        <f t="shared" si="1"/>
        <v>8</v>
      </c>
    </row>
    <row r="35" spans="1:13" x14ac:dyDescent="0.3">
      <c r="A35" s="1">
        <v>46267.375</v>
      </c>
      <c r="B35" t="s">
        <v>10</v>
      </c>
      <c r="C35">
        <v>33</v>
      </c>
      <c r="D35">
        <v>6.6</v>
      </c>
      <c r="E35">
        <v>7.1</v>
      </c>
      <c r="F35">
        <v>2236.9</v>
      </c>
      <c r="G35">
        <v>22.9</v>
      </c>
      <c r="H35">
        <v>2530.9</v>
      </c>
      <c r="I35">
        <v>4790.7</v>
      </c>
      <c r="J35">
        <v>0</v>
      </c>
      <c r="K35">
        <f t="shared" si="0"/>
        <v>2259.8000000000002</v>
      </c>
      <c r="L35">
        <f>K35+energy_grid_portfolio_dataset!H35</f>
        <v>4790.7000000000007</v>
      </c>
      <c r="M35">
        <f t="shared" si="1"/>
        <v>9</v>
      </c>
    </row>
    <row r="36" spans="1:13" x14ac:dyDescent="0.3">
      <c r="A36" s="1">
        <v>46267.416666666664</v>
      </c>
      <c r="B36" t="s">
        <v>10</v>
      </c>
      <c r="C36">
        <v>32.700000000000003</v>
      </c>
      <c r="D36">
        <v>41.3</v>
      </c>
      <c r="E36">
        <v>1.5</v>
      </c>
      <c r="F36">
        <v>1922.1</v>
      </c>
      <c r="G36">
        <v>0.2</v>
      </c>
      <c r="H36">
        <v>4000</v>
      </c>
      <c r="I36">
        <v>7032.5</v>
      </c>
      <c r="J36">
        <v>1</v>
      </c>
      <c r="K36">
        <f t="shared" si="0"/>
        <v>1922.3</v>
      </c>
      <c r="L36">
        <f>K36+energy_grid_portfolio_dataset!H36</f>
        <v>5922.3</v>
      </c>
      <c r="M36">
        <f t="shared" si="1"/>
        <v>10</v>
      </c>
    </row>
    <row r="37" spans="1:13" x14ac:dyDescent="0.3">
      <c r="A37" s="1">
        <v>46267.458333333336</v>
      </c>
      <c r="B37" t="s">
        <v>10</v>
      </c>
      <c r="C37">
        <v>35.799999999999997</v>
      </c>
      <c r="D37">
        <v>0</v>
      </c>
      <c r="E37">
        <v>4.4000000000000004</v>
      </c>
      <c r="F37">
        <v>2924.8</v>
      </c>
      <c r="G37">
        <v>5.3</v>
      </c>
      <c r="H37">
        <v>4000</v>
      </c>
      <c r="I37">
        <v>7184.1</v>
      </c>
      <c r="J37">
        <v>1</v>
      </c>
      <c r="K37">
        <f t="shared" si="0"/>
        <v>2930.1000000000004</v>
      </c>
      <c r="L37">
        <f>K37+energy_grid_portfolio_dataset!H37</f>
        <v>6930.1</v>
      </c>
      <c r="M37">
        <f t="shared" si="1"/>
        <v>11</v>
      </c>
    </row>
    <row r="38" spans="1:13" x14ac:dyDescent="0.3">
      <c r="A38" s="1">
        <v>46267.5</v>
      </c>
      <c r="B38" t="s">
        <v>10</v>
      </c>
      <c r="C38">
        <v>35.200000000000003</v>
      </c>
      <c r="D38">
        <v>0.3</v>
      </c>
      <c r="E38">
        <v>1.4</v>
      </c>
      <c r="F38">
        <v>2994.5</v>
      </c>
      <c r="G38">
        <v>0.2</v>
      </c>
      <c r="H38">
        <v>4000</v>
      </c>
      <c r="I38">
        <v>7189</v>
      </c>
      <c r="J38">
        <v>1</v>
      </c>
      <c r="K38">
        <f t="shared" si="0"/>
        <v>2994.7</v>
      </c>
      <c r="L38">
        <f>K38+energy_grid_portfolio_dataset!H38</f>
        <v>6994.7</v>
      </c>
      <c r="M38">
        <f t="shared" si="1"/>
        <v>12</v>
      </c>
    </row>
    <row r="39" spans="1:13" x14ac:dyDescent="0.3">
      <c r="A39" s="1">
        <v>46267.541666666664</v>
      </c>
      <c r="B39" t="s">
        <v>10</v>
      </c>
      <c r="C39">
        <v>34.200000000000003</v>
      </c>
      <c r="D39">
        <v>30</v>
      </c>
      <c r="E39">
        <v>4.7</v>
      </c>
      <c r="F39">
        <v>2310.4</v>
      </c>
      <c r="G39">
        <v>6.6</v>
      </c>
      <c r="H39">
        <v>4000</v>
      </c>
      <c r="I39">
        <v>7228.3</v>
      </c>
      <c r="J39">
        <v>1</v>
      </c>
      <c r="K39">
        <f t="shared" si="0"/>
        <v>2317</v>
      </c>
      <c r="L39">
        <f>K39+energy_grid_portfolio_dataset!H39</f>
        <v>6317</v>
      </c>
      <c r="M39">
        <f t="shared" si="1"/>
        <v>13</v>
      </c>
    </row>
    <row r="40" spans="1:13" x14ac:dyDescent="0.3">
      <c r="A40" s="1">
        <v>46267.583333333336</v>
      </c>
      <c r="B40" t="s">
        <v>10</v>
      </c>
      <c r="C40">
        <v>33.5</v>
      </c>
      <c r="D40">
        <v>30.9</v>
      </c>
      <c r="E40">
        <v>2.6</v>
      </c>
      <c r="F40">
        <v>2119</v>
      </c>
      <c r="G40">
        <v>1.1000000000000001</v>
      </c>
      <c r="H40">
        <v>4000</v>
      </c>
      <c r="I40">
        <v>7048</v>
      </c>
      <c r="J40">
        <v>1</v>
      </c>
      <c r="K40">
        <f t="shared" si="0"/>
        <v>2120.1</v>
      </c>
      <c r="L40">
        <f>K40+energy_grid_portfolio_dataset!H40</f>
        <v>6120.1</v>
      </c>
      <c r="M40">
        <f t="shared" si="1"/>
        <v>14</v>
      </c>
    </row>
    <row r="41" spans="1:13" x14ac:dyDescent="0.3">
      <c r="A41" s="1">
        <v>46267.625</v>
      </c>
      <c r="B41" t="s">
        <v>10</v>
      </c>
      <c r="C41">
        <v>33</v>
      </c>
      <c r="D41">
        <v>1.2</v>
      </c>
      <c r="E41">
        <v>5.3</v>
      </c>
      <c r="F41">
        <v>2326.1999999999998</v>
      </c>
      <c r="G41">
        <v>9.6</v>
      </c>
      <c r="H41">
        <v>2894.1</v>
      </c>
      <c r="I41">
        <v>5229.8999999999996</v>
      </c>
      <c r="J41">
        <v>0</v>
      </c>
      <c r="K41">
        <f t="shared" si="0"/>
        <v>2335.7999999999997</v>
      </c>
      <c r="L41">
        <f>K41+energy_grid_portfolio_dataset!H41</f>
        <v>5229.8999999999996</v>
      </c>
      <c r="M41">
        <f t="shared" si="1"/>
        <v>15</v>
      </c>
    </row>
    <row r="42" spans="1:13" x14ac:dyDescent="0.3">
      <c r="A42" s="1">
        <v>46267.666666666664</v>
      </c>
      <c r="B42" t="s">
        <v>10</v>
      </c>
      <c r="C42">
        <v>32.200000000000003</v>
      </c>
      <c r="D42">
        <v>48.2</v>
      </c>
      <c r="E42">
        <v>2.4</v>
      </c>
      <c r="F42">
        <v>1239.7</v>
      </c>
      <c r="G42">
        <v>0.8</v>
      </c>
      <c r="H42">
        <v>3563.3</v>
      </c>
      <c r="I42">
        <v>4803.8</v>
      </c>
      <c r="J42">
        <v>0</v>
      </c>
      <c r="K42">
        <f t="shared" si="0"/>
        <v>1240.5</v>
      </c>
      <c r="L42">
        <f>K42+energy_grid_portfolio_dataset!H42</f>
        <v>4803.8</v>
      </c>
      <c r="M42">
        <f t="shared" si="1"/>
        <v>16</v>
      </c>
    </row>
    <row r="43" spans="1:13" x14ac:dyDescent="0.3">
      <c r="A43" s="1">
        <v>46267.708333333336</v>
      </c>
      <c r="B43" t="s">
        <v>10</v>
      </c>
      <c r="C43">
        <v>30.2</v>
      </c>
      <c r="D43">
        <v>41.4</v>
      </c>
      <c r="E43">
        <v>7.8</v>
      </c>
      <c r="F43">
        <v>924.1</v>
      </c>
      <c r="G43">
        <v>30.3</v>
      </c>
      <c r="H43">
        <v>4000</v>
      </c>
      <c r="I43">
        <v>5094.5</v>
      </c>
      <c r="J43">
        <v>1</v>
      </c>
      <c r="K43">
        <f t="shared" si="0"/>
        <v>954.4</v>
      </c>
      <c r="L43">
        <f>K43+energy_grid_portfolio_dataset!H43</f>
        <v>4954.3999999999996</v>
      </c>
      <c r="M43">
        <f t="shared" si="1"/>
        <v>17</v>
      </c>
    </row>
    <row r="44" spans="1:13" x14ac:dyDescent="0.3">
      <c r="A44" s="1">
        <v>46267.75</v>
      </c>
      <c r="B44" t="s">
        <v>10</v>
      </c>
      <c r="C44">
        <v>26.9</v>
      </c>
      <c r="D44">
        <v>7.2</v>
      </c>
      <c r="E44">
        <v>2.4</v>
      </c>
      <c r="F44">
        <v>633.9</v>
      </c>
      <c r="G44">
        <v>0.9</v>
      </c>
      <c r="H44">
        <v>4000</v>
      </c>
      <c r="I44">
        <v>7663.2</v>
      </c>
      <c r="J44">
        <v>1</v>
      </c>
      <c r="K44">
        <f t="shared" si="0"/>
        <v>634.79999999999995</v>
      </c>
      <c r="L44">
        <f>K44+energy_grid_portfolio_dataset!H44</f>
        <v>4634.8</v>
      </c>
      <c r="M44">
        <f t="shared" si="1"/>
        <v>18</v>
      </c>
    </row>
    <row r="45" spans="1:13" x14ac:dyDescent="0.3">
      <c r="A45" s="1">
        <v>46267.791666666664</v>
      </c>
      <c r="B45" t="s">
        <v>10</v>
      </c>
      <c r="C45">
        <v>27</v>
      </c>
      <c r="D45">
        <v>30.5</v>
      </c>
      <c r="E45">
        <v>5.7</v>
      </c>
      <c r="F45">
        <v>0</v>
      </c>
      <c r="G45">
        <v>11.6</v>
      </c>
      <c r="H45">
        <v>4000</v>
      </c>
      <c r="I45">
        <v>7688.4</v>
      </c>
      <c r="J45">
        <v>1</v>
      </c>
      <c r="K45">
        <f t="shared" si="0"/>
        <v>11.6</v>
      </c>
      <c r="L45">
        <f>K45+energy_grid_portfolio_dataset!H45</f>
        <v>4011.6</v>
      </c>
      <c r="M45">
        <f t="shared" si="1"/>
        <v>19</v>
      </c>
    </row>
    <row r="46" spans="1:13" x14ac:dyDescent="0.3">
      <c r="A46" s="1">
        <v>46267.833333333336</v>
      </c>
      <c r="B46" t="s">
        <v>10</v>
      </c>
      <c r="C46">
        <v>27.2</v>
      </c>
      <c r="D46">
        <v>19.7</v>
      </c>
      <c r="E46">
        <v>9.4</v>
      </c>
      <c r="F46">
        <v>0</v>
      </c>
      <c r="G46">
        <v>53.8</v>
      </c>
      <c r="H46">
        <v>4000</v>
      </c>
      <c r="I46">
        <v>7702</v>
      </c>
      <c r="J46">
        <v>1</v>
      </c>
      <c r="K46">
        <f t="shared" si="0"/>
        <v>53.8</v>
      </c>
      <c r="L46">
        <f>K46+energy_grid_portfolio_dataset!H46</f>
        <v>4053.8</v>
      </c>
      <c r="M46">
        <f t="shared" si="1"/>
        <v>20</v>
      </c>
    </row>
    <row r="47" spans="1:13" x14ac:dyDescent="0.3">
      <c r="A47" s="1">
        <v>46267.875</v>
      </c>
      <c r="B47" t="s">
        <v>10</v>
      </c>
      <c r="C47">
        <v>22.5</v>
      </c>
      <c r="D47">
        <v>3.6</v>
      </c>
      <c r="E47">
        <v>5</v>
      </c>
      <c r="F47">
        <v>0</v>
      </c>
      <c r="G47">
        <v>7.8</v>
      </c>
      <c r="H47">
        <v>4000</v>
      </c>
      <c r="I47">
        <v>7793.9</v>
      </c>
      <c r="J47">
        <v>1</v>
      </c>
      <c r="K47">
        <f t="shared" si="0"/>
        <v>7.8</v>
      </c>
      <c r="L47">
        <f>K47+energy_grid_portfolio_dataset!H47</f>
        <v>4007.8</v>
      </c>
      <c r="M47">
        <f t="shared" si="1"/>
        <v>21</v>
      </c>
    </row>
    <row r="48" spans="1:13" x14ac:dyDescent="0.3">
      <c r="A48" s="1">
        <v>46267.916666666664</v>
      </c>
      <c r="B48" t="s">
        <v>10</v>
      </c>
      <c r="C48">
        <v>23.9</v>
      </c>
      <c r="D48">
        <v>34.5</v>
      </c>
      <c r="E48">
        <v>3.9</v>
      </c>
      <c r="F48">
        <v>0</v>
      </c>
      <c r="G48">
        <v>3.7</v>
      </c>
      <c r="H48">
        <v>4000</v>
      </c>
      <c r="I48">
        <v>4916.5</v>
      </c>
      <c r="J48">
        <v>1</v>
      </c>
      <c r="K48">
        <f t="shared" si="0"/>
        <v>3.7</v>
      </c>
      <c r="L48">
        <f>K48+energy_grid_portfolio_dataset!H48</f>
        <v>4003.7</v>
      </c>
      <c r="M48">
        <f t="shared" si="1"/>
        <v>22</v>
      </c>
    </row>
    <row r="49" spans="1:13" x14ac:dyDescent="0.3">
      <c r="A49" s="1">
        <v>46267.958333333336</v>
      </c>
      <c r="B49" t="s">
        <v>10</v>
      </c>
      <c r="C49">
        <v>19.899999999999999</v>
      </c>
      <c r="D49">
        <v>16.100000000000001</v>
      </c>
      <c r="E49">
        <v>5.7</v>
      </c>
      <c r="F49">
        <v>0</v>
      </c>
      <c r="G49">
        <v>11.9</v>
      </c>
      <c r="H49">
        <v>4000</v>
      </c>
      <c r="I49">
        <v>4823</v>
      </c>
      <c r="J49">
        <v>1</v>
      </c>
      <c r="K49">
        <f t="shared" si="0"/>
        <v>11.9</v>
      </c>
      <c r="L49">
        <f>K49+energy_grid_portfolio_dataset!H49</f>
        <v>4011.9</v>
      </c>
      <c r="M49">
        <f t="shared" si="1"/>
        <v>23</v>
      </c>
    </row>
    <row r="50" spans="1:13" x14ac:dyDescent="0.3">
      <c r="A50" s="1">
        <v>46268</v>
      </c>
      <c r="B50" t="s">
        <v>10</v>
      </c>
      <c r="C50">
        <v>20.100000000000001</v>
      </c>
      <c r="D50">
        <v>28.5</v>
      </c>
      <c r="E50">
        <v>4.8</v>
      </c>
      <c r="F50">
        <v>0</v>
      </c>
      <c r="G50">
        <v>6.9</v>
      </c>
      <c r="H50">
        <v>4000</v>
      </c>
      <c r="I50">
        <v>4982.1000000000004</v>
      </c>
      <c r="J50">
        <v>1</v>
      </c>
      <c r="K50">
        <f t="shared" si="0"/>
        <v>6.9</v>
      </c>
      <c r="L50">
        <f>K50+energy_grid_portfolio_dataset!H50</f>
        <v>4006.9</v>
      </c>
      <c r="M50">
        <f t="shared" si="1"/>
        <v>0</v>
      </c>
    </row>
    <row r="51" spans="1:13" x14ac:dyDescent="0.3">
      <c r="A51" s="1">
        <v>46268.041666666664</v>
      </c>
      <c r="B51" t="s">
        <v>10</v>
      </c>
      <c r="C51">
        <v>22.4</v>
      </c>
      <c r="D51">
        <v>26.2</v>
      </c>
      <c r="E51">
        <v>1.7</v>
      </c>
      <c r="F51">
        <v>0</v>
      </c>
      <c r="G51">
        <v>0.3</v>
      </c>
      <c r="H51">
        <v>4000</v>
      </c>
      <c r="I51">
        <v>4817.3999999999996</v>
      </c>
      <c r="J51">
        <v>1</v>
      </c>
      <c r="K51">
        <f t="shared" si="0"/>
        <v>0.3</v>
      </c>
      <c r="L51">
        <f>K51+energy_grid_portfolio_dataset!H51</f>
        <v>4000.3</v>
      </c>
      <c r="M51">
        <f t="shared" si="1"/>
        <v>1</v>
      </c>
    </row>
    <row r="52" spans="1:13" x14ac:dyDescent="0.3">
      <c r="A52" s="1">
        <v>46268.083333333336</v>
      </c>
      <c r="B52" t="s">
        <v>10</v>
      </c>
      <c r="C52">
        <v>23.6</v>
      </c>
      <c r="D52">
        <v>46.7</v>
      </c>
      <c r="E52">
        <v>6.1</v>
      </c>
      <c r="F52">
        <v>0</v>
      </c>
      <c r="G52">
        <v>14.6</v>
      </c>
      <c r="H52">
        <v>4000</v>
      </c>
      <c r="I52">
        <v>5003.7</v>
      </c>
      <c r="J52">
        <v>1</v>
      </c>
      <c r="K52">
        <f t="shared" si="0"/>
        <v>14.6</v>
      </c>
      <c r="L52">
        <f>K52+energy_grid_portfolio_dataset!H52</f>
        <v>4014.6</v>
      </c>
      <c r="M52">
        <f t="shared" si="1"/>
        <v>2</v>
      </c>
    </row>
    <row r="53" spans="1:13" x14ac:dyDescent="0.3">
      <c r="A53" s="1">
        <v>46268.125</v>
      </c>
      <c r="B53" t="s">
        <v>10</v>
      </c>
      <c r="C53">
        <v>22.4</v>
      </c>
      <c r="D53">
        <v>35.299999999999997</v>
      </c>
      <c r="E53">
        <v>5</v>
      </c>
      <c r="F53">
        <v>0</v>
      </c>
      <c r="G53">
        <v>8.1</v>
      </c>
      <c r="H53">
        <v>4000</v>
      </c>
      <c r="I53">
        <v>4743.3</v>
      </c>
      <c r="J53">
        <v>1</v>
      </c>
      <c r="K53">
        <f t="shared" si="0"/>
        <v>8.1</v>
      </c>
      <c r="L53">
        <f>K53+energy_grid_portfolio_dataset!H53</f>
        <v>4008.1</v>
      </c>
      <c r="M53">
        <f t="shared" si="1"/>
        <v>3</v>
      </c>
    </row>
    <row r="54" spans="1:13" x14ac:dyDescent="0.3">
      <c r="A54" s="1">
        <v>46268.166666666664</v>
      </c>
      <c r="B54" t="s">
        <v>10</v>
      </c>
      <c r="C54">
        <v>30.8</v>
      </c>
      <c r="D54">
        <v>36.4</v>
      </c>
      <c r="E54">
        <v>6.3</v>
      </c>
      <c r="F54">
        <v>0</v>
      </c>
      <c r="G54">
        <v>15.8</v>
      </c>
      <c r="H54">
        <v>4000</v>
      </c>
      <c r="I54">
        <v>5027.3</v>
      </c>
      <c r="J54">
        <v>1</v>
      </c>
      <c r="K54">
        <f t="shared" si="0"/>
        <v>15.8</v>
      </c>
      <c r="L54">
        <f>K54+energy_grid_portfolio_dataset!H54</f>
        <v>4015.8</v>
      </c>
      <c r="M54">
        <f t="shared" si="1"/>
        <v>4</v>
      </c>
    </row>
    <row r="55" spans="1:13" x14ac:dyDescent="0.3">
      <c r="A55" s="1">
        <v>46268.208333333336</v>
      </c>
      <c r="B55" t="s">
        <v>10</v>
      </c>
      <c r="C55">
        <v>27.4</v>
      </c>
      <c r="D55">
        <v>18.7</v>
      </c>
      <c r="E55">
        <v>5.5</v>
      </c>
      <c r="F55">
        <v>0</v>
      </c>
      <c r="G55">
        <v>10.8</v>
      </c>
      <c r="H55">
        <v>4000</v>
      </c>
      <c r="I55">
        <v>5093.1000000000004</v>
      </c>
      <c r="J55">
        <v>1</v>
      </c>
      <c r="K55">
        <f t="shared" si="0"/>
        <v>10.8</v>
      </c>
      <c r="L55">
        <f>K55+energy_grid_portfolio_dataset!H55</f>
        <v>4010.8</v>
      </c>
      <c r="M55">
        <f t="shared" si="1"/>
        <v>5</v>
      </c>
    </row>
    <row r="56" spans="1:13" x14ac:dyDescent="0.3">
      <c r="A56" s="1">
        <v>46268.25</v>
      </c>
      <c r="B56" t="s">
        <v>10</v>
      </c>
      <c r="C56">
        <v>27.6</v>
      </c>
      <c r="D56">
        <v>15.3</v>
      </c>
      <c r="E56">
        <v>4.2</v>
      </c>
      <c r="F56">
        <v>596.1</v>
      </c>
      <c r="G56">
        <v>4.5999999999999996</v>
      </c>
      <c r="H56">
        <v>4000</v>
      </c>
      <c r="I56">
        <v>4834.1000000000004</v>
      </c>
      <c r="J56">
        <v>1</v>
      </c>
      <c r="K56">
        <f t="shared" si="0"/>
        <v>600.70000000000005</v>
      </c>
      <c r="L56">
        <f>K56+energy_grid_portfolio_dataset!H56</f>
        <v>4600.7</v>
      </c>
      <c r="M56">
        <f t="shared" si="1"/>
        <v>6</v>
      </c>
    </row>
    <row r="57" spans="1:13" x14ac:dyDescent="0.3">
      <c r="A57" s="1">
        <v>46268.291666666664</v>
      </c>
      <c r="B57" t="s">
        <v>10</v>
      </c>
      <c r="C57">
        <v>26.8</v>
      </c>
      <c r="D57">
        <v>38.700000000000003</v>
      </c>
      <c r="E57">
        <v>0.8</v>
      </c>
      <c r="F57">
        <v>948.8</v>
      </c>
      <c r="G57">
        <v>0</v>
      </c>
      <c r="H57">
        <v>4000</v>
      </c>
      <c r="I57">
        <v>5297.2</v>
      </c>
      <c r="J57">
        <v>1</v>
      </c>
      <c r="K57">
        <f t="shared" si="0"/>
        <v>948.8</v>
      </c>
      <c r="L57">
        <f>K57+energy_grid_portfolio_dataset!H57</f>
        <v>4948.8</v>
      </c>
      <c r="M57">
        <f t="shared" si="1"/>
        <v>7</v>
      </c>
    </row>
    <row r="58" spans="1:13" x14ac:dyDescent="0.3">
      <c r="A58" s="1">
        <v>46268.333333333336</v>
      </c>
      <c r="B58" t="s">
        <v>10</v>
      </c>
      <c r="C58">
        <v>32.6</v>
      </c>
      <c r="D58">
        <v>26.3</v>
      </c>
      <c r="E58">
        <v>1.8</v>
      </c>
      <c r="F58">
        <v>1526.3</v>
      </c>
      <c r="G58">
        <v>0.4</v>
      </c>
      <c r="H58">
        <v>3352.5</v>
      </c>
      <c r="I58">
        <v>4879.2</v>
      </c>
      <c r="J58">
        <v>0</v>
      </c>
      <c r="K58">
        <f t="shared" si="0"/>
        <v>1526.7</v>
      </c>
      <c r="L58">
        <f>K58+energy_grid_portfolio_dataset!H58</f>
        <v>4879.2</v>
      </c>
      <c r="M58">
        <f t="shared" si="1"/>
        <v>8</v>
      </c>
    </row>
    <row r="59" spans="1:13" x14ac:dyDescent="0.3">
      <c r="A59" s="1">
        <v>46268.375</v>
      </c>
      <c r="B59" t="s">
        <v>10</v>
      </c>
      <c r="C59">
        <v>33.299999999999997</v>
      </c>
      <c r="D59">
        <v>10.4</v>
      </c>
      <c r="E59">
        <v>4.4000000000000004</v>
      </c>
      <c r="F59">
        <v>2174.9</v>
      </c>
      <c r="G59">
        <v>5.6</v>
      </c>
      <c r="H59">
        <v>2662.2</v>
      </c>
      <c r="I59">
        <v>4842.7</v>
      </c>
      <c r="J59">
        <v>0</v>
      </c>
      <c r="K59">
        <f t="shared" si="0"/>
        <v>2180.5</v>
      </c>
      <c r="L59">
        <f>K59+energy_grid_portfolio_dataset!H59</f>
        <v>4842.7</v>
      </c>
      <c r="M59">
        <f t="shared" si="1"/>
        <v>9</v>
      </c>
    </row>
    <row r="60" spans="1:13" x14ac:dyDescent="0.3">
      <c r="A60" s="1">
        <v>46268.416666666664</v>
      </c>
      <c r="B60" t="s">
        <v>10</v>
      </c>
      <c r="C60">
        <v>32.200000000000003</v>
      </c>
      <c r="D60">
        <v>67.900000000000006</v>
      </c>
      <c r="E60">
        <v>5.3</v>
      </c>
      <c r="F60">
        <v>1418.6</v>
      </c>
      <c r="G60">
        <v>9.4</v>
      </c>
      <c r="H60">
        <v>4000</v>
      </c>
      <c r="I60">
        <v>7156.8</v>
      </c>
      <c r="J60">
        <v>1</v>
      </c>
      <c r="K60">
        <f t="shared" si="0"/>
        <v>1428</v>
      </c>
      <c r="L60">
        <f>K60+energy_grid_portfolio_dataset!H60</f>
        <v>5428</v>
      </c>
      <c r="M60">
        <f t="shared" si="1"/>
        <v>10</v>
      </c>
    </row>
    <row r="61" spans="1:13" x14ac:dyDescent="0.3">
      <c r="A61" s="1">
        <v>46268.458333333336</v>
      </c>
      <c r="B61" t="s">
        <v>10</v>
      </c>
      <c r="C61">
        <v>34.1</v>
      </c>
      <c r="D61">
        <v>11.8</v>
      </c>
      <c r="E61">
        <v>5.7</v>
      </c>
      <c r="F61">
        <v>2683.9</v>
      </c>
      <c r="G61">
        <v>11.9</v>
      </c>
      <c r="H61">
        <v>4000</v>
      </c>
      <c r="I61">
        <v>6846.2</v>
      </c>
      <c r="J61">
        <v>1</v>
      </c>
      <c r="K61">
        <f t="shared" si="0"/>
        <v>2695.8</v>
      </c>
      <c r="L61">
        <f>K61+energy_grid_portfolio_dataset!H61</f>
        <v>6695.8</v>
      </c>
      <c r="M61">
        <f t="shared" si="1"/>
        <v>11</v>
      </c>
    </row>
    <row r="62" spans="1:13" x14ac:dyDescent="0.3">
      <c r="A62" s="1">
        <v>46268.5</v>
      </c>
      <c r="B62" t="s">
        <v>10</v>
      </c>
      <c r="C62">
        <v>33.799999999999997</v>
      </c>
      <c r="D62">
        <v>35.1</v>
      </c>
      <c r="E62">
        <v>5.7</v>
      </c>
      <c r="F62">
        <v>2262.9</v>
      </c>
      <c r="G62">
        <v>12.1</v>
      </c>
      <c r="H62">
        <v>4000</v>
      </c>
      <c r="I62">
        <v>7031.1</v>
      </c>
      <c r="J62">
        <v>1</v>
      </c>
      <c r="K62">
        <f t="shared" si="0"/>
        <v>2275</v>
      </c>
      <c r="L62">
        <f>K62+energy_grid_portfolio_dataset!H62</f>
        <v>6275</v>
      </c>
      <c r="M62">
        <f t="shared" si="1"/>
        <v>12</v>
      </c>
    </row>
    <row r="63" spans="1:13" x14ac:dyDescent="0.3">
      <c r="A63" s="1">
        <v>46268.541666666664</v>
      </c>
      <c r="B63" t="s">
        <v>10</v>
      </c>
      <c r="C63">
        <v>33.299999999999997</v>
      </c>
      <c r="D63">
        <v>15.5</v>
      </c>
      <c r="E63">
        <v>2.7</v>
      </c>
      <c r="F63">
        <v>2607.4</v>
      </c>
      <c r="G63">
        <v>1.3</v>
      </c>
      <c r="H63">
        <v>4000</v>
      </c>
      <c r="I63">
        <v>6970</v>
      </c>
      <c r="J63">
        <v>1</v>
      </c>
      <c r="K63">
        <f t="shared" si="0"/>
        <v>2608.7000000000003</v>
      </c>
      <c r="L63">
        <f>K63+energy_grid_portfolio_dataset!H63</f>
        <v>6608.7000000000007</v>
      </c>
      <c r="M63">
        <f t="shared" si="1"/>
        <v>13</v>
      </c>
    </row>
    <row r="64" spans="1:13" x14ac:dyDescent="0.3">
      <c r="A64" s="1">
        <v>46268.583333333336</v>
      </c>
      <c r="B64" t="s">
        <v>10</v>
      </c>
      <c r="C64">
        <v>33.799999999999997</v>
      </c>
      <c r="D64">
        <v>0</v>
      </c>
      <c r="E64">
        <v>5.8</v>
      </c>
      <c r="F64">
        <v>2702.9</v>
      </c>
      <c r="G64">
        <v>12.7</v>
      </c>
      <c r="H64">
        <v>4000</v>
      </c>
      <c r="I64">
        <v>7414.8</v>
      </c>
      <c r="J64">
        <v>1</v>
      </c>
      <c r="K64">
        <f t="shared" si="0"/>
        <v>2715.6</v>
      </c>
      <c r="L64">
        <f>K64+energy_grid_portfolio_dataset!H64</f>
        <v>6715.6</v>
      </c>
      <c r="M64">
        <f t="shared" si="1"/>
        <v>14</v>
      </c>
    </row>
    <row r="65" spans="1:13" x14ac:dyDescent="0.3">
      <c r="A65" s="1">
        <v>46268.625</v>
      </c>
      <c r="B65" t="s">
        <v>10</v>
      </c>
      <c r="C65">
        <v>33.799999999999997</v>
      </c>
      <c r="D65">
        <v>0</v>
      </c>
      <c r="E65">
        <v>3</v>
      </c>
      <c r="F65">
        <v>2345.5</v>
      </c>
      <c r="G65">
        <v>1.8</v>
      </c>
      <c r="H65">
        <v>2921</v>
      </c>
      <c r="I65">
        <v>5268.3</v>
      </c>
      <c r="J65">
        <v>0</v>
      </c>
      <c r="K65">
        <f t="shared" si="0"/>
        <v>2347.3000000000002</v>
      </c>
      <c r="L65">
        <f>K65+energy_grid_portfolio_dataset!H65</f>
        <v>5268.3</v>
      </c>
      <c r="M65">
        <f t="shared" si="1"/>
        <v>15</v>
      </c>
    </row>
    <row r="66" spans="1:13" x14ac:dyDescent="0.3">
      <c r="A66" s="1">
        <v>46268.666666666664</v>
      </c>
      <c r="B66" t="s">
        <v>10</v>
      </c>
      <c r="C66">
        <v>29.9</v>
      </c>
      <c r="D66">
        <v>33.9</v>
      </c>
      <c r="E66">
        <v>5.5</v>
      </c>
      <c r="F66">
        <v>1426.9</v>
      </c>
      <c r="G66">
        <v>10.9</v>
      </c>
      <c r="H66">
        <v>3702.2</v>
      </c>
      <c r="I66">
        <v>5140</v>
      </c>
      <c r="J66">
        <v>0</v>
      </c>
      <c r="K66">
        <f t="shared" si="0"/>
        <v>1437.8000000000002</v>
      </c>
      <c r="L66">
        <f>K66+energy_grid_portfolio_dataset!H66</f>
        <v>5140</v>
      </c>
      <c r="M66">
        <f t="shared" si="1"/>
        <v>16</v>
      </c>
    </row>
    <row r="67" spans="1:13" x14ac:dyDescent="0.3">
      <c r="A67" s="1">
        <v>46268.708333333336</v>
      </c>
      <c r="B67" t="s">
        <v>10</v>
      </c>
      <c r="C67">
        <v>29.5</v>
      </c>
      <c r="D67">
        <v>0</v>
      </c>
      <c r="E67">
        <v>2</v>
      </c>
      <c r="F67">
        <v>1301.7</v>
      </c>
      <c r="G67">
        <v>0.5</v>
      </c>
      <c r="H67">
        <v>3508.8</v>
      </c>
      <c r="I67">
        <v>4811</v>
      </c>
      <c r="J67">
        <v>0</v>
      </c>
      <c r="K67">
        <f t="shared" ref="K67:K130" si="2">F67+G67</f>
        <v>1302.2</v>
      </c>
      <c r="L67">
        <f>K67+energy_grid_portfolio_dataset!H67</f>
        <v>4811</v>
      </c>
      <c r="M67">
        <f t="shared" ref="M67:M130" si="3">HOUR(A67)</f>
        <v>17</v>
      </c>
    </row>
    <row r="68" spans="1:13" x14ac:dyDescent="0.3">
      <c r="A68" s="1">
        <v>46268.75</v>
      </c>
      <c r="B68" t="s">
        <v>10</v>
      </c>
      <c r="C68">
        <v>26.1</v>
      </c>
      <c r="D68">
        <v>57.6</v>
      </c>
      <c r="E68">
        <v>1.1000000000000001</v>
      </c>
      <c r="F68">
        <v>398.2</v>
      </c>
      <c r="G68">
        <v>0.1</v>
      </c>
      <c r="H68">
        <v>4000</v>
      </c>
      <c r="I68">
        <v>7662.1</v>
      </c>
      <c r="J68">
        <v>1</v>
      </c>
      <c r="K68">
        <f t="shared" si="2"/>
        <v>398.3</v>
      </c>
      <c r="L68">
        <f>K68+energy_grid_portfolio_dataset!H68</f>
        <v>4398.3</v>
      </c>
      <c r="M68">
        <f t="shared" si="3"/>
        <v>18</v>
      </c>
    </row>
    <row r="69" spans="1:13" x14ac:dyDescent="0.3">
      <c r="A69" s="1">
        <v>46268.791666666664</v>
      </c>
      <c r="B69" t="s">
        <v>10</v>
      </c>
      <c r="C69">
        <v>26.6</v>
      </c>
      <c r="D69">
        <v>53.8</v>
      </c>
      <c r="E69">
        <v>1.1000000000000001</v>
      </c>
      <c r="F69">
        <v>0</v>
      </c>
      <c r="G69">
        <v>0.1</v>
      </c>
      <c r="H69">
        <v>4000</v>
      </c>
      <c r="I69">
        <v>7634</v>
      </c>
      <c r="J69">
        <v>1</v>
      </c>
      <c r="K69">
        <f t="shared" si="2"/>
        <v>0.1</v>
      </c>
      <c r="L69">
        <f>K69+energy_grid_portfolio_dataset!H69</f>
        <v>4000.1</v>
      </c>
      <c r="M69">
        <f t="shared" si="3"/>
        <v>19</v>
      </c>
    </row>
    <row r="70" spans="1:13" x14ac:dyDescent="0.3">
      <c r="A70" s="1">
        <v>46268.833333333336</v>
      </c>
      <c r="B70" t="s">
        <v>10</v>
      </c>
      <c r="C70">
        <v>25</v>
      </c>
      <c r="D70">
        <v>5.4</v>
      </c>
      <c r="E70">
        <v>4.9000000000000004</v>
      </c>
      <c r="F70">
        <v>0</v>
      </c>
      <c r="G70">
        <v>7.6</v>
      </c>
      <c r="H70">
        <v>4000</v>
      </c>
      <c r="I70">
        <v>7874.5</v>
      </c>
      <c r="J70">
        <v>1</v>
      </c>
      <c r="K70">
        <f t="shared" si="2"/>
        <v>7.6</v>
      </c>
      <c r="L70">
        <f>K70+energy_grid_portfolio_dataset!H70</f>
        <v>4007.6</v>
      </c>
      <c r="M70">
        <f t="shared" si="3"/>
        <v>20</v>
      </c>
    </row>
    <row r="71" spans="1:13" x14ac:dyDescent="0.3">
      <c r="A71" s="1">
        <v>46268.875</v>
      </c>
      <c r="B71" t="s">
        <v>10</v>
      </c>
      <c r="C71">
        <v>22.9</v>
      </c>
      <c r="D71">
        <v>26.4</v>
      </c>
      <c r="E71">
        <v>3.2</v>
      </c>
      <c r="F71">
        <v>0</v>
      </c>
      <c r="G71">
        <v>2.2000000000000002</v>
      </c>
      <c r="H71">
        <v>4000</v>
      </c>
      <c r="I71">
        <v>7729.9</v>
      </c>
      <c r="J71">
        <v>1</v>
      </c>
      <c r="K71">
        <f t="shared" si="2"/>
        <v>2.2000000000000002</v>
      </c>
      <c r="L71">
        <f>K71+energy_grid_portfolio_dataset!H71</f>
        <v>4002.2</v>
      </c>
      <c r="M71">
        <f t="shared" si="3"/>
        <v>21</v>
      </c>
    </row>
    <row r="72" spans="1:13" x14ac:dyDescent="0.3">
      <c r="A72" s="1">
        <v>46268.916666666664</v>
      </c>
      <c r="B72" t="s">
        <v>10</v>
      </c>
      <c r="C72">
        <v>23.8</v>
      </c>
      <c r="D72">
        <v>56.7</v>
      </c>
      <c r="E72">
        <v>1.5</v>
      </c>
      <c r="F72">
        <v>0</v>
      </c>
      <c r="G72">
        <v>0.2</v>
      </c>
      <c r="H72">
        <v>4000</v>
      </c>
      <c r="I72">
        <v>4967</v>
      </c>
      <c r="J72">
        <v>1</v>
      </c>
      <c r="K72">
        <f t="shared" si="2"/>
        <v>0.2</v>
      </c>
      <c r="L72">
        <f>K72+energy_grid_portfolio_dataset!H72</f>
        <v>4000.2</v>
      </c>
      <c r="M72">
        <f t="shared" si="3"/>
        <v>22</v>
      </c>
    </row>
    <row r="73" spans="1:13" x14ac:dyDescent="0.3">
      <c r="A73" s="1">
        <v>46268.958333333336</v>
      </c>
      <c r="B73" t="s">
        <v>10</v>
      </c>
      <c r="C73">
        <v>19.3</v>
      </c>
      <c r="D73">
        <v>22</v>
      </c>
      <c r="E73">
        <v>5.2</v>
      </c>
      <c r="F73">
        <v>0</v>
      </c>
      <c r="G73">
        <v>8.9</v>
      </c>
      <c r="H73">
        <v>4000</v>
      </c>
      <c r="I73">
        <v>5270</v>
      </c>
      <c r="J73">
        <v>1</v>
      </c>
      <c r="K73">
        <f t="shared" si="2"/>
        <v>8.9</v>
      </c>
      <c r="L73">
        <f>K73+energy_grid_portfolio_dataset!H73</f>
        <v>4008.9</v>
      </c>
      <c r="M73">
        <f t="shared" si="3"/>
        <v>23</v>
      </c>
    </row>
    <row r="74" spans="1:13" x14ac:dyDescent="0.3">
      <c r="A74" s="1">
        <v>46269</v>
      </c>
      <c r="B74" t="s">
        <v>10</v>
      </c>
      <c r="C74">
        <v>21.1</v>
      </c>
      <c r="D74">
        <v>20.8</v>
      </c>
      <c r="E74">
        <v>3</v>
      </c>
      <c r="F74">
        <v>0</v>
      </c>
      <c r="G74">
        <v>1.8</v>
      </c>
      <c r="H74">
        <v>4000</v>
      </c>
      <c r="I74">
        <v>4992.1000000000004</v>
      </c>
      <c r="J74">
        <v>1</v>
      </c>
      <c r="K74">
        <f t="shared" si="2"/>
        <v>1.8</v>
      </c>
      <c r="L74">
        <f>K74+energy_grid_portfolio_dataset!H74</f>
        <v>4001.8</v>
      </c>
      <c r="M74">
        <f t="shared" si="3"/>
        <v>0</v>
      </c>
    </row>
    <row r="75" spans="1:13" x14ac:dyDescent="0.3">
      <c r="A75" s="1">
        <v>46269.041666666664</v>
      </c>
      <c r="B75" t="s">
        <v>10</v>
      </c>
      <c r="C75">
        <v>23.5</v>
      </c>
      <c r="D75">
        <v>32.1</v>
      </c>
      <c r="E75">
        <v>2.6</v>
      </c>
      <c r="F75">
        <v>0</v>
      </c>
      <c r="G75">
        <v>1.1000000000000001</v>
      </c>
      <c r="H75">
        <v>4000</v>
      </c>
      <c r="I75">
        <v>4861.6000000000004</v>
      </c>
      <c r="J75">
        <v>1</v>
      </c>
      <c r="K75">
        <f t="shared" si="2"/>
        <v>1.1000000000000001</v>
      </c>
      <c r="L75">
        <f>K75+energy_grid_portfolio_dataset!H75</f>
        <v>4001.1</v>
      </c>
      <c r="M75">
        <f t="shared" si="3"/>
        <v>1</v>
      </c>
    </row>
    <row r="76" spans="1:13" x14ac:dyDescent="0.3">
      <c r="A76" s="1">
        <v>46269.083333333336</v>
      </c>
      <c r="B76" t="s">
        <v>10</v>
      </c>
      <c r="C76">
        <v>23.3</v>
      </c>
      <c r="D76">
        <v>41.3</v>
      </c>
      <c r="E76">
        <v>5.3</v>
      </c>
      <c r="F76">
        <v>0</v>
      </c>
      <c r="G76">
        <v>9.3000000000000007</v>
      </c>
      <c r="H76">
        <v>4000</v>
      </c>
      <c r="I76">
        <v>5084.8999999999996</v>
      </c>
      <c r="J76">
        <v>1</v>
      </c>
      <c r="K76">
        <f t="shared" si="2"/>
        <v>9.3000000000000007</v>
      </c>
      <c r="L76">
        <f>K76+energy_grid_portfolio_dataset!H76</f>
        <v>4009.3</v>
      </c>
      <c r="M76">
        <f t="shared" si="3"/>
        <v>2</v>
      </c>
    </row>
    <row r="77" spans="1:13" x14ac:dyDescent="0.3">
      <c r="A77" s="1">
        <v>46269.125</v>
      </c>
      <c r="B77" t="s">
        <v>10</v>
      </c>
      <c r="C77">
        <v>22.9</v>
      </c>
      <c r="D77">
        <v>39.9</v>
      </c>
      <c r="E77">
        <v>5.2</v>
      </c>
      <c r="F77">
        <v>0</v>
      </c>
      <c r="G77">
        <v>9.1</v>
      </c>
      <c r="H77">
        <v>4000</v>
      </c>
      <c r="I77">
        <v>4825.7</v>
      </c>
      <c r="J77">
        <v>1</v>
      </c>
      <c r="K77">
        <f t="shared" si="2"/>
        <v>9.1</v>
      </c>
      <c r="L77">
        <f>K77+energy_grid_portfolio_dataset!H77</f>
        <v>4009.1</v>
      </c>
      <c r="M77">
        <f t="shared" si="3"/>
        <v>3</v>
      </c>
    </row>
    <row r="78" spans="1:13" x14ac:dyDescent="0.3">
      <c r="A78" s="1">
        <v>46269.166666666664</v>
      </c>
      <c r="B78" t="s">
        <v>10</v>
      </c>
      <c r="C78">
        <v>25.2</v>
      </c>
      <c r="D78">
        <v>50.6</v>
      </c>
      <c r="E78">
        <v>2.8</v>
      </c>
      <c r="F78">
        <v>0</v>
      </c>
      <c r="G78">
        <v>1.4</v>
      </c>
      <c r="H78">
        <v>4000</v>
      </c>
      <c r="I78">
        <v>4946.8999999999996</v>
      </c>
      <c r="J78">
        <v>1</v>
      </c>
      <c r="K78">
        <f t="shared" si="2"/>
        <v>1.4</v>
      </c>
      <c r="L78">
        <f>K78+energy_grid_portfolio_dataset!H78</f>
        <v>4001.4</v>
      </c>
      <c r="M78">
        <f t="shared" si="3"/>
        <v>4</v>
      </c>
    </row>
    <row r="79" spans="1:13" x14ac:dyDescent="0.3">
      <c r="A79" s="1">
        <v>46269.208333333336</v>
      </c>
      <c r="B79" t="s">
        <v>10</v>
      </c>
      <c r="C79">
        <v>26.1</v>
      </c>
      <c r="D79">
        <v>20.6</v>
      </c>
      <c r="E79">
        <v>6.2</v>
      </c>
      <c r="F79">
        <v>0</v>
      </c>
      <c r="G79">
        <v>15.2</v>
      </c>
      <c r="H79">
        <v>4000</v>
      </c>
      <c r="I79">
        <v>5032.1000000000004</v>
      </c>
      <c r="J79">
        <v>1</v>
      </c>
      <c r="K79">
        <f t="shared" si="2"/>
        <v>15.2</v>
      </c>
      <c r="L79">
        <f>K79+energy_grid_portfolio_dataset!H79</f>
        <v>4015.2</v>
      </c>
      <c r="M79">
        <f t="shared" si="3"/>
        <v>5</v>
      </c>
    </row>
    <row r="80" spans="1:13" x14ac:dyDescent="0.3">
      <c r="A80" s="1">
        <v>46269.25</v>
      </c>
      <c r="B80" t="s">
        <v>10</v>
      </c>
      <c r="C80">
        <v>29.2</v>
      </c>
      <c r="D80">
        <v>51.1</v>
      </c>
      <c r="E80">
        <v>4</v>
      </c>
      <c r="F80">
        <v>428.7</v>
      </c>
      <c r="G80">
        <v>4.2</v>
      </c>
      <c r="H80">
        <v>4000</v>
      </c>
      <c r="I80">
        <v>5073.8</v>
      </c>
      <c r="J80">
        <v>1</v>
      </c>
      <c r="K80">
        <f t="shared" si="2"/>
        <v>432.9</v>
      </c>
      <c r="L80">
        <f>K80+energy_grid_portfolio_dataset!H80</f>
        <v>4432.8999999999996</v>
      </c>
      <c r="M80">
        <f t="shared" si="3"/>
        <v>6</v>
      </c>
    </row>
    <row r="81" spans="1:13" x14ac:dyDescent="0.3">
      <c r="A81" s="1">
        <v>46269.291666666664</v>
      </c>
      <c r="B81" t="s">
        <v>10</v>
      </c>
      <c r="C81">
        <v>29.1</v>
      </c>
      <c r="D81">
        <v>31.5</v>
      </c>
      <c r="E81">
        <v>3.7</v>
      </c>
      <c r="F81">
        <v>1014.8</v>
      </c>
      <c r="G81">
        <v>3.3</v>
      </c>
      <c r="H81">
        <v>4000</v>
      </c>
      <c r="I81">
        <v>5052.3</v>
      </c>
      <c r="J81">
        <v>1</v>
      </c>
      <c r="K81">
        <f t="shared" si="2"/>
        <v>1018.0999999999999</v>
      </c>
      <c r="L81">
        <f>K81+energy_grid_portfolio_dataset!H81</f>
        <v>5018.1000000000004</v>
      </c>
      <c r="M81">
        <f t="shared" si="3"/>
        <v>7</v>
      </c>
    </row>
    <row r="82" spans="1:13" x14ac:dyDescent="0.3">
      <c r="A82" s="1">
        <v>46269.333333333336</v>
      </c>
      <c r="B82" t="s">
        <v>10</v>
      </c>
      <c r="C82">
        <v>31.9</v>
      </c>
      <c r="D82">
        <v>8.6</v>
      </c>
      <c r="E82">
        <v>8.1999999999999993</v>
      </c>
      <c r="F82">
        <v>1757.4</v>
      </c>
      <c r="G82">
        <v>35.1</v>
      </c>
      <c r="H82">
        <v>3172</v>
      </c>
      <c r="I82">
        <v>4964.5</v>
      </c>
      <c r="J82">
        <v>0</v>
      </c>
      <c r="K82">
        <f t="shared" si="2"/>
        <v>1792.5</v>
      </c>
      <c r="L82">
        <f>K82+energy_grid_portfolio_dataset!H82</f>
        <v>4964.5</v>
      </c>
      <c r="M82">
        <f t="shared" si="3"/>
        <v>8</v>
      </c>
    </row>
    <row r="83" spans="1:13" x14ac:dyDescent="0.3">
      <c r="A83" s="1">
        <v>46269.375</v>
      </c>
      <c r="B83" t="s">
        <v>10</v>
      </c>
      <c r="C83">
        <v>30.4</v>
      </c>
      <c r="D83">
        <v>48.2</v>
      </c>
      <c r="E83">
        <v>5.6</v>
      </c>
      <c r="F83">
        <v>1554.7</v>
      </c>
      <c r="G83">
        <v>11.1</v>
      </c>
      <c r="H83">
        <v>3233.3</v>
      </c>
      <c r="I83">
        <v>4799.1000000000004</v>
      </c>
      <c r="J83">
        <v>0</v>
      </c>
      <c r="K83">
        <f t="shared" si="2"/>
        <v>1565.8</v>
      </c>
      <c r="L83">
        <f>K83+energy_grid_portfolio_dataset!H83</f>
        <v>4799.1000000000004</v>
      </c>
      <c r="M83">
        <f t="shared" si="3"/>
        <v>9</v>
      </c>
    </row>
    <row r="84" spans="1:13" x14ac:dyDescent="0.3">
      <c r="A84" s="1">
        <v>46269.416666666664</v>
      </c>
      <c r="B84" t="s">
        <v>10</v>
      </c>
      <c r="C84">
        <v>34.1</v>
      </c>
      <c r="D84">
        <v>24.8</v>
      </c>
      <c r="E84">
        <v>2.2000000000000002</v>
      </c>
      <c r="F84">
        <v>2234.5</v>
      </c>
      <c r="G84">
        <v>0.7</v>
      </c>
      <c r="H84">
        <v>4000</v>
      </c>
      <c r="I84">
        <v>7243.6</v>
      </c>
      <c r="J84">
        <v>1</v>
      </c>
      <c r="K84">
        <f t="shared" si="2"/>
        <v>2235.1999999999998</v>
      </c>
      <c r="L84">
        <f>K84+energy_grid_portfolio_dataset!H84</f>
        <v>6235.2</v>
      </c>
      <c r="M84">
        <f t="shared" si="3"/>
        <v>10</v>
      </c>
    </row>
    <row r="85" spans="1:13" x14ac:dyDescent="0.3">
      <c r="A85" s="1">
        <v>46269.458333333336</v>
      </c>
      <c r="B85" t="s">
        <v>10</v>
      </c>
      <c r="C85">
        <v>32.799999999999997</v>
      </c>
      <c r="D85">
        <v>44.5</v>
      </c>
      <c r="E85">
        <v>3.7</v>
      </c>
      <c r="F85">
        <v>2013.7</v>
      </c>
      <c r="G85">
        <v>3.3</v>
      </c>
      <c r="H85">
        <v>4000</v>
      </c>
      <c r="I85">
        <v>7161.4</v>
      </c>
      <c r="J85">
        <v>1</v>
      </c>
      <c r="K85">
        <f t="shared" si="2"/>
        <v>2017</v>
      </c>
      <c r="L85">
        <f>K85+energy_grid_portfolio_dataset!H85</f>
        <v>6017</v>
      </c>
      <c r="M85">
        <f t="shared" si="3"/>
        <v>11</v>
      </c>
    </row>
    <row r="86" spans="1:13" x14ac:dyDescent="0.3">
      <c r="A86" s="1">
        <v>46269.5</v>
      </c>
      <c r="B86" t="s">
        <v>10</v>
      </c>
      <c r="C86">
        <v>33.5</v>
      </c>
      <c r="D86">
        <v>33.299999999999997</v>
      </c>
      <c r="E86">
        <v>2.9</v>
      </c>
      <c r="F86">
        <v>2301.6</v>
      </c>
      <c r="G86">
        <v>1.5</v>
      </c>
      <c r="H86">
        <v>4000</v>
      </c>
      <c r="I86">
        <v>7026.2</v>
      </c>
      <c r="J86">
        <v>1</v>
      </c>
      <c r="K86">
        <f t="shared" si="2"/>
        <v>2303.1</v>
      </c>
      <c r="L86">
        <f>K86+energy_grid_portfolio_dataset!H86</f>
        <v>6303.1</v>
      </c>
      <c r="M86">
        <f t="shared" si="3"/>
        <v>12</v>
      </c>
    </row>
    <row r="87" spans="1:13" x14ac:dyDescent="0.3">
      <c r="A87" s="1">
        <v>46269.541666666664</v>
      </c>
      <c r="B87" t="s">
        <v>10</v>
      </c>
      <c r="C87">
        <v>34.200000000000003</v>
      </c>
      <c r="D87">
        <v>29.9</v>
      </c>
      <c r="E87">
        <v>3</v>
      </c>
      <c r="F87">
        <v>2312.6</v>
      </c>
      <c r="G87">
        <v>1.7</v>
      </c>
      <c r="H87">
        <v>4000</v>
      </c>
      <c r="I87">
        <v>7026.7</v>
      </c>
      <c r="J87">
        <v>1</v>
      </c>
      <c r="K87">
        <f t="shared" si="2"/>
        <v>2314.2999999999997</v>
      </c>
      <c r="L87">
        <f>K87+energy_grid_portfolio_dataset!H87</f>
        <v>6314.2999999999993</v>
      </c>
      <c r="M87">
        <f t="shared" si="3"/>
        <v>13</v>
      </c>
    </row>
    <row r="88" spans="1:13" x14ac:dyDescent="0.3">
      <c r="A88" s="1">
        <v>46269.583333333336</v>
      </c>
      <c r="B88" t="s">
        <v>10</v>
      </c>
      <c r="C88">
        <v>33.5</v>
      </c>
      <c r="D88">
        <v>0</v>
      </c>
      <c r="E88">
        <v>1.2</v>
      </c>
      <c r="F88">
        <v>2702.9</v>
      </c>
      <c r="G88">
        <v>0.1</v>
      </c>
      <c r="H88">
        <v>4000</v>
      </c>
      <c r="I88">
        <v>7079.3</v>
      </c>
      <c r="J88">
        <v>1</v>
      </c>
      <c r="K88">
        <f t="shared" si="2"/>
        <v>2703</v>
      </c>
      <c r="L88">
        <f>K88+energy_grid_portfolio_dataset!H88</f>
        <v>6703</v>
      </c>
      <c r="M88">
        <f t="shared" si="3"/>
        <v>14</v>
      </c>
    </row>
    <row r="89" spans="1:13" x14ac:dyDescent="0.3">
      <c r="A89" s="1">
        <v>46269.625</v>
      </c>
      <c r="B89" t="s">
        <v>10</v>
      </c>
      <c r="C89">
        <v>31.9</v>
      </c>
      <c r="D89">
        <v>31.2</v>
      </c>
      <c r="E89">
        <v>7</v>
      </c>
      <c r="F89">
        <v>1832.9</v>
      </c>
      <c r="G89">
        <v>21.5</v>
      </c>
      <c r="H89">
        <v>2987.8</v>
      </c>
      <c r="I89">
        <v>4842.2</v>
      </c>
      <c r="J89">
        <v>0</v>
      </c>
      <c r="K89">
        <f t="shared" si="2"/>
        <v>1854.4</v>
      </c>
      <c r="L89">
        <f>K89+energy_grid_portfolio_dataset!H89</f>
        <v>4842.2000000000007</v>
      </c>
      <c r="M89">
        <f t="shared" si="3"/>
        <v>15</v>
      </c>
    </row>
    <row r="90" spans="1:13" x14ac:dyDescent="0.3">
      <c r="A90" s="1">
        <v>46269.666666666664</v>
      </c>
      <c r="B90" t="s">
        <v>10</v>
      </c>
      <c r="C90">
        <v>30.8</v>
      </c>
      <c r="D90">
        <v>24.6</v>
      </c>
      <c r="E90">
        <v>2</v>
      </c>
      <c r="F90">
        <v>1548.1</v>
      </c>
      <c r="G90">
        <v>0.5</v>
      </c>
      <c r="H90">
        <v>3530</v>
      </c>
      <c r="I90">
        <v>5078.6000000000004</v>
      </c>
      <c r="J90">
        <v>0</v>
      </c>
      <c r="K90">
        <f t="shared" si="2"/>
        <v>1548.6</v>
      </c>
      <c r="L90">
        <f>K90+energy_grid_portfolio_dataset!H90</f>
        <v>5078.6000000000004</v>
      </c>
      <c r="M90">
        <f t="shared" si="3"/>
        <v>16</v>
      </c>
    </row>
    <row r="91" spans="1:13" x14ac:dyDescent="0.3">
      <c r="A91" s="1">
        <v>46269.708333333336</v>
      </c>
      <c r="B91" t="s">
        <v>10</v>
      </c>
      <c r="C91">
        <v>29.1</v>
      </c>
      <c r="D91">
        <v>31.5</v>
      </c>
      <c r="E91">
        <v>2.2999999999999998</v>
      </c>
      <c r="F91">
        <v>1015.1</v>
      </c>
      <c r="G91">
        <v>0.8</v>
      </c>
      <c r="H91">
        <v>3931.3</v>
      </c>
      <c r="I91">
        <v>4947.2</v>
      </c>
      <c r="J91">
        <v>0</v>
      </c>
      <c r="K91">
        <f t="shared" si="2"/>
        <v>1015.9</v>
      </c>
      <c r="L91">
        <f>K91+energy_grid_portfolio_dataset!H91</f>
        <v>4947.2</v>
      </c>
      <c r="M91">
        <f t="shared" si="3"/>
        <v>17</v>
      </c>
    </row>
    <row r="92" spans="1:13" x14ac:dyDescent="0.3">
      <c r="A92" s="1">
        <v>46269.75</v>
      </c>
      <c r="B92" t="s">
        <v>10</v>
      </c>
      <c r="C92">
        <v>30.3</v>
      </c>
      <c r="D92">
        <v>22.8</v>
      </c>
      <c r="E92">
        <v>4.8</v>
      </c>
      <c r="F92">
        <v>560.9</v>
      </c>
      <c r="G92">
        <v>7.1</v>
      </c>
      <c r="H92">
        <v>4000</v>
      </c>
      <c r="I92">
        <v>7777.9</v>
      </c>
      <c r="J92">
        <v>1</v>
      </c>
      <c r="K92">
        <f t="shared" si="2"/>
        <v>568</v>
      </c>
      <c r="L92">
        <f>K92+energy_grid_portfolio_dataset!H92</f>
        <v>4568</v>
      </c>
      <c r="M92">
        <f t="shared" si="3"/>
        <v>18</v>
      </c>
    </row>
    <row r="93" spans="1:13" x14ac:dyDescent="0.3">
      <c r="A93" s="1">
        <v>46269.791666666664</v>
      </c>
      <c r="B93" t="s">
        <v>10</v>
      </c>
      <c r="C93">
        <v>25.8</v>
      </c>
      <c r="D93">
        <v>29.5</v>
      </c>
      <c r="E93">
        <v>4</v>
      </c>
      <c r="F93">
        <v>0</v>
      </c>
      <c r="G93">
        <v>4.2</v>
      </c>
      <c r="H93">
        <v>4000</v>
      </c>
      <c r="I93">
        <v>7803.5</v>
      </c>
      <c r="J93">
        <v>1</v>
      </c>
      <c r="K93">
        <f t="shared" si="2"/>
        <v>4.2</v>
      </c>
      <c r="L93">
        <f>K93+energy_grid_portfolio_dataset!H93</f>
        <v>4004.2</v>
      </c>
      <c r="M93">
        <f t="shared" si="3"/>
        <v>19</v>
      </c>
    </row>
    <row r="94" spans="1:13" x14ac:dyDescent="0.3">
      <c r="A94" s="1">
        <v>46269.833333333336</v>
      </c>
      <c r="B94" t="s">
        <v>10</v>
      </c>
      <c r="C94">
        <v>23.8</v>
      </c>
      <c r="D94">
        <v>25.5</v>
      </c>
      <c r="E94">
        <v>5</v>
      </c>
      <c r="F94">
        <v>0</v>
      </c>
      <c r="G94">
        <v>8</v>
      </c>
      <c r="H94">
        <v>4000</v>
      </c>
      <c r="I94">
        <v>7714.7</v>
      </c>
      <c r="J94">
        <v>1</v>
      </c>
      <c r="K94">
        <f t="shared" si="2"/>
        <v>8</v>
      </c>
      <c r="L94">
        <f>K94+energy_grid_portfolio_dataset!H94</f>
        <v>4008</v>
      </c>
      <c r="M94">
        <f t="shared" si="3"/>
        <v>20</v>
      </c>
    </row>
    <row r="95" spans="1:13" x14ac:dyDescent="0.3">
      <c r="A95" s="1">
        <v>46269.875</v>
      </c>
      <c r="B95" t="s">
        <v>10</v>
      </c>
      <c r="C95">
        <v>25.2</v>
      </c>
      <c r="D95">
        <v>68.099999999999994</v>
      </c>
      <c r="E95">
        <v>2.5</v>
      </c>
      <c r="F95">
        <v>0</v>
      </c>
      <c r="G95">
        <v>1</v>
      </c>
      <c r="H95">
        <v>4000</v>
      </c>
      <c r="I95">
        <v>7917.7</v>
      </c>
      <c r="J95">
        <v>1</v>
      </c>
      <c r="K95">
        <f t="shared" si="2"/>
        <v>1</v>
      </c>
      <c r="L95">
        <f>K95+energy_grid_portfolio_dataset!H95</f>
        <v>4001</v>
      </c>
      <c r="M95">
        <f t="shared" si="3"/>
        <v>21</v>
      </c>
    </row>
    <row r="96" spans="1:13" x14ac:dyDescent="0.3">
      <c r="A96" s="1">
        <v>46269.916666666664</v>
      </c>
      <c r="B96" t="s">
        <v>10</v>
      </c>
      <c r="C96">
        <v>23.1</v>
      </c>
      <c r="D96">
        <v>68.8</v>
      </c>
      <c r="E96">
        <v>2.4</v>
      </c>
      <c r="F96">
        <v>0</v>
      </c>
      <c r="G96">
        <v>0.9</v>
      </c>
      <c r="H96">
        <v>4000</v>
      </c>
      <c r="I96">
        <v>5080.8</v>
      </c>
      <c r="J96">
        <v>1</v>
      </c>
      <c r="K96">
        <f t="shared" si="2"/>
        <v>0.9</v>
      </c>
      <c r="L96">
        <f>K96+energy_grid_portfolio_dataset!H96</f>
        <v>4000.9</v>
      </c>
      <c r="M96">
        <f t="shared" si="3"/>
        <v>22</v>
      </c>
    </row>
    <row r="97" spans="1:13" x14ac:dyDescent="0.3">
      <c r="A97" s="1">
        <v>46269.958333333336</v>
      </c>
      <c r="B97" t="s">
        <v>10</v>
      </c>
      <c r="C97">
        <v>21.3</v>
      </c>
      <c r="D97">
        <v>0</v>
      </c>
      <c r="E97">
        <v>2.9</v>
      </c>
      <c r="F97">
        <v>0</v>
      </c>
      <c r="G97">
        <v>1.6</v>
      </c>
      <c r="H97">
        <v>4000</v>
      </c>
      <c r="I97">
        <v>4824</v>
      </c>
      <c r="J97">
        <v>1</v>
      </c>
      <c r="K97">
        <f t="shared" si="2"/>
        <v>1.6</v>
      </c>
      <c r="L97">
        <f>K97+energy_grid_portfolio_dataset!H97</f>
        <v>4001.6</v>
      </c>
      <c r="M97">
        <f t="shared" si="3"/>
        <v>23</v>
      </c>
    </row>
    <row r="98" spans="1:13" x14ac:dyDescent="0.3">
      <c r="A98" s="1">
        <v>46270</v>
      </c>
      <c r="B98" t="s">
        <v>10</v>
      </c>
      <c r="C98">
        <v>22.2</v>
      </c>
      <c r="D98">
        <v>31.8</v>
      </c>
      <c r="E98">
        <v>7.8</v>
      </c>
      <c r="F98">
        <v>0</v>
      </c>
      <c r="G98">
        <v>29.8</v>
      </c>
      <c r="H98">
        <v>4000</v>
      </c>
      <c r="I98">
        <v>4206.1000000000004</v>
      </c>
      <c r="J98">
        <v>1</v>
      </c>
      <c r="K98">
        <f t="shared" si="2"/>
        <v>29.8</v>
      </c>
      <c r="L98">
        <f>K98+energy_grid_portfolio_dataset!H98</f>
        <v>4029.8</v>
      </c>
      <c r="M98">
        <f t="shared" si="3"/>
        <v>0</v>
      </c>
    </row>
    <row r="99" spans="1:13" x14ac:dyDescent="0.3">
      <c r="A99" s="1">
        <v>46270.041666666664</v>
      </c>
      <c r="B99" t="s">
        <v>10</v>
      </c>
      <c r="C99">
        <v>21.3</v>
      </c>
      <c r="D99">
        <v>7</v>
      </c>
      <c r="E99">
        <v>5</v>
      </c>
      <c r="F99">
        <v>0</v>
      </c>
      <c r="G99">
        <v>7.9</v>
      </c>
      <c r="H99">
        <v>4000</v>
      </c>
      <c r="I99">
        <v>4462.6000000000004</v>
      </c>
      <c r="J99">
        <v>1</v>
      </c>
      <c r="K99">
        <f t="shared" si="2"/>
        <v>7.9</v>
      </c>
      <c r="L99">
        <f>K99+energy_grid_portfolio_dataset!H99</f>
        <v>4007.9</v>
      </c>
      <c r="M99">
        <f t="shared" si="3"/>
        <v>1</v>
      </c>
    </row>
    <row r="100" spans="1:13" x14ac:dyDescent="0.3">
      <c r="A100" s="1">
        <v>46270.083333333336</v>
      </c>
      <c r="B100" t="s">
        <v>10</v>
      </c>
      <c r="C100">
        <v>25.6</v>
      </c>
      <c r="D100">
        <v>48.6</v>
      </c>
      <c r="E100">
        <v>3.1</v>
      </c>
      <c r="F100">
        <v>0</v>
      </c>
      <c r="G100">
        <v>1.8</v>
      </c>
      <c r="H100">
        <v>4000</v>
      </c>
      <c r="I100">
        <v>4122</v>
      </c>
      <c r="J100">
        <v>1</v>
      </c>
      <c r="K100">
        <f t="shared" si="2"/>
        <v>1.8</v>
      </c>
      <c r="L100">
        <f>K100+energy_grid_portfolio_dataset!H100</f>
        <v>4001.8</v>
      </c>
      <c r="M100">
        <f t="shared" si="3"/>
        <v>2</v>
      </c>
    </row>
    <row r="101" spans="1:13" x14ac:dyDescent="0.3">
      <c r="A101" s="1">
        <v>46270.125</v>
      </c>
      <c r="B101" t="s">
        <v>10</v>
      </c>
      <c r="C101">
        <v>25.8</v>
      </c>
      <c r="D101">
        <v>22.7</v>
      </c>
      <c r="E101">
        <v>6.5</v>
      </c>
      <c r="F101">
        <v>0</v>
      </c>
      <c r="G101">
        <v>17.399999999999999</v>
      </c>
      <c r="H101">
        <v>4000</v>
      </c>
      <c r="I101">
        <v>4063</v>
      </c>
      <c r="J101">
        <v>1</v>
      </c>
      <c r="K101">
        <f t="shared" si="2"/>
        <v>17.399999999999999</v>
      </c>
      <c r="L101">
        <f>K101+energy_grid_portfolio_dataset!H101</f>
        <v>4017.4</v>
      </c>
      <c r="M101">
        <f t="shared" si="3"/>
        <v>3</v>
      </c>
    </row>
    <row r="102" spans="1:13" x14ac:dyDescent="0.3">
      <c r="A102" s="1">
        <v>46270.166666666664</v>
      </c>
      <c r="B102" t="s">
        <v>10</v>
      </c>
      <c r="C102">
        <v>24.1</v>
      </c>
      <c r="D102">
        <v>25.1</v>
      </c>
      <c r="E102">
        <v>4.0999999999999996</v>
      </c>
      <c r="F102">
        <v>0</v>
      </c>
      <c r="G102">
        <v>4.4000000000000004</v>
      </c>
      <c r="H102">
        <v>4000</v>
      </c>
      <c r="I102">
        <v>4080.8</v>
      </c>
      <c r="J102">
        <v>1</v>
      </c>
      <c r="K102">
        <f t="shared" si="2"/>
        <v>4.4000000000000004</v>
      </c>
      <c r="L102">
        <f>K102+energy_grid_portfolio_dataset!H102</f>
        <v>4004.4</v>
      </c>
      <c r="M102">
        <f t="shared" si="3"/>
        <v>4</v>
      </c>
    </row>
    <row r="103" spans="1:13" x14ac:dyDescent="0.3">
      <c r="A103" s="1">
        <v>46270.208333333336</v>
      </c>
      <c r="B103" t="s">
        <v>10</v>
      </c>
      <c r="C103">
        <v>27.4</v>
      </c>
      <c r="D103">
        <v>3.6</v>
      </c>
      <c r="E103">
        <v>3.7</v>
      </c>
      <c r="F103">
        <v>0</v>
      </c>
      <c r="G103">
        <v>3.3</v>
      </c>
      <c r="H103">
        <v>4000</v>
      </c>
      <c r="I103">
        <v>4252.5</v>
      </c>
      <c r="J103">
        <v>1</v>
      </c>
      <c r="K103">
        <f t="shared" si="2"/>
        <v>3.3</v>
      </c>
      <c r="L103">
        <f>K103+energy_grid_portfolio_dataset!H103</f>
        <v>4003.3</v>
      </c>
      <c r="M103">
        <f t="shared" si="3"/>
        <v>5</v>
      </c>
    </row>
    <row r="104" spans="1:13" x14ac:dyDescent="0.3">
      <c r="A104" s="1">
        <v>46270.25</v>
      </c>
      <c r="B104" t="s">
        <v>10</v>
      </c>
      <c r="C104">
        <v>28.8</v>
      </c>
      <c r="D104">
        <v>39.200000000000003</v>
      </c>
      <c r="E104">
        <v>1.8</v>
      </c>
      <c r="F104">
        <v>484.2</v>
      </c>
      <c r="G104">
        <v>0.3</v>
      </c>
      <c r="H104">
        <v>3853.5</v>
      </c>
      <c r="I104">
        <v>4338</v>
      </c>
      <c r="J104">
        <v>0</v>
      </c>
      <c r="K104">
        <f t="shared" si="2"/>
        <v>484.5</v>
      </c>
      <c r="L104">
        <f>K104+energy_grid_portfolio_dataset!H104</f>
        <v>4338</v>
      </c>
      <c r="M104">
        <f t="shared" si="3"/>
        <v>6</v>
      </c>
    </row>
    <row r="105" spans="1:13" x14ac:dyDescent="0.3">
      <c r="A105" s="1">
        <v>46270.291666666664</v>
      </c>
      <c r="B105" t="s">
        <v>10</v>
      </c>
      <c r="C105">
        <v>31.5</v>
      </c>
      <c r="D105">
        <v>31.6</v>
      </c>
      <c r="E105">
        <v>2.5</v>
      </c>
      <c r="F105">
        <v>1013.3</v>
      </c>
      <c r="G105">
        <v>1</v>
      </c>
      <c r="H105">
        <v>3075.6</v>
      </c>
      <c r="I105">
        <v>4089.9</v>
      </c>
      <c r="J105">
        <v>0</v>
      </c>
      <c r="K105">
        <f t="shared" si="2"/>
        <v>1014.3</v>
      </c>
      <c r="L105">
        <f>K105+energy_grid_portfolio_dataset!H105</f>
        <v>4089.8999999999996</v>
      </c>
      <c r="M105">
        <f t="shared" si="3"/>
        <v>7</v>
      </c>
    </row>
    <row r="106" spans="1:13" x14ac:dyDescent="0.3">
      <c r="A106" s="1">
        <v>46270.333333333336</v>
      </c>
      <c r="B106" t="s">
        <v>10</v>
      </c>
      <c r="C106">
        <v>31.2</v>
      </c>
      <c r="D106">
        <v>48.6</v>
      </c>
      <c r="E106">
        <v>4.0999999999999996</v>
      </c>
      <c r="F106">
        <v>1234.3</v>
      </c>
      <c r="G106">
        <v>4.5</v>
      </c>
      <c r="H106">
        <v>3313.9</v>
      </c>
      <c r="I106">
        <v>4552.7</v>
      </c>
      <c r="J106">
        <v>0</v>
      </c>
      <c r="K106">
        <f t="shared" si="2"/>
        <v>1238.8</v>
      </c>
      <c r="L106">
        <f>K106+energy_grid_portfolio_dataset!H106</f>
        <v>4552.7</v>
      </c>
      <c r="M106">
        <f t="shared" si="3"/>
        <v>8</v>
      </c>
    </row>
    <row r="107" spans="1:13" x14ac:dyDescent="0.3">
      <c r="A107" s="1">
        <v>46270.375</v>
      </c>
      <c r="B107" t="s">
        <v>10</v>
      </c>
      <c r="C107">
        <v>34.9</v>
      </c>
      <c r="D107">
        <v>20</v>
      </c>
      <c r="E107">
        <v>5.9</v>
      </c>
      <c r="F107">
        <v>2016.8</v>
      </c>
      <c r="G107">
        <v>13.4</v>
      </c>
      <c r="H107">
        <v>2598.9</v>
      </c>
      <c r="I107">
        <v>4629.1000000000004</v>
      </c>
      <c r="J107">
        <v>0</v>
      </c>
      <c r="K107">
        <f t="shared" si="2"/>
        <v>2030.2</v>
      </c>
      <c r="L107">
        <f>K107+energy_grid_portfolio_dataset!H107</f>
        <v>4629.1000000000004</v>
      </c>
      <c r="M107">
        <f t="shared" si="3"/>
        <v>9</v>
      </c>
    </row>
    <row r="108" spans="1:13" x14ac:dyDescent="0.3">
      <c r="A108" s="1">
        <v>46270.416666666664</v>
      </c>
      <c r="B108" t="s">
        <v>10</v>
      </c>
      <c r="C108">
        <v>35.200000000000003</v>
      </c>
      <c r="D108">
        <v>5.7</v>
      </c>
      <c r="E108">
        <v>5.4</v>
      </c>
      <c r="F108">
        <v>2595</v>
      </c>
      <c r="G108">
        <v>9.9</v>
      </c>
      <c r="H108">
        <v>3731.9</v>
      </c>
      <c r="I108">
        <v>6336.8</v>
      </c>
      <c r="J108">
        <v>0</v>
      </c>
      <c r="K108">
        <f t="shared" si="2"/>
        <v>2604.9</v>
      </c>
      <c r="L108">
        <f>K108+energy_grid_portfolio_dataset!H108</f>
        <v>6336.8</v>
      </c>
      <c r="M108">
        <f t="shared" si="3"/>
        <v>10</v>
      </c>
    </row>
    <row r="109" spans="1:13" x14ac:dyDescent="0.3">
      <c r="A109" s="1">
        <v>46270.458333333336</v>
      </c>
      <c r="B109" t="s">
        <v>10</v>
      </c>
      <c r="C109">
        <v>31.2</v>
      </c>
      <c r="D109">
        <v>1.3</v>
      </c>
      <c r="E109">
        <v>0</v>
      </c>
      <c r="F109">
        <v>2897.5</v>
      </c>
      <c r="G109">
        <v>0</v>
      </c>
      <c r="H109">
        <v>3501.3</v>
      </c>
      <c r="I109">
        <v>6398.8</v>
      </c>
      <c r="J109">
        <v>0</v>
      </c>
      <c r="K109">
        <f t="shared" si="2"/>
        <v>2897.5</v>
      </c>
      <c r="L109">
        <f>K109+energy_grid_portfolio_dataset!H109</f>
        <v>6398.8</v>
      </c>
      <c r="M109">
        <f t="shared" si="3"/>
        <v>11</v>
      </c>
    </row>
    <row r="110" spans="1:13" x14ac:dyDescent="0.3">
      <c r="A110" s="1">
        <v>46270.5</v>
      </c>
      <c r="B110" t="s">
        <v>10</v>
      </c>
      <c r="C110">
        <v>35.1</v>
      </c>
      <c r="D110">
        <v>55</v>
      </c>
      <c r="E110">
        <v>4.0999999999999996</v>
      </c>
      <c r="F110">
        <v>1844</v>
      </c>
      <c r="G110">
        <v>4.5999999999999996</v>
      </c>
      <c r="H110">
        <v>4000</v>
      </c>
      <c r="I110">
        <v>6199.6</v>
      </c>
      <c r="J110">
        <v>1</v>
      </c>
      <c r="K110">
        <f t="shared" si="2"/>
        <v>1848.6</v>
      </c>
      <c r="L110">
        <f>K110+energy_grid_portfolio_dataset!H110</f>
        <v>5848.6</v>
      </c>
      <c r="M110">
        <f t="shared" si="3"/>
        <v>12</v>
      </c>
    </row>
    <row r="111" spans="1:13" x14ac:dyDescent="0.3">
      <c r="A111" s="1">
        <v>46270.541666666664</v>
      </c>
      <c r="B111" t="s">
        <v>10</v>
      </c>
      <c r="C111">
        <v>31.7</v>
      </c>
      <c r="D111">
        <v>0</v>
      </c>
      <c r="E111">
        <v>3.9</v>
      </c>
      <c r="F111">
        <v>2924.8</v>
      </c>
      <c r="G111">
        <v>3.8</v>
      </c>
      <c r="H111">
        <v>3555.7</v>
      </c>
      <c r="I111">
        <v>6484.3</v>
      </c>
      <c r="J111">
        <v>0</v>
      </c>
      <c r="K111">
        <f t="shared" si="2"/>
        <v>2928.6000000000004</v>
      </c>
      <c r="L111">
        <f>K111+energy_grid_portfolio_dataset!H111</f>
        <v>6484.3</v>
      </c>
      <c r="M111">
        <f t="shared" si="3"/>
        <v>13</v>
      </c>
    </row>
    <row r="112" spans="1:13" x14ac:dyDescent="0.3">
      <c r="A112" s="1">
        <v>46270.583333333336</v>
      </c>
      <c r="B112" t="s">
        <v>10</v>
      </c>
      <c r="C112">
        <v>33.1</v>
      </c>
      <c r="D112">
        <v>0</v>
      </c>
      <c r="E112">
        <v>3.8</v>
      </c>
      <c r="F112">
        <v>2702.9</v>
      </c>
      <c r="G112">
        <v>3.6</v>
      </c>
      <c r="H112">
        <v>3591.1</v>
      </c>
      <c r="I112">
        <v>6297.6</v>
      </c>
      <c r="J112">
        <v>0</v>
      </c>
      <c r="K112">
        <f t="shared" si="2"/>
        <v>2706.5</v>
      </c>
      <c r="L112">
        <f>K112+energy_grid_portfolio_dataset!H112</f>
        <v>6297.6</v>
      </c>
      <c r="M112">
        <f t="shared" si="3"/>
        <v>14</v>
      </c>
    </row>
    <row r="113" spans="1:13" x14ac:dyDescent="0.3">
      <c r="A113" s="1">
        <v>46270.625</v>
      </c>
      <c r="B113" t="s">
        <v>10</v>
      </c>
      <c r="C113">
        <v>33.200000000000003</v>
      </c>
      <c r="D113">
        <v>32.299999999999997</v>
      </c>
      <c r="E113">
        <v>2.1</v>
      </c>
      <c r="F113">
        <v>1814.7</v>
      </c>
      <c r="G113">
        <v>0.6</v>
      </c>
      <c r="H113">
        <v>2309</v>
      </c>
      <c r="I113">
        <v>4124.3</v>
      </c>
      <c r="J113">
        <v>0</v>
      </c>
      <c r="K113">
        <f t="shared" si="2"/>
        <v>1815.3</v>
      </c>
      <c r="L113">
        <f>K113+energy_grid_portfolio_dataset!H113</f>
        <v>4124.3</v>
      </c>
      <c r="M113">
        <f t="shared" si="3"/>
        <v>15</v>
      </c>
    </row>
    <row r="114" spans="1:13" x14ac:dyDescent="0.3">
      <c r="A114" s="1">
        <v>46270.666666666664</v>
      </c>
      <c r="B114" t="s">
        <v>10</v>
      </c>
      <c r="C114">
        <v>29.4</v>
      </c>
      <c r="D114">
        <v>23.7</v>
      </c>
      <c r="E114">
        <v>5.9</v>
      </c>
      <c r="F114">
        <v>1559.6</v>
      </c>
      <c r="G114">
        <v>13.2</v>
      </c>
      <c r="H114">
        <v>2670.1</v>
      </c>
      <c r="I114">
        <v>4242.8999999999996</v>
      </c>
      <c r="J114">
        <v>0</v>
      </c>
      <c r="K114">
        <f t="shared" si="2"/>
        <v>1572.8</v>
      </c>
      <c r="L114">
        <f>K114+energy_grid_portfolio_dataset!H114</f>
        <v>4242.8999999999996</v>
      </c>
      <c r="M114">
        <f t="shared" si="3"/>
        <v>16</v>
      </c>
    </row>
    <row r="115" spans="1:13" x14ac:dyDescent="0.3">
      <c r="A115" s="1">
        <v>46270.708333333336</v>
      </c>
      <c r="B115" t="s">
        <v>10</v>
      </c>
      <c r="C115">
        <v>30.3</v>
      </c>
      <c r="D115">
        <v>14.4</v>
      </c>
      <c r="E115">
        <v>2.4</v>
      </c>
      <c r="F115">
        <v>1170.5</v>
      </c>
      <c r="G115">
        <v>0.9</v>
      </c>
      <c r="H115">
        <v>3000.7</v>
      </c>
      <c r="I115">
        <v>4172.1000000000004</v>
      </c>
      <c r="J115">
        <v>0</v>
      </c>
      <c r="K115">
        <f t="shared" si="2"/>
        <v>1171.4000000000001</v>
      </c>
      <c r="L115">
        <f>K115+energy_grid_portfolio_dataset!H115</f>
        <v>4172.1000000000004</v>
      </c>
      <c r="M115">
        <f t="shared" si="3"/>
        <v>17</v>
      </c>
    </row>
    <row r="116" spans="1:13" x14ac:dyDescent="0.3">
      <c r="A116" s="1">
        <v>46270.75</v>
      </c>
      <c r="B116" t="s">
        <v>10</v>
      </c>
      <c r="C116">
        <v>26.4</v>
      </c>
      <c r="D116">
        <v>13.9</v>
      </c>
      <c r="E116">
        <v>1.6</v>
      </c>
      <c r="F116">
        <v>602.5</v>
      </c>
      <c r="G116">
        <v>0.3</v>
      </c>
      <c r="H116">
        <v>4000</v>
      </c>
      <c r="I116">
        <v>6703.9</v>
      </c>
      <c r="J116">
        <v>1</v>
      </c>
      <c r="K116">
        <f t="shared" si="2"/>
        <v>602.79999999999995</v>
      </c>
      <c r="L116">
        <f>K116+energy_grid_portfolio_dataset!H116</f>
        <v>4602.8</v>
      </c>
      <c r="M116">
        <f t="shared" si="3"/>
        <v>18</v>
      </c>
    </row>
    <row r="117" spans="1:13" x14ac:dyDescent="0.3">
      <c r="A117" s="1">
        <v>46270.791666666664</v>
      </c>
      <c r="B117" t="s">
        <v>10</v>
      </c>
      <c r="C117">
        <v>26.5</v>
      </c>
      <c r="D117">
        <v>11</v>
      </c>
      <c r="E117">
        <v>4.4000000000000004</v>
      </c>
      <c r="F117">
        <v>0</v>
      </c>
      <c r="G117">
        <v>5.6</v>
      </c>
      <c r="H117">
        <v>4000</v>
      </c>
      <c r="I117">
        <v>7014.7</v>
      </c>
      <c r="J117">
        <v>1</v>
      </c>
      <c r="K117">
        <f t="shared" si="2"/>
        <v>5.6</v>
      </c>
      <c r="L117">
        <f>K117+energy_grid_portfolio_dataset!H117</f>
        <v>4005.6</v>
      </c>
      <c r="M117">
        <f t="shared" si="3"/>
        <v>19</v>
      </c>
    </row>
    <row r="118" spans="1:13" x14ac:dyDescent="0.3">
      <c r="A118" s="1">
        <v>46270.833333333336</v>
      </c>
      <c r="B118" t="s">
        <v>10</v>
      </c>
      <c r="C118">
        <v>24.7</v>
      </c>
      <c r="D118">
        <v>37.299999999999997</v>
      </c>
      <c r="E118">
        <v>5.5</v>
      </c>
      <c r="F118">
        <v>0</v>
      </c>
      <c r="G118">
        <v>10.7</v>
      </c>
      <c r="H118">
        <v>4000</v>
      </c>
      <c r="I118">
        <v>6703.2</v>
      </c>
      <c r="J118">
        <v>1</v>
      </c>
      <c r="K118">
        <f t="shared" si="2"/>
        <v>10.7</v>
      </c>
      <c r="L118">
        <f>K118+energy_grid_portfolio_dataset!H118</f>
        <v>4010.7</v>
      </c>
      <c r="M118">
        <f t="shared" si="3"/>
        <v>20</v>
      </c>
    </row>
    <row r="119" spans="1:13" x14ac:dyDescent="0.3">
      <c r="A119" s="1">
        <v>46270.875</v>
      </c>
      <c r="B119" t="s">
        <v>10</v>
      </c>
      <c r="C119">
        <v>22.9</v>
      </c>
      <c r="D119">
        <v>19.5</v>
      </c>
      <c r="E119">
        <v>0</v>
      </c>
      <c r="F119">
        <v>0</v>
      </c>
      <c r="G119">
        <v>0</v>
      </c>
      <c r="H119">
        <v>4000</v>
      </c>
      <c r="I119">
        <v>6640.4</v>
      </c>
      <c r="J119">
        <v>1</v>
      </c>
      <c r="K119">
        <f t="shared" si="2"/>
        <v>0</v>
      </c>
      <c r="L119">
        <f>K119+energy_grid_portfolio_dataset!H119</f>
        <v>4000</v>
      </c>
      <c r="M119">
        <f t="shared" si="3"/>
        <v>21</v>
      </c>
    </row>
    <row r="120" spans="1:13" x14ac:dyDescent="0.3">
      <c r="A120" s="1">
        <v>46270.916666666664</v>
      </c>
      <c r="B120" t="s">
        <v>10</v>
      </c>
      <c r="C120">
        <v>24.9</v>
      </c>
      <c r="D120">
        <v>57.9</v>
      </c>
      <c r="E120">
        <v>3.5</v>
      </c>
      <c r="F120">
        <v>0</v>
      </c>
      <c r="G120">
        <v>2.7</v>
      </c>
      <c r="H120">
        <v>4000</v>
      </c>
      <c r="I120">
        <v>4092.7</v>
      </c>
      <c r="J120">
        <v>1</v>
      </c>
      <c r="K120">
        <f t="shared" si="2"/>
        <v>2.7</v>
      </c>
      <c r="L120">
        <f>K120+energy_grid_portfolio_dataset!H120</f>
        <v>4002.7</v>
      </c>
      <c r="M120">
        <f t="shared" si="3"/>
        <v>22</v>
      </c>
    </row>
    <row r="121" spans="1:13" x14ac:dyDescent="0.3">
      <c r="A121" s="1">
        <v>46270.958333333336</v>
      </c>
      <c r="B121" t="s">
        <v>10</v>
      </c>
      <c r="C121">
        <v>22.7</v>
      </c>
      <c r="D121">
        <v>86.6</v>
      </c>
      <c r="E121">
        <v>6.2</v>
      </c>
      <c r="F121">
        <v>0</v>
      </c>
      <c r="G121">
        <v>15.5</v>
      </c>
      <c r="H121">
        <v>4000</v>
      </c>
      <c r="I121">
        <v>4406.5</v>
      </c>
      <c r="J121">
        <v>1</v>
      </c>
      <c r="K121">
        <f t="shared" si="2"/>
        <v>15.5</v>
      </c>
      <c r="L121">
        <f>K121+energy_grid_portfolio_dataset!H121</f>
        <v>4015.5</v>
      </c>
      <c r="M121">
        <f t="shared" si="3"/>
        <v>23</v>
      </c>
    </row>
    <row r="122" spans="1:13" x14ac:dyDescent="0.3">
      <c r="A122" s="1">
        <v>46271</v>
      </c>
      <c r="B122" t="s">
        <v>10</v>
      </c>
      <c r="C122">
        <v>20.6</v>
      </c>
      <c r="D122">
        <v>0</v>
      </c>
      <c r="E122">
        <v>4.4000000000000004</v>
      </c>
      <c r="F122">
        <v>0</v>
      </c>
      <c r="G122">
        <v>5.5</v>
      </c>
      <c r="H122">
        <v>4000</v>
      </c>
      <c r="I122">
        <v>4300.8</v>
      </c>
      <c r="J122">
        <v>1</v>
      </c>
      <c r="K122">
        <f t="shared" si="2"/>
        <v>5.5</v>
      </c>
      <c r="L122">
        <f>K122+energy_grid_portfolio_dataset!H122</f>
        <v>4005.5</v>
      </c>
      <c r="M122">
        <f t="shared" si="3"/>
        <v>0</v>
      </c>
    </row>
    <row r="123" spans="1:13" x14ac:dyDescent="0.3">
      <c r="A123" s="1">
        <v>46271.041666666664</v>
      </c>
      <c r="B123" t="s">
        <v>10</v>
      </c>
      <c r="C123">
        <v>20.100000000000001</v>
      </c>
      <c r="D123">
        <v>12.1</v>
      </c>
      <c r="E123">
        <v>1.8</v>
      </c>
      <c r="F123">
        <v>0</v>
      </c>
      <c r="G123">
        <v>0.4</v>
      </c>
      <c r="H123">
        <v>4000</v>
      </c>
      <c r="I123">
        <v>4206.5</v>
      </c>
      <c r="J123">
        <v>1</v>
      </c>
      <c r="K123">
        <f t="shared" si="2"/>
        <v>0.4</v>
      </c>
      <c r="L123">
        <f>K123+energy_grid_portfolio_dataset!H123</f>
        <v>4000.4</v>
      </c>
      <c r="M123">
        <f t="shared" si="3"/>
        <v>1</v>
      </c>
    </row>
    <row r="124" spans="1:13" x14ac:dyDescent="0.3">
      <c r="A124" s="1">
        <v>46271.083333333336</v>
      </c>
      <c r="B124" t="s">
        <v>10</v>
      </c>
      <c r="C124">
        <v>24.1</v>
      </c>
      <c r="D124">
        <v>24.8</v>
      </c>
      <c r="E124">
        <v>7</v>
      </c>
      <c r="F124">
        <v>0</v>
      </c>
      <c r="G124">
        <v>21.6</v>
      </c>
      <c r="H124">
        <v>4000</v>
      </c>
      <c r="I124">
        <v>4573.1000000000004</v>
      </c>
      <c r="J124">
        <v>1</v>
      </c>
      <c r="K124">
        <f t="shared" si="2"/>
        <v>21.6</v>
      </c>
      <c r="L124">
        <f>K124+energy_grid_portfolio_dataset!H124</f>
        <v>4021.6</v>
      </c>
      <c r="M124">
        <f t="shared" si="3"/>
        <v>2</v>
      </c>
    </row>
    <row r="125" spans="1:13" x14ac:dyDescent="0.3">
      <c r="A125" s="1">
        <v>46271.125</v>
      </c>
      <c r="B125" t="s">
        <v>10</v>
      </c>
      <c r="C125">
        <v>22.5</v>
      </c>
      <c r="D125">
        <v>55.5</v>
      </c>
      <c r="E125">
        <v>5.0999999999999996</v>
      </c>
      <c r="F125">
        <v>0</v>
      </c>
      <c r="G125">
        <v>8.4</v>
      </c>
      <c r="H125">
        <v>4000</v>
      </c>
      <c r="I125">
        <v>4331.6000000000004</v>
      </c>
      <c r="J125">
        <v>1</v>
      </c>
      <c r="K125">
        <f t="shared" si="2"/>
        <v>8.4</v>
      </c>
      <c r="L125">
        <f>K125+energy_grid_portfolio_dataset!H125</f>
        <v>4008.4</v>
      </c>
      <c r="M125">
        <f t="shared" si="3"/>
        <v>3</v>
      </c>
    </row>
    <row r="126" spans="1:13" x14ac:dyDescent="0.3">
      <c r="A126" s="1">
        <v>46271.166666666664</v>
      </c>
      <c r="B126" t="s">
        <v>10</v>
      </c>
      <c r="C126">
        <v>24.7</v>
      </c>
      <c r="D126">
        <v>7.5</v>
      </c>
      <c r="E126">
        <v>1.2</v>
      </c>
      <c r="F126">
        <v>0</v>
      </c>
      <c r="G126">
        <v>0.1</v>
      </c>
      <c r="H126">
        <v>4000</v>
      </c>
      <c r="I126">
        <v>4164.3999999999996</v>
      </c>
      <c r="J126">
        <v>1</v>
      </c>
      <c r="K126">
        <f t="shared" si="2"/>
        <v>0.1</v>
      </c>
      <c r="L126">
        <f>K126+energy_grid_portfolio_dataset!H126</f>
        <v>4000.1</v>
      </c>
      <c r="M126">
        <f t="shared" si="3"/>
        <v>4</v>
      </c>
    </row>
    <row r="127" spans="1:13" x14ac:dyDescent="0.3">
      <c r="A127" s="1">
        <v>46271.208333333336</v>
      </c>
      <c r="B127" t="s">
        <v>10</v>
      </c>
      <c r="C127">
        <v>29.3</v>
      </c>
      <c r="D127">
        <v>0</v>
      </c>
      <c r="E127">
        <v>5.0999999999999996</v>
      </c>
      <c r="F127">
        <v>0</v>
      </c>
      <c r="G127">
        <v>8.6</v>
      </c>
      <c r="H127">
        <v>4000</v>
      </c>
      <c r="I127">
        <v>4458.8999999999996</v>
      </c>
      <c r="J127">
        <v>1</v>
      </c>
      <c r="K127">
        <f t="shared" si="2"/>
        <v>8.6</v>
      </c>
      <c r="L127">
        <f>K127+energy_grid_portfolio_dataset!H127</f>
        <v>4008.6</v>
      </c>
      <c r="M127">
        <f t="shared" si="3"/>
        <v>5</v>
      </c>
    </row>
    <row r="128" spans="1:13" x14ac:dyDescent="0.3">
      <c r="A128" s="1">
        <v>46271.25</v>
      </c>
      <c r="B128" t="s">
        <v>10</v>
      </c>
      <c r="C128">
        <v>27.3</v>
      </c>
      <c r="D128">
        <v>13.2</v>
      </c>
      <c r="E128">
        <v>2.2999999999999998</v>
      </c>
      <c r="F128">
        <v>606.1</v>
      </c>
      <c r="G128">
        <v>0.8</v>
      </c>
      <c r="H128">
        <v>3615.5</v>
      </c>
      <c r="I128">
        <v>4222.3999999999996</v>
      </c>
      <c r="J128">
        <v>0</v>
      </c>
      <c r="K128">
        <f t="shared" si="2"/>
        <v>606.9</v>
      </c>
      <c r="L128">
        <f>K128+energy_grid_portfolio_dataset!H128</f>
        <v>4222.3999999999996</v>
      </c>
      <c r="M128">
        <f t="shared" si="3"/>
        <v>6</v>
      </c>
    </row>
    <row r="129" spans="1:13" x14ac:dyDescent="0.3">
      <c r="A129" s="1">
        <v>46271.291666666664</v>
      </c>
      <c r="B129" t="s">
        <v>10</v>
      </c>
      <c r="C129">
        <v>28.3</v>
      </c>
      <c r="D129">
        <v>30.4</v>
      </c>
      <c r="E129">
        <v>3.9</v>
      </c>
      <c r="F129">
        <v>1024.5999999999999</v>
      </c>
      <c r="G129">
        <v>3.8</v>
      </c>
      <c r="H129">
        <v>3298.9</v>
      </c>
      <c r="I129">
        <v>4327.3</v>
      </c>
      <c r="J129">
        <v>0</v>
      </c>
      <c r="K129">
        <f t="shared" si="2"/>
        <v>1028.3999999999999</v>
      </c>
      <c r="L129">
        <f>K129+energy_grid_portfolio_dataset!H129</f>
        <v>4327.3</v>
      </c>
      <c r="M129">
        <f t="shared" si="3"/>
        <v>7</v>
      </c>
    </row>
    <row r="130" spans="1:13" x14ac:dyDescent="0.3">
      <c r="A130" s="1">
        <v>46271.333333333336</v>
      </c>
      <c r="B130" t="s">
        <v>10</v>
      </c>
      <c r="C130">
        <v>29.6</v>
      </c>
      <c r="D130">
        <v>13.5</v>
      </c>
      <c r="E130">
        <v>5.5</v>
      </c>
      <c r="F130">
        <v>1694.2</v>
      </c>
      <c r="G130">
        <v>10.7</v>
      </c>
      <c r="H130">
        <v>2579.3000000000002</v>
      </c>
      <c r="I130">
        <v>4284.2</v>
      </c>
      <c r="J130">
        <v>0</v>
      </c>
      <c r="K130">
        <f t="shared" si="2"/>
        <v>1704.9</v>
      </c>
      <c r="L130">
        <f>K130+energy_grid_portfolio_dataset!H130</f>
        <v>4284.2000000000007</v>
      </c>
      <c r="M130">
        <f t="shared" si="3"/>
        <v>8</v>
      </c>
    </row>
    <row r="131" spans="1:13" x14ac:dyDescent="0.3">
      <c r="A131" s="1">
        <v>46271.375</v>
      </c>
      <c r="B131" t="s">
        <v>10</v>
      </c>
      <c r="C131">
        <v>30.8</v>
      </c>
      <c r="D131">
        <v>27</v>
      </c>
      <c r="E131">
        <v>5.5</v>
      </c>
      <c r="F131">
        <v>1902.4</v>
      </c>
      <c r="G131">
        <v>10.7</v>
      </c>
      <c r="H131">
        <v>2482</v>
      </c>
      <c r="I131">
        <v>4395.1000000000004</v>
      </c>
      <c r="J131">
        <v>0</v>
      </c>
      <c r="K131">
        <f t="shared" ref="K131:K194" si="4">F131+G131</f>
        <v>1913.1000000000001</v>
      </c>
      <c r="L131">
        <f>K131+energy_grid_portfolio_dataset!H131</f>
        <v>4395.1000000000004</v>
      </c>
      <c r="M131">
        <f t="shared" ref="M131:M194" si="5">HOUR(A131)</f>
        <v>9</v>
      </c>
    </row>
    <row r="132" spans="1:13" x14ac:dyDescent="0.3">
      <c r="A132" s="1">
        <v>46271.416666666664</v>
      </c>
      <c r="B132" t="s">
        <v>10</v>
      </c>
      <c r="C132">
        <v>34</v>
      </c>
      <c r="D132">
        <v>11.7</v>
      </c>
      <c r="E132">
        <v>5.0999999999999996</v>
      </c>
      <c r="F132">
        <v>2480.6</v>
      </c>
      <c r="G132">
        <v>8.6999999999999993</v>
      </c>
      <c r="H132">
        <v>3500.3</v>
      </c>
      <c r="I132">
        <v>5989.6</v>
      </c>
      <c r="J132">
        <v>0</v>
      </c>
      <c r="K132">
        <f t="shared" si="4"/>
        <v>2489.2999999999997</v>
      </c>
      <c r="L132">
        <f>K132+energy_grid_portfolio_dataset!H132</f>
        <v>5989.6</v>
      </c>
      <c r="M132">
        <f t="shared" si="5"/>
        <v>10</v>
      </c>
    </row>
    <row r="133" spans="1:13" x14ac:dyDescent="0.3">
      <c r="A133" s="1">
        <v>46271.458333333336</v>
      </c>
      <c r="B133" t="s">
        <v>10</v>
      </c>
      <c r="C133">
        <v>31.1</v>
      </c>
      <c r="D133">
        <v>0</v>
      </c>
      <c r="E133">
        <v>4.0999999999999996</v>
      </c>
      <c r="F133">
        <v>2924.8</v>
      </c>
      <c r="G133">
        <v>4.4000000000000004</v>
      </c>
      <c r="H133">
        <v>3196.3</v>
      </c>
      <c r="I133">
        <v>6125.5</v>
      </c>
      <c r="J133">
        <v>0</v>
      </c>
      <c r="K133">
        <f t="shared" si="4"/>
        <v>2929.2000000000003</v>
      </c>
      <c r="L133">
        <f>K133+energy_grid_portfolio_dataset!H133</f>
        <v>6125.5</v>
      </c>
      <c r="M133">
        <f t="shared" si="5"/>
        <v>11</v>
      </c>
    </row>
    <row r="134" spans="1:13" x14ac:dyDescent="0.3">
      <c r="A134" s="1">
        <v>46271.5</v>
      </c>
      <c r="B134" t="s">
        <v>10</v>
      </c>
      <c r="C134">
        <v>32.6</v>
      </c>
      <c r="D134">
        <v>37.799999999999997</v>
      </c>
      <c r="E134">
        <v>0.7</v>
      </c>
      <c r="F134">
        <v>2206.8000000000002</v>
      </c>
      <c r="G134">
        <v>0</v>
      </c>
      <c r="H134">
        <v>4000</v>
      </c>
      <c r="I134">
        <v>6279</v>
      </c>
      <c r="J134">
        <v>1</v>
      </c>
      <c r="K134">
        <f t="shared" si="4"/>
        <v>2206.8000000000002</v>
      </c>
      <c r="L134">
        <f>K134+energy_grid_portfolio_dataset!H134</f>
        <v>6206.8</v>
      </c>
      <c r="M134">
        <f t="shared" si="5"/>
        <v>12</v>
      </c>
    </row>
    <row r="135" spans="1:13" x14ac:dyDescent="0.3">
      <c r="A135" s="1">
        <v>46271.541666666664</v>
      </c>
      <c r="B135" t="s">
        <v>10</v>
      </c>
      <c r="C135">
        <v>32</v>
      </c>
      <c r="D135">
        <v>12</v>
      </c>
      <c r="E135">
        <v>4.0999999999999996</v>
      </c>
      <c r="F135">
        <v>2679.9</v>
      </c>
      <c r="G135">
        <v>4.4000000000000004</v>
      </c>
      <c r="H135">
        <v>3545.8</v>
      </c>
      <c r="I135">
        <v>6230.1</v>
      </c>
      <c r="J135">
        <v>0</v>
      </c>
      <c r="K135">
        <f t="shared" si="4"/>
        <v>2684.3</v>
      </c>
      <c r="L135">
        <f>K135+energy_grid_portfolio_dataset!H135</f>
        <v>6230.1</v>
      </c>
      <c r="M135">
        <f t="shared" si="5"/>
        <v>13</v>
      </c>
    </row>
    <row r="136" spans="1:13" x14ac:dyDescent="0.3">
      <c r="A136" s="1">
        <v>46271.583333333336</v>
      </c>
      <c r="B136" t="s">
        <v>10</v>
      </c>
      <c r="C136">
        <v>32.6</v>
      </c>
      <c r="D136">
        <v>45.1</v>
      </c>
      <c r="E136">
        <v>2.8</v>
      </c>
      <c r="F136">
        <v>1849.1</v>
      </c>
      <c r="G136">
        <v>1.5</v>
      </c>
      <c r="H136">
        <v>4000</v>
      </c>
      <c r="I136">
        <v>6110.9</v>
      </c>
      <c r="J136">
        <v>1</v>
      </c>
      <c r="K136">
        <f t="shared" si="4"/>
        <v>1850.6</v>
      </c>
      <c r="L136">
        <f>K136+energy_grid_portfolio_dataset!H136</f>
        <v>5850.6</v>
      </c>
      <c r="M136">
        <f t="shared" si="5"/>
        <v>14</v>
      </c>
    </row>
    <row r="137" spans="1:13" x14ac:dyDescent="0.3">
      <c r="A137" s="1">
        <v>46271.625</v>
      </c>
      <c r="B137" t="s">
        <v>10</v>
      </c>
      <c r="C137">
        <v>30.5</v>
      </c>
      <c r="D137">
        <v>35.6</v>
      </c>
      <c r="E137">
        <v>6.9</v>
      </c>
      <c r="F137">
        <v>1761.1</v>
      </c>
      <c r="G137">
        <v>20.9</v>
      </c>
      <c r="H137">
        <v>2663.4</v>
      </c>
      <c r="I137">
        <v>4445.3999999999996</v>
      </c>
      <c r="J137">
        <v>0</v>
      </c>
      <c r="K137">
        <f t="shared" si="4"/>
        <v>1782</v>
      </c>
      <c r="L137">
        <f>K137+energy_grid_portfolio_dataset!H137</f>
        <v>4445.3999999999996</v>
      </c>
      <c r="M137">
        <f t="shared" si="5"/>
        <v>15</v>
      </c>
    </row>
    <row r="138" spans="1:13" x14ac:dyDescent="0.3">
      <c r="A138" s="1">
        <v>46271.666666666664</v>
      </c>
      <c r="B138" t="s">
        <v>10</v>
      </c>
      <c r="C138">
        <v>29.8</v>
      </c>
      <c r="D138">
        <v>36.5</v>
      </c>
      <c r="E138">
        <v>3.6</v>
      </c>
      <c r="F138">
        <v>1392</v>
      </c>
      <c r="G138">
        <v>3</v>
      </c>
      <c r="H138">
        <v>2554.3000000000002</v>
      </c>
      <c r="I138">
        <v>3949.3</v>
      </c>
      <c r="J138">
        <v>0</v>
      </c>
      <c r="K138">
        <f t="shared" si="4"/>
        <v>1395</v>
      </c>
      <c r="L138">
        <f>K138+energy_grid_portfolio_dataset!H138</f>
        <v>3949.3</v>
      </c>
      <c r="M138">
        <f t="shared" si="5"/>
        <v>16</v>
      </c>
    </row>
    <row r="139" spans="1:13" x14ac:dyDescent="0.3">
      <c r="A139" s="1">
        <v>46271.708333333336</v>
      </c>
      <c r="B139" t="s">
        <v>10</v>
      </c>
      <c r="C139">
        <v>28.6</v>
      </c>
      <c r="D139">
        <v>26.7</v>
      </c>
      <c r="E139">
        <v>3.7</v>
      </c>
      <c r="F139">
        <v>1058.0999999999999</v>
      </c>
      <c r="G139">
        <v>3.2</v>
      </c>
      <c r="H139">
        <v>3314.4</v>
      </c>
      <c r="I139">
        <v>4375.7</v>
      </c>
      <c r="J139">
        <v>0</v>
      </c>
      <c r="K139">
        <f t="shared" si="4"/>
        <v>1061.3</v>
      </c>
      <c r="L139">
        <f>K139+energy_grid_portfolio_dataset!H139</f>
        <v>4375.7</v>
      </c>
      <c r="M139">
        <f t="shared" si="5"/>
        <v>17</v>
      </c>
    </row>
    <row r="140" spans="1:13" x14ac:dyDescent="0.3">
      <c r="A140" s="1">
        <v>46271.75</v>
      </c>
      <c r="B140" t="s">
        <v>10</v>
      </c>
      <c r="C140">
        <v>28.4</v>
      </c>
      <c r="D140">
        <v>31.8</v>
      </c>
      <c r="E140">
        <v>3.2</v>
      </c>
      <c r="F140">
        <v>519.20000000000005</v>
      </c>
      <c r="G140">
        <v>2.1</v>
      </c>
      <c r="H140">
        <v>4000</v>
      </c>
      <c r="I140">
        <v>6895.2</v>
      </c>
      <c r="J140">
        <v>1</v>
      </c>
      <c r="K140">
        <f t="shared" si="4"/>
        <v>521.30000000000007</v>
      </c>
      <c r="L140">
        <f>K140+energy_grid_portfolio_dataset!H140</f>
        <v>4521.3</v>
      </c>
      <c r="M140">
        <f t="shared" si="5"/>
        <v>18</v>
      </c>
    </row>
    <row r="141" spans="1:13" x14ac:dyDescent="0.3">
      <c r="A141" s="1">
        <v>46271.791666666664</v>
      </c>
      <c r="B141" t="s">
        <v>10</v>
      </c>
      <c r="C141">
        <v>25.8</v>
      </c>
      <c r="D141">
        <v>32.9</v>
      </c>
      <c r="E141">
        <v>3.2</v>
      </c>
      <c r="F141">
        <v>0</v>
      </c>
      <c r="G141">
        <v>2</v>
      </c>
      <c r="H141">
        <v>4000</v>
      </c>
      <c r="I141">
        <v>6646.9</v>
      </c>
      <c r="J141">
        <v>1</v>
      </c>
      <c r="K141">
        <f t="shared" si="4"/>
        <v>2</v>
      </c>
      <c r="L141">
        <f>K141+energy_grid_portfolio_dataset!H141</f>
        <v>4002</v>
      </c>
      <c r="M141">
        <f t="shared" si="5"/>
        <v>19</v>
      </c>
    </row>
    <row r="142" spans="1:13" x14ac:dyDescent="0.3">
      <c r="A142" s="1">
        <v>46271.833333333336</v>
      </c>
      <c r="B142" t="s">
        <v>10</v>
      </c>
      <c r="C142">
        <v>28.1</v>
      </c>
      <c r="D142">
        <v>42.4</v>
      </c>
      <c r="E142">
        <v>3.3</v>
      </c>
      <c r="F142">
        <v>0</v>
      </c>
      <c r="G142">
        <v>2.4</v>
      </c>
      <c r="H142">
        <v>4000</v>
      </c>
      <c r="I142">
        <v>6763.5</v>
      </c>
      <c r="J142">
        <v>1</v>
      </c>
      <c r="K142">
        <f t="shared" si="4"/>
        <v>2.4</v>
      </c>
      <c r="L142">
        <f>K142+energy_grid_portfolio_dataset!H142</f>
        <v>4002.4</v>
      </c>
      <c r="M142">
        <f t="shared" si="5"/>
        <v>20</v>
      </c>
    </row>
    <row r="143" spans="1:13" x14ac:dyDescent="0.3">
      <c r="A143" s="1">
        <v>46271.875</v>
      </c>
      <c r="B143" t="s">
        <v>10</v>
      </c>
      <c r="C143">
        <v>23.1</v>
      </c>
      <c r="D143">
        <v>0</v>
      </c>
      <c r="E143">
        <v>2</v>
      </c>
      <c r="F143">
        <v>0</v>
      </c>
      <c r="G143">
        <v>0.5</v>
      </c>
      <c r="H143">
        <v>4000</v>
      </c>
      <c r="I143">
        <v>6900.2</v>
      </c>
      <c r="J143">
        <v>1</v>
      </c>
      <c r="K143">
        <f t="shared" si="4"/>
        <v>0.5</v>
      </c>
      <c r="L143">
        <f>K143+energy_grid_portfolio_dataset!H143</f>
        <v>4000.5</v>
      </c>
      <c r="M143">
        <f t="shared" si="5"/>
        <v>21</v>
      </c>
    </row>
    <row r="144" spans="1:13" x14ac:dyDescent="0.3">
      <c r="A144" s="1">
        <v>46271.916666666664</v>
      </c>
      <c r="B144" t="s">
        <v>10</v>
      </c>
      <c r="C144">
        <v>22.3</v>
      </c>
      <c r="D144">
        <v>25.4</v>
      </c>
      <c r="E144">
        <v>7.4</v>
      </c>
      <c r="F144">
        <v>0</v>
      </c>
      <c r="G144">
        <v>25.4</v>
      </c>
      <c r="H144">
        <v>4000</v>
      </c>
      <c r="I144">
        <v>4039.4</v>
      </c>
      <c r="J144">
        <v>1</v>
      </c>
      <c r="K144">
        <f t="shared" si="4"/>
        <v>25.4</v>
      </c>
      <c r="L144">
        <f>K144+energy_grid_portfolio_dataset!H144</f>
        <v>4025.4</v>
      </c>
      <c r="M144">
        <f t="shared" si="5"/>
        <v>22</v>
      </c>
    </row>
    <row r="145" spans="1:13" x14ac:dyDescent="0.3">
      <c r="A145" s="1">
        <v>46271.958333333336</v>
      </c>
      <c r="B145" t="s">
        <v>10</v>
      </c>
      <c r="C145">
        <v>21.9</v>
      </c>
      <c r="D145">
        <v>41.6</v>
      </c>
      <c r="E145">
        <v>0</v>
      </c>
      <c r="F145">
        <v>0</v>
      </c>
      <c r="G145">
        <v>0</v>
      </c>
      <c r="H145">
        <v>4000</v>
      </c>
      <c r="I145">
        <v>4369</v>
      </c>
      <c r="J145">
        <v>1</v>
      </c>
      <c r="K145">
        <f t="shared" si="4"/>
        <v>0</v>
      </c>
      <c r="L145">
        <f>K145+energy_grid_portfolio_dataset!H145</f>
        <v>4000</v>
      </c>
      <c r="M145">
        <f t="shared" si="5"/>
        <v>23</v>
      </c>
    </row>
    <row r="146" spans="1:13" x14ac:dyDescent="0.3">
      <c r="A146" s="1">
        <v>46272</v>
      </c>
      <c r="B146" t="s">
        <v>10</v>
      </c>
      <c r="C146">
        <v>23.2</v>
      </c>
      <c r="D146">
        <v>0</v>
      </c>
      <c r="E146">
        <v>6.3</v>
      </c>
      <c r="F146">
        <v>0</v>
      </c>
      <c r="G146">
        <v>15.9</v>
      </c>
      <c r="H146">
        <v>4000</v>
      </c>
      <c r="I146">
        <v>4985.3</v>
      </c>
      <c r="J146">
        <v>1</v>
      </c>
      <c r="K146">
        <f t="shared" si="4"/>
        <v>15.9</v>
      </c>
      <c r="L146">
        <f>K146+energy_grid_portfolio_dataset!H146</f>
        <v>4015.9</v>
      </c>
      <c r="M146">
        <f t="shared" si="5"/>
        <v>0</v>
      </c>
    </row>
    <row r="147" spans="1:13" x14ac:dyDescent="0.3">
      <c r="A147" s="1">
        <v>46272.041666666664</v>
      </c>
      <c r="B147" t="s">
        <v>10</v>
      </c>
      <c r="C147">
        <v>21.6</v>
      </c>
      <c r="D147">
        <v>37.700000000000003</v>
      </c>
      <c r="E147">
        <v>8.5</v>
      </c>
      <c r="F147">
        <v>0</v>
      </c>
      <c r="G147">
        <v>39.9</v>
      </c>
      <c r="H147">
        <v>4000</v>
      </c>
      <c r="I147">
        <v>5000.8</v>
      </c>
      <c r="J147">
        <v>1</v>
      </c>
      <c r="K147">
        <f t="shared" si="4"/>
        <v>39.9</v>
      </c>
      <c r="L147">
        <f>K147+energy_grid_portfolio_dataset!H147</f>
        <v>4039.9</v>
      </c>
      <c r="M147">
        <f t="shared" si="5"/>
        <v>1</v>
      </c>
    </row>
    <row r="148" spans="1:13" x14ac:dyDescent="0.3">
      <c r="A148" s="1">
        <v>46272.083333333336</v>
      </c>
      <c r="B148" t="s">
        <v>10</v>
      </c>
      <c r="C148">
        <v>23.2</v>
      </c>
      <c r="D148">
        <v>15.8</v>
      </c>
      <c r="E148">
        <v>2.2999999999999998</v>
      </c>
      <c r="F148">
        <v>0</v>
      </c>
      <c r="G148">
        <v>0.8</v>
      </c>
      <c r="H148">
        <v>4000</v>
      </c>
      <c r="I148">
        <v>4977.3</v>
      </c>
      <c r="J148">
        <v>1</v>
      </c>
      <c r="K148">
        <f t="shared" si="4"/>
        <v>0.8</v>
      </c>
      <c r="L148">
        <f>K148+energy_grid_portfolio_dataset!H148</f>
        <v>4000.8</v>
      </c>
      <c r="M148">
        <f t="shared" si="5"/>
        <v>2</v>
      </c>
    </row>
    <row r="149" spans="1:13" x14ac:dyDescent="0.3">
      <c r="A149" s="1">
        <v>46272.125</v>
      </c>
      <c r="B149" t="s">
        <v>10</v>
      </c>
      <c r="C149">
        <v>22.5</v>
      </c>
      <c r="D149">
        <v>26.4</v>
      </c>
      <c r="E149">
        <v>3</v>
      </c>
      <c r="F149">
        <v>0</v>
      </c>
      <c r="G149">
        <v>1.8</v>
      </c>
      <c r="H149">
        <v>4000</v>
      </c>
      <c r="I149">
        <v>5074.6000000000004</v>
      </c>
      <c r="J149">
        <v>1</v>
      </c>
      <c r="K149">
        <f t="shared" si="4"/>
        <v>1.8</v>
      </c>
      <c r="L149">
        <f>K149+energy_grid_portfolio_dataset!H149</f>
        <v>4001.8</v>
      </c>
      <c r="M149">
        <f t="shared" si="5"/>
        <v>3</v>
      </c>
    </row>
    <row r="150" spans="1:13" x14ac:dyDescent="0.3">
      <c r="A150" s="1">
        <v>46272.166666666664</v>
      </c>
      <c r="B150" t="s">
        <v>10</v>
      </c>
      <c r="C150">
        <v>25.5</v>
      </c>
      <c r="D150">
        <v>45.8</v>
      </c>
      <c r="E150">
        <v>3</v>
      </c>
      <c r="F150">
        <v>0</v>
      </c>
      <c r="G150">
        <v>1.7</v>
      </c>
      <c r="H150">
        <v>4000</v>
      </c>
      <c r="I150">
        <v>5021.8</v>
      </c>
      <c r="J150">
        <v>1</v>
      </c>
      <c r="K150">
        <f t="shared" si="4"/>
        <v>1.7</v>
      </c>
      <c r="L150">
        <f>K150+energy_grid_portfolio_dataset!H150</f>
        <v>4001.7</v>
      </c>
      <c r="M150">
        <f t="shared" si="5"/>
        <v>4</v>
      </c>
    </row>
    <row r="151" spans="1:13" x14ac:dyDescent="0.3">
      <c r="A151" s="1">
        <v>46272.208333333336</v>
      </c>
      <c r="B151" t="s">
        <v>10</v>
      </c>
      <c r="C151">
        <v>25</v>
      </c>
      <c r="D151">
        <v>16.100000000000001</v>
      </c>
      <c r="E151">
        <v>4.8</v>
      </c>
      <c r="F151">
        <v>0</v>
      </c>
      <c r="G151">
        <v>6.9</v>
      </c>
      <c r="H151">
        <v>4000</v>
      </c>
      <c r="I151">
        <v>4909.5</v>
      </c>
      <c r="J151">
        <v>1</v>
      </c>
      <c r="K151">
        <f t="shared" si="4"/>
        <v>6.9</v>
      </c>
      <c r="L151">
        <f>K151+energy_grid_portfolio_dataset!H151</f>
        <v>4006.9</v>
      </c>
      <c r="M151">
        <f t="shared" si="5"/>
        <v>5</v>
      </c>
    </row>
    <row r="152" spans="1:13" x14ac:dyDescent="0.3">
      <c r="A152" s="1">
        <v>46272.25</v>
      </c>
      <c r="B152" t="s">
        <v>10</v>
      </c>
      <c r="C152">
        <v>26.6</v>
      </c>
      <c r="D152">
        <v>42.4</v>
      </c>
      <c r="E152">
        <v>6.7</v>
      </c>
      <c r="F152">
        <v>469.5</v>
      </c>
      <c r="G152">
        <v>19.3</v>
      </c>
      <c r="H152">
        <v>4000</v>
      </c>
      <c r="I152">
        <v>5063.5</v>
      </c>
      <c r="J152">
        <v>1</v>
      </c>
      <c r="K152">
        <f t="shared" si="4"/>
        <v>488.8</v>
      </c>
      <c r="L152">
        <f>K152+energy_grid_portfolio_dataset!H152</f>
        <v>4488.8</v>
      </c>
      <c r="M152">
        <f t="shared" si="5"/>
        <v>6</v>
      </c>
    </row>
    <row r="153" spans="1:13" x14ac:dyDescent="0.3">
      <c r="A153" s="1">
        <v>46272.291666666664</v>
      </c>
      <c r="B153" t="s">
        <v>10</v>
      </c>
      <c r="C153">
        <v>32.4</v>
      </c>
      <c r="D153">
        <v>9.5</v>
      </c>
      <c r="E153">
        <v>1.5</v>
      </c>
      <c r="F153">
        <v>1214.9000000000001</v>
      </c>
      <c r="G153">
        <v>0.2</v>
      </c>
      <c r="H153">
        <v>3796.9</v>
      </c>
      <c r="I153">
        <v>5012</v>
      </c>
      <c r="J153">
        <v>0</v>
      </c>
      <c r="K153">
        <f t="shared" si="4"/>
        <v>1215.1000000000001</v>
      </c>
      <c r="L153">
        <f>K153+energy_grid_portfolio_dataset!H153</f>
        <v>5012</v>
      </c>
      <c r="M153">
        <f t="shared" si="5"/>
        <v>7</v>
      </c>
    </row>
    <row r="154" spans="1:13" x14ac:dyDescent="0.3">
      <c r="A154" s="1">
        <v>46272.333333333336</v>
      </c>
      <c r="B154" t="s">
        <v>10</v>
      </c>
      <c r="C154">
        <v>33.200000000000003</v>
      </c>
      <c r="D154">
        <v>38.1</v>
      </c>
      <c r="E154">
        <v>3.9</v>
      </c>
      <c r="F154">
        <v>1371.8</v>
      </c>
      <c r="G154">
        <v>3.8</v>
      </c>
      <c r="H154">
        <v>3307.6</v>
      </c>
      <c r="I154">
        <v>4683.2</v>
      </c>
      <c r="J154">
        <v>0</v>
      </c>
      <c r="K154">
        <f t="shared" si="4"/>
        <v>1375.6</v>
      </c>
      <c r="L154">
        <f>K154+energy_grid_portfolio_dataset!H154</f>
        <v>4683.2</v>
      </c>
      <c r="M154">
        <f t="shared" si="5"/>
        <v>8</v>
      </c>
    </row>
    <row r="155" spans="1:13" x14ac:dyDescent="0.3">
      <c r="A155" s="1">
        <v>46272.375</v>
      </c>
      <c r="B155" t="s">
        <v>10</v>
      </c>
      <c r="C155">
        <v>30.6</v>
      </c>
      <c r="D155">
        <v>73.900000000000006</v>
      </c>
      <c r="E155">
        <v>4.3</v>
      </c>
      <c r="F155">
        <v>1131.9000000000001</v>
      </c>
      <c r="G155">
        <v>4.9000000000000004</v>
      </c>
      <c r="H155">
        <v>3855.2</v>
      </c>
      <c r="I155">
        <v>4992</v>
      </c>
      <c r="J155">
        <v>0</v>
      </c>
      <c r="K155">
        <f t="shared" si="4"/>
        <v>1136.8000000000002</v>
      </c>
      <c r="L155">
        <f>K155+energy_grid_portfolio_dataset!H155</f>
        <v>4992</v>
      </c>
      <c r="M155">
        <f t="shared" si="5"/>
        <v>9</v>
      </c>
    </row>
    <row r="156" spans="1:13" x14ac:dyDescent="0.3">
      <c r="A156" s="1">
        <v>46272.416666666664</v>
      </c>
      <c r="B156" t="s">
        <v>10</v>
      </c>
      <c r="C156">
        <v>34.299999999999997</v>
      </c>
      <c r="D156">
        <v>34.6</v>
      </c>
      <c r="E156">
        <v>4.4000000000000004</v>
      </c>
      <c r="F156">
        <v>2047.9</v>
      </c>
      <c r="G156">
        <v>5.6</v>
      </c>
      <c r="H156">
        <v>4000</v>
      </c>
      <c r="I156">
        <v>7166.4</v>
      </c>
      <c r="J156">
        <v>1</v>
      </c>
      <c r="K156">
        <f t="shared" si="4"/>
        <v>2053.5</v>
      </c>
      <c r="L156">
        <f>K156+energy_grid_portfolio_dataset!H156</f>
        <v>6053.5</v>
      </c>
      <c r="M156">
        <f t="shared" si="5"/>
        <v>10</v>
      </c>
    </row>
    <row r="157" spans="1:13" x14ac:dyDescent="0.3">
      <c r="A157" s="1">
        <v>46272.458333333336</v>
      </c>
      <c r="B157" t="s">
        <v>10</v>
      </c>
      <c r="C157">
        <v>34.5</v>
      </c>
      <c r="D157">
        <v>62.6</v>
      </c>
      <c r="E157">
        <v>6.7</v>
      </c>
      <c r="F157">
        <v>1642.3</v>
      </c>
      <c r="G157">
        <v>19.2</v>
      </c>
      <c r="H157">
        <v>4000</v>
      </c>
      <c r="I157">
        <v>7031.4</v>
      </c>
      <c r="J157">
        <v>1</v>
      </c>
      <c r="K157">
        <f t="shared" si="4"/>
        <v>1661.5</v>
      </c>
      <c r="L157">
        <f>K157+energy_grid_portfolio_dataset!H157</f>
        <v>5661.5</v>
      </c>
      <c r="M157">
        <f t="shared" si="5"/>
        <v>11</v>
      </c>
    </row>
    <row r="158" spans="1:13" x14ac:dyDescent="0.3">
      <c r="A158" s="1">
        <v>46272.5</v>
      </c>
      <c r="B158" t="s">
        <v>10</v>
      </c>
      <c r="C158">
        <v>33.200000000000003</v>
      </c>
      <c r="D158">
        <v>5.2</v>
      </c>
      <c r="E158">
        <v>3.7</v>
      </c>
      <c r="F158">
        <v>2890.6</v>
      </c>
      <c r="G158">
        <v>3.4</v>
      </c>
      <c r="H158">
        <v>4000</v>
      </c>
      <c r="I158">
        <v>7389</v>
      </c>
      <c r="J158">
        <v>1</v>
      </c>
      <c r="K158">
        <f t="shared" si="4"/>
        <v>2894</v>
      </c>
      <c r="L158">
        <f>K158+energy_grid_portfolio_dataset!H158</f>
        <v>6894</v>
      </c>
      <c r="M158">
        <f t="shared" si="5"/>
        <v>12</v>
      </c>
    </row>
    <row r="159" spans="1:13" x14ac:dyDescent="0.3">
      <c r="A159" s="1">
        <v>46272.541666666664</v>
      </c>
      <c r="B159" t="s">
        <v>10</v>
      </c>
      <c r="C159">
        <v>35.4</v>
      </c>
      <c r="D159">
        <v>0</v>
      </c>
      <c r="E159">
        <v>7.1</v>
      </c>
      <c r="F159">
        <v>2924.8</v>
      </c>
      <c r="G159">
        <v>22.5</v>
      </c>
      <c r="H159">
        <v>4000</v>
      </c>
      <c r="I159">
        <v>7158.4</v>
      </c>
      <c r="J159">
        <v>1</v>
      </c>
      <c r="K159">
        <f t="shared" si="4"/>
        <v>2947.3</v>
      </c>
      <c r="L159">
        <f>K159+energy_grid_portfolio_dataset!H159</f>
        <v>6947.3</v>
      </c>
      <c r="M159">
        <f t="shared" si="5"/>
        <v>13</v>
      </c>
    </row>
    <row r="160" spans="1:13" x14ac:dyDescent="0.3">
      <c r="A160" s="1">
        <v>46272.583333333336</v>
      </c>
      <c r="B160" t="s">
        <v>10</v>
      </c>
      <c r="C160">
        <v>32.6</v>
      </c>
      <c r="D160">
        <v>4.8</v>
      </c>
      <c r="E160">
        <v>0.7</v>
      </c>
      <c r="F160">
        <v>2612.9</v>
      </c>
      <c r="G160">
        <v>0</v>
      </c>
      <c r="H160">
        <v>4000</v>
      </c>
      <c r="I160">
        <v>7126.3</v>
      </c>
      <c r="J160">
        <v>1</v>
      </c>
      <c r="K160">
        <f t="shared" si="4"/>
        <v>2612.9</v>
      </c>
      <c r="L160">
        <f>K160+energy_grid_portfolio_dataset!H160</f>
        <v>6612.9</v>
      </c>
      <c r="M160">
        <f t="shared" si="5"/>
        <v>14</v>
      </c>
    </row>
    <row r="161" spans="1:13" x14ac:dyDescent="0.3">
      <c r="A161" s="1">
        <v>46272.625</v>
      </c>
      <c r="B161" t="s">
        <v>10</v>
      </c>
      <c r="C161">
        <v>32.4</v>
      </c>
      <c r="D161">
        <v>0</v>
      </c>
      <c r="E161">
        <v>1.4</v>
      </c>
      <c r="F161">
        <v>2345.5</v>
      </c>
      <c r="G161">
        <v>0.2</v>
      </c>
      <c r="H161">
        <v>2727.8</v>
      </c>
      <c r="I161">
        <v>5073.5</v>
      </c>
      <c r="J161">
        <v>0</v>
      </c>
      <c r="K161">
        <f t="shared" si="4"/>
        <v>2345.6999999999998</v>
      </c>
      <c r="L161">
        <f>K161+energy_grid_portfolio_dataset!H161</f>
        <v>5073.5</v>
      </c>
      <c r="M161">
        <f t="shared" si="5"/>
        <v>15</v>
      </c>
    </row>
    <row r="162" spans="1:13" x14ac:dyDescent="0.3">
      <c r="A162" s="1">
        <v>46272.666666666664</v>
      </c>
      <c r="B162" t="s">
        <v>10</v>
      </c>
      <c r="C162">
        <v>33.5</v>
      </c>
      <c r="D162">
        <v>19.8</v>
      </c>
      <c r="E162">
        <v>1</v>
      </c>
      <c r="F162">
        <v>1611.1</v>
      </c>
      <c r="G162">
        <v>0.1</v>
      </c>
      <c r="H162">
        <v>3288.4</v>
      </c>
      <c r="I162">
        <v>4899.6000000000004</v>
      </c>
      <c r="J162">
        <v>0</v>
      </c>
      <c r="K162">
        <f t="shared" si="4"/>
        <v>1611.1999999999998</v>
      </c>
      <c r="L162">
        <f>K162+energy_grid_portfolio_dataset!H162</f>
        <v>4899.6000000000004</v>
      </c>
      <c r="M162">
        <f t="shared" si="5"/>
        <v>16</v>
      </c>
    </row>
    <row r="163" spans="1:13" x14ac:dyDescent="0.3">
      <c r="A163" s="1">
        <v>46272.708333333336</v>
      </c>
      <c r="B163" t="s">
        <v>10</v>
      </c>
      <c r="C163">
        <v>29.1</v>
      </c>
      <c r="D163">
        <v>0</v>
      </c>
      <c r="E163">
        <v>3.9</v>
      </c>
      <c r="F163">
        <v>1301.7</v>
      </c>
      <c r="G163">
        <v>3.8</v>
      </c>
      <c r="H163">
        <v>3607.6</v>
      </c>
      <c r="I163">
        <v>4913.1000000000004</v>
      </c>
      <c r="J163">
        <v>0</v>
      </c>
      <c r="K163">
        <f t="shared" si="4"/>
        <v>1305.5</v>
      </c>
      <c r="L163">
        <f>K163+energy_grid_portfolio_dataset!H163</f>
        <v>4913.1000000000004</v>
      </c>
      <c r="M163">
        <f t="shared" si="5"/>
        <v>17</v>
      </c>
    </row>
    <row r="164" spans="1:13" x14ac:dyDescent="0.3">
      <c r="A164" s="1">
        <v>46272.75</v>
      </c>
      <c r="B164" t="s">
        <v>10</v>
      </c>
      <c r="C164">
        <v>29</v>
      </c>
      <c r="D164">
        <v>62</v>
      </c>
      <c r="E164">
        <v>6.3</v>
      </c>
      <c r="F164">
        <v>377.9</v>
      </c>
      <c r="G164">
        <v>15.6</v>
      </c>
      <c r="H164">
        <v>4000</v>
      </c>
      <c r="I164">
        <v>7665.4</v>
      </c>
      <c r="J164">
        <v>1</v>
      </c>
      <c r="K164">
        <f t="shared" si="4"/>
        <v>393.5</v>
      </c>
      <c r="L164">
        <f>K164+energy_grid_portfolio_dataset!H164</f>
        <v>4393.5</v>
      </c>
      <c r="M164">
        <f t="shared" si="5"/>
        <v>18</v>
      </c>
    </row>
    <row r="165" spans="1:13" x14ac:dyDescent="0.3">
      <c r="A165" s="1">
        <v>46272.791666666664</v>
      </c>
      <c r="B165" t="s">
        <v>10</v>
      </c>
      <c r="C165">
        <v>24.8</v>
      </c>
      <c r="D165">
        <v>76.5</v>
      </c>
      <c r="E165">
        <v>4.0999999999999996</v>
      </c>
      <c r="F165">
        <v>0</v>
      </c>
      <c r="G165">
        <v>4.5</v>
      </c>
      <c r="H165">
        <v>4000</v>
      </c>
      <c r="I165">
        <v>7659.7</v>
      </c>
      <c r="J165">
        <v>1</v>
      </c>
      <c r="K165">
        <f t="shared" si="4"/>
        <v>4.5</v>
      </c>
      <c r="L165">
        <f>K165+energy_grid_portfolio_dataset!H165</f>
        <v>4004.5</v>
      </c>
      <c r="M165">
        <f t="shared" si="5"/>
        <v>19</v>
      </c>
    </row>
    <row r="166" spans="1:13" x14ac:dyDescent="0.3">
      <c r="A166" s="1">
        <v>46272.833333333336</v>
      </c>
      <c r="B166" t="s">
        <v>10</v>
      </c>
      <c r="C166">
        <v>25</v>
      </c>
      <c r="D166">
        <v>29</v>
      </c>
      <c r="E166">
        <v>3.7</v>
      </c>
      <c r="F166">
        <v>0</v>
      </c>
      <c r="G166">
        <v>3.3</v>
      </c>
      <c r="H166">
        <v>4000</v>
      </c>
      <c r="I166">
        <v>7702.1</v>
      </c>
      <c r="J166">
        <v>1</v>
      </c>
      <c r="K166">
        <f t="shared" si="4"/>
        <v>3.3</v>
      </c>
      <c r="L166">
        <f>K166+energy_grid_portfolio_dataset!H166</f>
        <v>4003.3</v>
      </c>
      <c r="M166">
        <f t="shared" si="5"/>
        <v>20</v>
      </c>
    </row>
    <row r="167" spans="1:13" x14ac:dyDescent="0.3">
      <c r="A167" s="1">
        <v>46272.875</v>
      </c>
      <c r="B167" t="s">
        <v>10</v>
      </c>
      <c r="C167">
        <v>22.9</v>
      </c>
      <c r="D167">
        <v>24.3</v>
      </c>
      <c r="E167">
        <v>2.9</v>
      </c>
      <c r="F167">
        <v>0</v>
      </c>
      <c r="G167">
        <v>1.6</v>
      </c>
      <c r="H167">
        <v>4000</v>
      </c>
      <c r="I167">
        <v>7614</v>
      </c>
      <c r="J167">
        <v>1</v>
      </c>
      <c r="K167">
        <f t="shared" si="4"/>
        <v>1.6</v>
      </c>
      <c r="L167">
        <f>K167+energy_grid_portfolio_dataset!H167</f>
        <v>4001.6</v>
      </c>
      <c r="M167">
        <f t="shared" si="5"/>
        <v>21</v>
      </c>
    </row>
    <row r="168" spans="1:13" x14ac:dyDescent="0.3">
      <c r="A168" s="1">
        <v>46272.916666666664</v>
      </c>
      <c r="B168" t="s">
        <v>10</v>
      </c>
      <c r="C168">
        <v>23</v>
      </c>
      <c r="D168">
        <v>19.899999999999999</v>
      </c>
      <c r="E168">
        <v>7</v>
      </c>
      <c r="F168">
        <v>0</v>
      </c>
      <c r="G168">
        <v>22</v>
      </c>
      <c r="H168">
        <v>4000</v>
      </c>
      <c r="I168">
        <v>4843.1000000000004</v>
      </c>
      <c r="J168">
        <v>1</v>
      </c>
      <c r="K168">
        <f t="shared" si="4"/>
        <v>22</v>
      </c>
      <c r="L168">
        <f>K168+energy_grid_portfolio_dataset!H168</f>
        <v>4022</v>
      </c>
      <c r="M168">
        <f t="shared" si="5"/>
        <v>22</v>
      </c>
    </row>
    <row r="169" spans="1:13" x14ac:dyDescent="0.3">
      <c r="A169" s="1">
        <v>46272.958333333336</v>
      </c>
      <c r="B169" t="s">
        <v>10</v>
      </c>
      <c r="C169">
        <v>23.8</v>
      </c>
      <c r="D169">
        <v>49.9</v>
      </c>
      <c r="E169">
        <v>0</v>
      </c>
      <c r="F169">
        <v>0</v>
      </c>
      <c r="G169">
        <v>0</v>
      </c>
      <c r="H169">
        <v>4000</v>
      </c>
      <c r="I169">
        <v>4552.3999999999996</v>
      </c>
      <c r="J169">
        <v>1</v>
      </c>
      <c r="K169">
        <f t="shared" si="4"/>
        <v>0</v>
      </c>
      <c r="L169">
        <f>K169+energy_grid_portfolio_dataset!H169</f>
        <v>4000</v>
      </c>
      <c r="M169">
        <f t="shared" si="5"/>
        <v>23</v>
      </c>
    </row>
    <row r="170" spans="1:13" x14ac:dyDescent="0.3">
      <c r="A170" s="1">
        <v>46273</v>
      </c>
      <c r="B170" t="s">
        <v>10</v>
      </c>
      <c r="C170">
        <v>21.4</v>
      </c>
      <c r="D170">
        <v>0</v>
      </c>
      <c r="E170">
        <v>2.4</v>
      </c>
      <c r="F170">
        <v>0</v>
      </c>
      <c r="G170">
        <v>0.9</v>
      </c>
      <c r="H170">
        <v>4000</v>
      </c>
      <c r="I170">
        <v>4898.6000000000004</v>
      </c>
      <c r="J170">
        <v>1</v>
      </c>
      <c r="K170">
        <f t="shared" si="4"/>
        <v>0.9</v>
      </c>
      <c r="L170">
        <f>K170+energy_grid_portfolio_dataset!H170</f>
        <v>4000.9</v>
      </c>
      <c r="M170">
        <f t="shared" si="5"/>
        <v>0</v>
      </c>
    </row>
    <row r="171" spans="1:13" x14ac:dyDescent="0.3">
      <c r="A171" s="1">
        <v>46273.041666666664</v>
      </c>
      <c r="B171" t="s">
        <v>10</v>
      </c>
      <c r="C171">
        <v>24.8</v>
      </c>
      <c r="D171">
        <v>43.7</v>
      </c>
      <c r="E171">
        <v>6.5</v>
      </c>
      <c r="F171">
        <v>0</v>
      </c>
      <c r="G171">
        <v>17.899999999999999</v>
      </c>
      <c r="H171">
        <v>4000</v>
      </c>
      <c r="I171">
        <v>4783.3999999999996</v>
      </c>
      <c r="J171">
        <v>1</v>
      </c>
      <c r="K171">
        <f t="shared" si="4"/>
        <v>17.899999999999999</v>
      </c>
      <c r="L171">
        <f>K171+energy_grid_portfolio_dataset!H171</f>
        <v>4017.9</v>
      </c>
      <c r="M171">
        <f t="shared" si="5"/>
        <v>1</v>
      </c>
    </row>
    <row r="172" spans="1:13" x14ac:dyDescent="0.3">
      <c r="A172" s="1">
        <v>46273.083333333336</v>
      </c>
      <c r="B172" t="s">
        <v>10</v>
      </c>
      <c r="C172">
        <v>21.1</v>
      </c>
      <c r="D172">
        <v>14.5</v>
      </c>
      <c r="E172">
        <v>5</v>
      </c>
      <c r="F172">
        <v>0</v>
      </c>
      <c r="G172">
        <v>7.9</v>
      </c>
      <c r="H172">
        <v>4000</v>
      </c>
      <c r="I172">
        <v>5058.3</v>
      </c>
      <c r="J172">
        <v>1</v>
      </c>
      <c r="K172">
        <f t="shared" si="4"/>
        <v>7.9</v>
      </c>
      <c r="L172">
        <f>K172+energy_grid_portfolio_dataset!H172</f>
        <v>4007.9</v>
      </c>
      <c r="M172">
        <f t="shared" si="5"/>
        <v>2</v>
      </c>
    </row>
    <row r="173" spans="1:13" x14ac:dyDescent="0.3">
      <c r="A173" s="1">
        <v>46273.125</v>
      </c>
      <c r="B173" t="s">
        <v>10</v>
      </c>
      <c r="C173">
        <v>24.8</v>
      </c>
      <c r="D173">
        <v>20.2</v>
      </c>
      <c r="E173">
        <v>3.3</v>
      </c>
      <c r="F173">
        <v>0</v>
      </c>
      <c r="G173">
        <v>2.2000000000000002</v>
      </c>
      <c r="H173">
        <v>4000</v>
      </c>
      <c r="I173">
        <v>4766.7</v>
      </c>
      <c r="J173">
        <v>1</v>
      </c>
      <c r="K173">
        <f t="shared" si="4"/>
        <v>2.2000000000000002</v>
      </c>
      <c r="L173">
        <f>K173+energy_grid_portfolio_dataset!H173</f>
        <v>4002.2</v>
      </c>
      <c r="M173">
        <f t="shared" si="5"/>
        <v>3</v>
      </c>
    </row>
    <row r="174" spans="1:13" x14ac:dyDescent="0.3">
      <c r="A174" s="1">
        <v>46273.166666666664</v>
      </c>
      <c r="B174" t="s">
        <v>10</v>
      </c>
      <c r="C174">
        <v>25.7</v>
      </c>
      <c r="D174">
        <v>17.8</v>
      </c>
      <c r="E174">
        <v>6.3</v>
      </c>
      <c r="F174">
        <v>0</v>
      </c>
      <c r="G174">
        <v>16.100000000000001</v>
      </c>
      <c r="H174">
        <v>4000</v>
      </c>
      <c r="I174">
        <v>5056.6000000000004</v>
      </c>
      <c r="J174">
        <v>1</v>
      </c>
      <c r="K174">
        <f t="shared" si="4"/>
        <v>16.100000000000001</v>
      </c>
      <c r="L174">
        <f>K174+energy_grid_portfolio_dataset!H174</f>
        <v>4016.1</v>
      </c>
      <c r="M174">
        <f t="shared" si="5"/>
        <v>4</v>
      </c>
    </row>
    <row r="175" spans="1:13" x14ac:dyDescent="0.3">
      <c r="A175" s="1">
        <v>46273.208333333336</v>
      </c>
      <c r="B175" t="s">
        <v>10</v>
      </c>
      <c r="C175">
        <v>27.4</v>
      </c>
      <c r="D175">
        <v>36.9</v>
      </c>
      <c r="E175">
        <v>3.4</v>
      </c>
      <c r="F175">
        <v>0</v>
      </c>
      <c r="G175">
        <v>2.5</v>
      </c>
      <c r="H175">
        <v>4000</v>
      </c>
      <c r="I175">
        <v>4787.8</v>
      </c>
      <c r="J175">
        <v>1</v>
      </c>
      <c r="K175">
        <f t="shared" si="4"/>
        <v>2.5</v>
      </c>
      <c r="L175">
        <f>K175+energy_grid_portfolio_dataset!H175</f>
        <v>4002.5</v>
      </c>
      <c r="M175">
        <f t="shared" si="5"/>
        <v>5</v>
      </c>
    </row>
    <row r="176" spans="1:13" x14ac:dyDescent="0.3">
      <c r="A176" s="1">
        <v>46273.25</v>
      </c>
      <c r="B176" t="s">
        <v>10</v>
      </c>
      <c r="C176">
        <v>26.1</v>
      </c>
      <c r="D176">
        <v>43.5</v>
      </c>
      <c r="E176">
        <v>3.6</v>
      </c>
      <c r="F176">
        <v>464.4</v>
      </c>
      <c r="G176">
        <v>3.1</v>
      </c>
      <c r="H176">
        <v>4000</v>
      </c>
      <c r="I176">
        <v>4998.8999999999996</v>
      </c>
      <c r="J176">
        <v>1</v>
      </c>
      <c r="K176">
        <f t="shared" si="4"/>
        <v>467.5</v>
      </c>
      <c r="L176">
        <f>K176+energy_grid_portfolio_dataset!H176</f>
        <v>4467.5</v>
      </c>
      <c r="M176">
        <f t="shared" si="5"/>
        <v>6</v>
      </c>
    </row>
    <row r="177" spans="1:13" x14ac:dyDescent="0.3">
      <c r="A177" s="1">
        <v>46273.291666666664</v>
      </c>
      <c r="B177" t="s">
        <v>10</v>
      </c>
      <c r="C177">
        <v>31.1</v>
      </c>
      <c r="D177">
        <v>10.9</v>
      </c>
      <c r="E177">
        <v>1.2</v>
      </c>
      <c r="F177">
        <v>1202.2</v>
      </c>
      <c r="G177">
        <v>0.1</v>
      </c>
      <c r="H177">
        <v>3669.3</v>
      </c>
      <c r="I177">
        <v>4871.6000000000004</v>
      </c>
      <c r="J177">
        <v>0</v>
      </c>
      <c r="K177">
        <f t="shared" si="4"/>
        <v>1202.3</v>
      </c>
      <c r="L177">
        <f>K177+energy_grid_portfolio_dataset!H177</f>
        <v>4871.6000000000004</v>
      </c>
      <c r="M177">
        <f t="shared" si="5"/>
        <v>7</v>
      </c>
    </row>
    <row r="178" spans="1:13" x14ac:dyDescent="0.3">
      <c r="A178" s="1">
        <v>46273.333333333336</v>
      </c>
      <c r="B178" t="s">
        <v>10</v>
      </c>
      <c r="C178">
        <v>31.9</v>
      </c>
      <c r="D178">
        <v>0</v>
      </c>
      <c r="E178">
        <v>7.5</v>
      </c>
      <c r="F178">
        <v>1870.5</v>
      </c>
      <c r="G178">
        <v>27.1</v>
      </c>
      <c r="H178">
        <v>2818.9</v>
      </c>
      <c r="I178">
        <v>4716.5</v>
      </c>
      <c r="J178">
        <v>0</v>
      </c>
      <c r="K178">
        <f t="shared" si="4"/>
        <v>1897.6</v>
      </c>
      <c r="L178">
        <f>K178+energy_grid_portfolio_dataset!H178</f>
        <v>4716.5</v>
      </c>
      <c r="M178">
        <f t="shared" si="5"/>
        <v>8</v>
      </c>
    </row>
    <row r="179" spans="1:13" x14ac:dyDescent="0.3">
      <c r="A179" s="1">
        <v>46273.375</v>
      </c>
      <c r="B179" t="s">
        <v>10</v>
      </c>
      <c r="C179">
        <v>34.799999999999997</v>
      </c>
      <c r="D179">
        <v>29.2</v>
      </c>
      <c r="E179">
        <v>3.8</v>
      </c>
      <c r="F179">
        <v>1865.7</v>
      </c>
      <c r="G179">
        <v>3.5</v>
      </c>
      <c r="H179">
        <v>2768.5</v>
      </c>
      <c r="I179">
        <v>4637.7</v>
      </c>
      <c r="J179">
        <v>0</v>
      </c>
      <c r="K179">
        <f t="shared" si="4"/>
        <v>1869.2</v>
      </c>
      <c r="L179">
        <f>K179+energy_grid_portfolio_dataset!H179</f>
        <v>4637.7</v>
      </c>
      <c r="M179">
        <f t="shared" si="5"/>
        <v>9</v>
      </c>
    </row>
    <row r="180" spans="1:13" x14ac:dyDescent="0.3">
      <c r="A180" s="1">
        <v>46273.416666666664</v>
      </c>
      <c r="B180" t="s">
        <v>10</v>
      </c>
      <c r="C180">
        <v>33.799999999999997</v>
      </c>
      <c r="D180">
        <v>24.2</v>
      </c>
      <c r="E180">
        <v>6.2</v>
      </c>
      <c r="F180">
        <v>2244.1</v>
      </c>
      <c r="G180">
        <v>15.3</v>
      </c>
      <c r="H180">
        <v>4000</v>
      </c>
      <c r="I180">
        <v>7068.3</v>
      </c>
      <c r="J180">
        <v>1</v>
      </c>
      <c r="K180">
        <f t="shared" si="4"/>
        <v>2259.4</v>
      </c>
      <c r="L180">
        <f>K180+energy_grid_portfolio_dataset!H180</f>
        <v>6259.4</v>
      </c>
      <c r="M180">
        <f t="shared" si="5"/>
        <v>10</v>
      </c>
    </row>
    <row r="181" spans="1:13" x14ac:dyDescent="0.3">
      <c r="A181" s="1">
        <v>46273.458333333336</v>
      </c>
      <c r="B181" t="s">
        <v>10</v>
      </c>
      <c r="C181">
        <v>34</v>
      </c>
      <c r="D181">
        <v>17.7</v>
      </c>
      <c r="E181">
        <v>3.9</v>
      </c>
      <c r="F181">
        <v>2561.8000000000002</v>
      </c>
      <c r="G181">
        <v>3.8</v>
      </c>
      <c r="H181">
        <v>4000</v>
      </c>
      <c r="I181">
        <v>7167.1</v>
      </c>
      <c r="J181">
        <v>1</v>
      </c>
      <c r="K181">
        <f t="shared" si="4"/>
        <v>2565.6000000000004</v>
      </c>
      <c r="L181">
        <f>K181+energy_grid_portfolio_dataset!H181</f>
        <v>6565.6</v>
      </c>
      <c r="M181">
        <f t="shared" si="5"/>
        <v>11</v>
      </c>
    </row>
    <row r="182" spans="1:13" x14ac:dyDescent="0.3">
      <c r="A182" s="1">
        <v>46273.5</v>
      </c>
      <c r="B182" t="s">
        <v>10</v>
      </c>
      <c r="C182">
        <v>31.4</v>
      </c>
      <c r="D182">
        <v>0</v>
      </c>
      <c r="E182">
        <v>5.5</v>
      </c>
      <c r="F182">
        <v>3000</v>
      </c>
      <c r="G182">
        <v>10.6</v>
      </c>
      <c r="H182">
        <v>4000</v>
      </c>
      <c r="I182">
        <v>7196.2</v>
      </c>
      <c r="J182">
        <v>1</v>
      </c>
      <c r="K182">
        <f t="shared" si="4"/>
        <v>3010.6</v>
      </c>
      <c r="L182">
        <f>K182+energy_grid_portfolio_dataset!H182</f>
        <v>7010.6</v>
      </c>
      <c r="M182">
        <f t="shared" si="5"/>
        <v>12</v>
      </c>
    </row>
    <row r="183" spans="1:13" x14ac:dyDescent="0.3">
      <c r="A183" s="1">
        <v>46273.541666666664</v>
      </c>
      <c r="B183" t="s">
        <v>10</v>
      </c>
      <c r="C183">
        <v>33.5</v>
      </c>
      <c r="D183">
        <v>25.4</v>
      </c>
      <c r="E183">
        <v>4.7</v>
      </c>
      <c r="F183">
        <v>2405.4</v>
      </c>
      <c r="G183">
        <v>6.6</v>
      </c>
      <c r="H183">
        <v>4000</v>
      </c>
      <c r="I183">
        <v>7175.6</v>
      </c>
      <c r="J183">
        <v>1</v>
      </c>
      <c r="K183">
        <f t="shared" si="4"/>
        <v>2412</v>
      </c>
      <c r="L183">
        <f>K183+energy_grid_portfolio_dataset!H183</f>
        <v>6412</v>
      </c>
      <c r="M183">
        <f t="shared" si="5"/>
        <v>13</v>
      </c>
    </row>
    <row r="184" spans="1:13" x14ac:dyDescent="0.3">
      <c r="A184" s="1">
        <v>46273.583333333336</v>
      </c>
      <c r="B184" t="s">
        <v>10</v>
      </c>
      <c r="C184">
        <v>32</v>
      </c>
      <c r="D184">
        <v>28.9</v>
      </c>
      <c r="E184">
        <v>2</v>
      </c>
      <c r="F184">
        <v>2155.8000000000002</v>
      </c>
      <c r="G184">
        <v>0.5</v>
      </c>
      <c r="H184">
        <v>4000</v>
      </c>
      <c r="I184">
        <v>7069</v>
      </c>
      <c r="J184">
        <v>1</v>
      </c>
      <c r="K184">
        <f t="shared" si="4"/>
        <v>2156.3000000000002</v>
      </c>
      <c r="L184">
        <f>K184+energy_grid_portfolio_dataset!H184</f>
        <v>6156.3</v>
      </c>
      <c r="M184">
        <f t="shared" si="5"/>
        <v>14</v>
      </c>
    </row>
    <row r="185" spans="1:13" x14ac:dyDescent="0.3">
      <c r="A185" s="1">
        <v>46273.625</v>
      </c>
      <c r="B185" t="s">
        <v>10</v>
      </c>
      <c r="C185">
        <v>29.7</v>
      </c>
      <c r="D185">
        <v>45.6</v>
      </c>
      <c r="E185">
        <v>4.9000000000000004</v>
      </c>
      <c r="F185">
        <v>1597.1</v>
      </c>
      <c r="G185">
        <v>7.7</v>
      </c>
      <c r="H185">
        <v>3406.4</v>
      </c>
      <c r="I185">
        <v>5011.2</v>
      </c>
      <c r="J185">
        <v>0</v>
      </c>
      <c r="K185">
        <f t="shared" si="4"/>
        <v>1604.8</v>
      </c>
      <c r="L185">
        <f>K185+energy_grid_portfolio_dataset!H185</f>
        <v>5011.2</v>
      </c>
      <c r="M185">
        <f t="shared" si="5"/>
        <v>15</v>
      </c>
    </row>
    <row r="186" spans="1:13" x14ac:dyDescent="0.3">
      <c r="A186" s="1">
        <v>46273.666666666664</v>
      </c>
      <c r="B186" t="s">
        <v>10</v>
      </c>
      <c r="C186">
        <v>32.5</v>
      </c>
      <c r="D186">
        <v>58.3</v>
      </c>
      <c r="E186">
        <v>6</v>
      </c>
      <c r="F186">
        <v>1107</v>
      </c>
      <c r="G186">
        <v>14</v>
      </c>
      <c r="H186">
        <v>3867.4</v>
      </c>
      <c r="I186">
        <v>4988.3999999999996</v>
      </c>
      <c r="J186">
        <v>0</v>
      </c>
      <c r="K186">
        <f t="shared" si="4"/>
        <v>1121</v>
      </c>
      <c r="L186">
        <f>K186+energy_grid_portfolio_dataset!H186</f>
        <v>4988.3999999999996</v>
      </c>
      <c r="M186">
        <f t="shared" si="5"/>
        <v>16</v>
      </c>
    </row>
    <row r="187" spans="1:13" x14ac:dyDescent="0.3">
      <c r="A187" s="1">
        <v>46273.708333333336</v>
      </c>
      <c r="B187" t="s">
        <v>10</v>
      </c>
      <c r="C187">
        <v>27.6</v>
      </c>
      <c r="D187">
        <v>12.5</v>
      </c>
      <c r="E187">
        <v>4.0999999999999996</v>
      </c>
      <c r="F187">
        <v>1187.7</v>
      </c>
      <c r="G187">
        <v>4.3</v>
      </c>
      <c r="H187">
        <v>3481.9</v>
      </c>
      <c r="I187">
        <v>4673.8999999999996</v>
      </c>
      <c r="J187">
        <v>0</v>
      </c>
      <c r="K187">
        <f t="shared" si="4"/>
        <v>1192</v>
      </c>
      <c r="L187">
        <f>K187+energy_grid_portfolio_dataset!H187</f>
        <v>4673.8999999999996</v>
      </c>
      <c r="M187">
        <f t="shared" si="5"/>
        <v>17</v>
      </c>
    </row>
    <row r="188" spans="1:13" x14ac:dyDescent="0.3">
      <c r="A188" s="1">
        <v>46273.75</v>
      </c>
      <c r="B188" t="s">
        <v>10</v>
      </c>
      <c r="C188">
        <v>26.9</v>
      </c>
      <c r="D188">
        <v>28.7</v>
      </c>
      <c r="E188">
        <v>2.5</v>
      </c>
      <c r="F188">
        <v>533.29999999999995</v>
      </c>
      <c r="G188">
        <v>1</v>
      </c>
      <c r="H188">
        <v>4000</v>
      </c>
      <c r="I188">
        <v>7777.6</v>
      </c>
      <c r="J188">
        <v>1</v>
      </c>
      <c r="K188">
        <f t="shared" si="4"/>
        <v>534.29999999999995</v>
      </c>
      <c r="L188">
        <f>K188+energy_grid_portfolio_dataset!H188</f>
        <v>4534.3</v>
      </c>
      <c r="M188">
        <f t="shared" si="5"/>
        <v>18</v>
      </c>
    </row>
    <row r="189" spans="1:13" x14ac:dyDescent="0.3">
      <c r="A189" s="1">
        <v>46273.791666666664</v>
      </c>
      <c r="B189" t="s">
        <v>10</v>
      </c>
      <c r="C189">
        <v>24.3</v>
      </c>
      <c r="D189">
        <v>6.5</v>
      </c>
      <c r="E189">
        <v>1.3</v>
      </c>
      <c r="F189">
        <v>0</v>
      </c>
      <c r="G189">
        <v>0.1</v>
      </c>
      <c r="H189">
        <v>4000</v>
      </c>
      <c r="I189">
        <v>7608.3</v>
      </c>
      <c r="J189">
        <v>1</v>
      </c>
      <c r="K189">
        <f t="shared" si="4"/>
        <v>0.1</v>
      </c>
      <c r="L189">
        <f>K189+energy_grid_portfolio_dataset!H189</f>
        <v>4000.1</v>
      </c>
      <c r="M189">
        <f t="shared" si="5"/>
        <v>19</v>
      </c>
    </row>
    <row r="190" spans="1:13" x14ac:dyDescent="0.3">
      <c r="A190" s="1">
        <v>46273.833333333336</v>
      </c>
      <c r="B190" t="s">
        <v>10</v>
      </c>
      <c r="C190">
        <v>26.6</v>
      </c>
      <c r="D190">
        <v>6</v>
      </c>
      <c r="E190">
        <v>9.3000000000000007</v>
      </c>
      <c r="F190">
        <v>0</v>
      </c>
      <c r="G190">
        <v>50.9</v>
      </c>
      <c r="H190">
        <v>4000</v>
      </c>
      <c r="I190">
        <v>7553.6</v>
      </c>
      <c r="J190">
        <v>1</v>
      </c>
      <c r="K190">
        <f t="shared" si="4"/>
        <v>50.9</v>
      </c>
      <c r="L190">
        <f>K190+energy_grid_portfolio_dataset!H190</f>
        <v>4050.9</v>
      </c>
      <c r="M190">
        <f t="shared" si="5"/>
        <v>20</v>
      </c>
    </row>
    <row r="191" spans="1:13" x14ac:dyDescent="0.3">
      <c r="A191" s="1">
        <v>46273.875</v>
      </c>
      <c r="B191" t="s">
        <v>10</v>
      </c>
      <c r="C191">
        <v>24</v>
      </c>
      <c r="D191">
        <v>7.8</v>
      </c>
      <c r="E191">
        <v>5.4</v>
      </c>
      <c r="F191">
        <v>0</v>
      </c>
      <c r="G191">
        <v>10.1</v>
      </c>
      <c r="H191">
        <v>4000</v>
      </c>
      <c r="I191">
        <v>7774</v>
      </c>
      <c r="J191">
        <v>1</v>
      </c>
      <c r="K191">
        <f t="shared" si="4"/>
        <v>10.1</v>
      </c>
      <c r="L191">
        <f>K191+energy_grid_portfolio_dataset!H191</f>
        <v>4010.1</v>
      </c>
      <c r="M191">
        <f t="shared" si="5"/>
        <v>21</v>
      </c>
    </row>
    <row r="192" spans="1:13" x14ac:dyDescent="0.3">
      <c r="A192" s="1">
        <v>46273.916666666664</v>
      </c>
      <c r="B192" t="s">
        <v>10</v>
      </c>
      <c r="C192">
        <v>23</v>
      </c>
      <c r="D192">
        <v>76.2</v>
      </c>
      <c r="E192">
        <v>3.8</v>
      </c>
      <c r="F192">
        <v>0</v>
      </c>
      <c r="G192">
        <v>3.5</v>
      </c>
      <c r="H192">
        <v>4000</v>
      </c>
      <c r="I192">
        <v>4863.7</v>
      </c>
      <c r="J192">
        <v>1</v>
      </c>
      <c r="K192">
        <f t="shared" si="4"/>
        <v>3.5</v>
      </c>
      <c r="L192">
        <f>K192+energy_grid_portfolio_dataset!H192</f>
        <v>4003.5</v>
      </c>
      <c r="M192">
        <f t="shared" si="5"/>
        <v>22</v>
      </c>
    </row>
    <row r="193" spans="1:13" x14ac:dyDescent="0.3">
      <c r="A193" s="1">
        <v>46273.958333333336</v>
      </c>
      <c r="B193" t="s">
        <v>10</v>
      </c>
      <c r="C193">
        <v>21.1</v>
      </c>
      <c r="D193">
        <v>24.3</v>
      </c>
      <c r="E193">
        <v>7.5</v>
      </c>
      <c r="F193">
        <v>0</v>
      </c>
      <c r="G193">
        <v>27.5</v>
      </c>
      <c r="H193">
        <v>4000</v>
      </c>
      <c r="I193">
        <v>5122.3999999999996</v>
      </c>
      <c r="J193">
        <v>1</v>
      </c>
      <c r="K193">
        <f t="shared" si="4"/>
        <v>27.5</v>
      </c>
      <c r="L193">
        <f>K193+energy_grid_portfolio_dataset!H193</f>
        <v>4027.5</v>
      </c>
      <c r="M193">
        <f t="shared" si="5"/>
        <v>23</v>
      </c>
    </row>
    <row r="194" spans="1:13" x14ac:dyDescent="0.3">
      <c r="A194" s="1">
        <v>46274</v>
      </c>
      <c r="B194" t="s">
        <v>10</v>
      </c>
      <c r="C194">
        <v>24.7</v>
      </c>
      <c r="D194">
        <v>39.200000000000003</v>
      </c>
      <c r="E194">
        <v>2.9</v>
      </c>
      <c r="F194">
        <v>0</v>
      </c>
      <c r="G194">
        <v>1.5</v>
      </c>
      <c r="H194">
        <v>4000</v>
      </c>
      <c r="I194">
        <v>4856</v>
      </c>
      <c r="J194">
        <v>1</v>
      </c>
      <c r="K194">
        <f t="shared" si="4"/>
        <v>1.5</v>
      </c>
      <c r="L194">
        <f>K194+energy_grid_portfolio_dataset!H194</f>
        <v>4001.5</v>
      </c>
      <c r="M194">
        <f t="shared" si="5"/>
        <v>0</v>
      </c>
    </row>
    <row r="195" spans="1:13" x14ac:dyDescent="0.3">
      <c r="A195" s="1">
        <v>46274.041666666664</v>
      </c>
      <c r="B195" t="s">
        <v>10</v>
      </c>
      <c r="C195">
        <v>23.7</v>
      </c>
      <c r="D195">
        <v>37.4</v>
      </c>
      <c r="E195">
        <v>0.9</v>
      </c>
      <c r="F195">
        <v>0</v>
      </c>
      <c r="G195">
        <v>0</v>
      </c>
      <c r="H195">
        <v>4000</v>
      </c>
      <c r="I195">
        <v>5044.8999999999996</v>
      </c>
      <c r="J195">
        <v>1</v>
      </c>
      <c r="K195">
        <f t="shared" ref="K195:K258" si="6">F195+G195</f>
        <v>0</v>
      </c>
      <c r="L195">
        <f>K195+energy_grid_portfolio_dataset!H195</f>
        <v>4000</v>
      </c>
      <c r="M195">
        <f t="shared" ref="M195:M258" si="7">HOUR(A195)</f>
        <v>1</v>
      </c>
    </row>
    <row r="196" spans="1:13" x14ac:dyDescent="0.3">
      <c r="A196" s="1">
        <v>46274.083333333336</v>
      </c>
      <c r="B196" t="s">
        <v>10</v>
      </c>
      <c r="C196">
        <v>22.4</v>
      </c>
      <c r="D196">
        <v>23.5</v>
      </c>
      <c r="E196">
        <v>5.2</v>
      </c>
      <c r="F196">
        <v>0</v>
      </c>
      <c r="G196">
        <v>9.1999999999999993</v>
      </c>
      <c r="H196">
        <v>4000</v>
      </c>
      <c r="I196">
        <v>4840.8999999999996</v>
      </c>
      <c r="J196">
        <v>1</v>
      </c>
      <c r="K196">
        <f t="shared" si="6"/>
        <v>9.1999999999999993</v>
      </c>
      <c r="L196">
        <f>K196+energy_grid_portfolio_dataset!H196</f>
        <v>4009.2</v>
      </c>
      <c r="M196">
        <f t="shared" si="7"/>
        <v>2</v>
      </c>
    </row>
    <row r="197" spans="1:13" x14ac:dyDescent="0.3">
      <c r="A197" s="1">
        <v>46274.125</v>
      </c>
      <c r="B197" t="s">
        <v>10</v>
      </c>
      <c r="C197">
        <v>21.8</v>
      </c>
      <c r="D197">
        <v>32.6</v>
      </c>
      <c r="E197">
        <v>5.2</v>
      </c>
      <c r="F197">
        <v>0</v>
      </c>
      <c r="G197">
        <v>9.1</v>
      </c>
      <c r="H197">
        <v>4000</v>
      </c>
      <c r="I197">
        <v>4976.7</v>
      </c>
      <c r="J197">
        <v>1</v>
      </c>
      <c r="K197">
        <f t="shared" si="6"/>
        <v>9.1</v>
      </c>
      <c r="L197">
        <f>K197+energy_grid_portfolio_dataset!H197</f>
        <v>4009.1</v>
      </c>
      <c r="M197">
        <f t="shared" si="7"/>
        <v>3</v>
      </c>
    </row>
    <row r="198" spans="1:13" x14ac:dyDescent="0.3">
      <c r="A198" s="1">
        <v>46274.166666666664</v>
      </c>
      <c r="B198" t="s">
        <v>10</v>
      </c>
      <c r="C198">
        <v>26.6</v>
      </c>
      <c r="D198">
        <v>41.7</v>
      </c>
      <c r="E198">
        <v>4.9000000000000004</v>
      </c>
      <c r="F198">
        <v>0</v>
      </c>
      <c r="G198">
        <v>7.6</v>
      </c>
      <c r="H198">
        <v>4000</v>
      </c>
      <c r="I198">
        <v>5034</v>
      </c>
      <c r="J198">
        <v>1</v>
      </c>
      <c r="K198">
        <f t="shared" si="6"/>
        <v>7.6</v>
      </c>
      <c r="L198">
        <f>K198+energy_grid_portfolio_dataset!H198</f>
        <v>4007.6</v>
      </c>
      <c r="M198">
        <f t="shared" si="7"/>
        <v>4</v>
      </c>
    </row>
    <row r="199" spans="1:13" x14ac:dyDescent="0.3">
      <c r="A199" s="1">
        <v>46274.208333333336</v>
      </c>
      <c r="B199" t="s">
        <v>10</v>
      </c>
      <c r="C199">
        <v>24</v>
      </c>
      <c r="D199">
        <v>33.6</v>
      </c>
      <c r="E199">
        <v>4.4000000000000004</v>
      </c>
      <c r="F199">
        <v>0</v>
      </c>
      <c r="G199">
        <v>5.5</v>
      </c>
      <c r="H199">
        <v>4000</v>
      </c>
      <c r="I199">
        <v>4939.5</v>
      </c>
      <c r="J199">
        <v>1</v>
      </c>
      <c r="K199">
        <f t="shared" si="6"/>
        <v>5.5</v>
      </c>
      <c r="L199">
        <f>K199+energy_grid_portfolio_dataset!H199</f>
        <v>4005.5</v>
      </c>
      <c r="M199">
        <f t="shared" si="7"/>
        <v>5</v>
      </c>
    </row>
    <row r="200" spans="1:13" x14ac:dyDescent="0.3">
      <c r="A200" s="1">
        <v>46274.25</v>
      </c>
      <c r="B200" t="s">
        <v>10</v>
      </c>
      <c r="C200">
        <v>26.1</v>
      </c>
      <c r="D200">
        <v>3.4</v>
      </c>
      <c r="E200">
        <v>6.1</v>
      </c>
      <c r="F200">
        <v>651.79999999999995</v>
      </c>
      <c r="G200">
        <v>14.6</v>
      </c>
      <c r="H200">
        <v>4000</v>
      </c>
      <c r="I200">
        <v>4990.7</v>
      </c>
      <c r="J200">
        <v>1</v>
      </c>
      <c r="K200">
        <f t="shared" si="6"/>
        <v>666.4</v>
      </c>
      <c r="L200">
        <f>K200+energy_grid_portfolio_dataset!H200</f>
        <v>4666.3999999999996</v>
      </c>
      <c r="M200">
        <f t="shared" si="7"/>
        <v>6</v>
      </c>
    </row>
    <row r="201" spans="1:13" x14ac:dyDescent="0.3">
      <c r="A201" s="1">
        <v>46274.291666666664</v>
      </c>
      <c r="B201" t="s">
        <v>10</v>
      </c>
      <c r="C201">
        <v>30.6</v>
      </c>
      <c r="D201">
        <v>25.6</v>
      </c>
      <c r="E201">
        <v>4.0999999999999996</v>
      </c>
      <c r="F201">
        <v>1068.7</v>
      </c>
      <c r="G201">
        <v>4.3</v>
      </c>
      <c r="H201">
        <v>3871.1</v>
      </c>
      <c r="I201">
        <v>4944.1000000000004</v>
      </c>
      <c r="J201">
        <v>0</v>
      </c>
      <c r="K201">
        <f t="shared" si="6"/>
        <v>1073</v>
      </c>
      <c r="L201">
        <f>K201+energy_grid_portfolio_dataset!H201</f>
        <v>4944.1000000000004</v>
      </c>
      <c r="M201">
        <f t="shared" si="7"/>
        <v>7</v>
      </c>
    </row>
    <row r="202" spans="1:13" x14ac:dyDescent="0.3">
      <c r="A202" s="1">
        <v>46274.333333333336</v>
      </c>
      <c r="B202" t="s">
        <v>10</v>
      </c>
      <c r="C202">
        <v>30.2</v>
      </c>
      <c r="D202">
        <v>26.9</v>
      </c>
      <c r="E202">
        <v>3.1</v>
      </c>
      <c r="F202">
        <v>1518</v>
      </c>
      <c r="G202">
        <v>1.9</v>
      </c>
      <c r="H202">
        <v>3570.8</v>
      </c>
      <c r="I202">
        <v>5090.7</v>
      </c>
      <c r="J202">
        <v>0</v>
      </c>
      <c r="K202">
        <f t="shared" si="6"/>
        <v>1519.9</v>
      </c>
      <c r="L202">
        <f>K202+energy_grid_portfolio_dataset!H202</f>
        <v>5090.7000000000007</v>
      </c>
      <c r="M202">
        <f t="shared" si="7"/>
        <v>8</v>
      </c>
    </row>
    <row r="203" spans="1:13" x14ac:dyDescent="0.3">
      <c r="A203" s="1">
        <v>46274.375</v>
      </c>
      <c r="B203" t="s">
        <v>10</v>
      </c>
      <c r="C203">
        <v>31.8</v>
      </c>
      <c r="D203">
        <v>29.4</v>
      </c>
      <c r="E203">
        <v>3</v>
      </c>
      <c r="F203">
        <v>1862.1</v>
      </c>
      <c r="G203">
        <v>1.8</v>
      </c>
      <c r="H203">
        <v>3020.9</v>
      </c>
      <c r="I203">
        <v>4884.8</v>
      </c>
      <c r="J203">
        <v>0</v>
      </c>
      <c r="K203">
        <f t="shared" si="6"/>
        <v>1863.8999999999999</v>
      </c>
      <c r="L203">
        <f>K203+energy_grid_portfolio_dataset!H203</f>
        <v>4884.8</v>
      </c>
      <c r="M203">
        <f t="shared" si="7"/>
        <v>9</v>
      </c>
    </row>
    <row r="204" spans="1:13" x14ac:dyDescent="0.3">
      <c r="A204" s="1">
        <v>46274.416666666664</v>
      </c>
      <c r="B204" t="s">
        <v>10</v>
      </c>
      <c r="C204">
        <v>31.9</v>
      </c>
      <c r="D204">
        <v>21.3</v>
      </c>
      <c r="E204">
        <v>3.1</v>
      </c>
      <c r="F204">
        <v>2300.6</v>
      </c>
      <c r="G204">
        <v>1.9</v>
      </c>
      <c r="H204">
        <v>4000</v>
      </c>
      <c r="I204">
        <v>7338.4</v>
      </c>
      <c r="J204">
        <v>1</v>
      </c>
      <c r="K204">
        <f t="shared" si="6"/>
        <v>2302.5</v>
      </c>
      <c r="L204">
        <f>K204+energy_grid_portfolio_dataset!H204</f>
        <v>6302.5</v>
      </c>
      <c r="M204">
        <f t="shared" si="7"/>
        <v>10</v>
      </c>
    </row>
    <row r="205" spans="1:13" x14ac:dyDescent="0.3">
      <c r="A205" s="1">
        <v>46274.458333333336</v>
      </c>
      <c r="B205" t="s">
        <v>10</v>
      </c>
      <c r="C205">
        <v>34.1</v>
      </c>
      <c r="D205">
        <v>45.6</v>
      </c>
      <c r="E205">
        <v>1</v>
      </c>
      <c r="F205">
        <v>1990.4</v>
      </c>
      <c r="G205">
        <v>0.1</v>
      </c>
      <c r="H205">
        <v>4000</v>
      </c>
      <c r="I205">
        <v>7367</v>
      </c>
      <c r="J205">
        <v>1</v>
      </c>
      <c r="K205">
        <f t="shared" si="6"/>
        <v>1990.5</v>
      </c>
      <c r="L205">
        <f>K205+energy_grid_portfolio_dataset!H205</f>
        <v>5990.5</v>
      </c>
      <c r="M205">
        <f t="shared" si="7"/>
        <v>11</v>
      </c>
    </row>
    <row r="206" spans="1:13" x14ac:dyDescent="0.3">
      <c r="A206" s="1">
        <v>46274.5</v>
      </c>
      <c r="B206" t="s">
        <v>10</v>
      </c>
      <c r="C206">
        <v>35.299999999999997</v>
      </c>
      <c r="D206">
        <v>26.6</v>
      </c>
      <c r="E206">
        <v>6.1</v>
      </c>
      <c r="F206">
        <v>2440.4</v>
      </c>
      <c r="G206">
        <v>14.7</v>
      </c>
      <c r="H206">
        <v>4000</v>
      </c>
      <c r="I206">
        <v>7190.1</v>
      </c>
      <c r="J206">
        <v>1</v>
      </c>
      <c r="K206">
        <f t="shared" si="6"/>
        <v>2455.1</v>
      </c>
      <c r="L206">
        <f>K206+energy_grid_portfolio_dataset!H206</f>
        <v>6455.1</v>
      </c>
      <c r="M206">
        <f t="shared" si="7"/>
        <v>12</v>
      </c>
    </row>
    <row r="207" spans="1:13" x14ac:dyDescent="0.3">
      <c r="A207" s="1">
        <v>46274.541666666664</v>
      </c>
      <c r="B207" t="s">
        <v>10</v>
      </c>
      <c r="C207">
        <v>35.9</v>
      </c>
      <c r="D207">
        <v>71</v>
      </c>
      <c r="E207">
        <v>3.3</v>
      </c>
      <c r="F207">
        <v>1471.6</v>
      </c>
      <c r="G207">
        <v>2.2000000000000002</v>
      </c>
      <c r="H207">
        <v>4000</v>
      </c>
      <c r="I207">
        <v>7072.4</v>
      </c>
      <c r="J207">
        <v>1</v>
      </c>
      <c r="K207">
        <f t="shared" si="6"/>
        <v>1473.8</v>
      </c>
      <c r="L207">
        <f>K207+energy_grid_portfolio_dataset!H207</f>
        <v>5473.8</v>
      </c>
      <c r="M207">
        <f t="shared" si="7"/>
        <v>13</v>
      </c>
    </row>
    <row r="208" spans="1:13" x14ac:dyDescent="0.3">
      <c r="A208" s="1">
        <v>46274.583333333336</v>
      </c>
      <c r="B208" t="s">
        <v>10</v>
      </c>
      <c r="C208">
        <v>35.4</v>
      </c>
      <c r="D208">
        <v>56.6</v>
      </c>
      <c r="E208">
        <v>3</v>
      </c>
      <c r="F208">
        <v>1632.2</v>
      </c>
      <c r="G208">
        <v>1.7</v>
      </c>
      <c r="H208">
        <v>4000</v>
      </c>
      <c r="I208">
        <v>7083.2</v>
      </c>
      <c r="J208">
        <v>1</v>
      </c>
      <c r="K208">
        <f t="shared" si="6"/>
        <v>1633.9</v>
      </c>
      <c r="L208">
        <f>K208+energy_grid_portfolio_dataset!H208</f>
        <v>5633.9</v>
      </c>
      <c r="M208">
        <f t="shared" si="7"/>
        <v>14</v>
      </c>
    </row>
    <row r="209" spans="1:13" x14ac:dyDescent="0.3">
      <c r="A209" s="1">
        <v>46274.625</v>
      </c>
      <c r="B209" t="s">
        <v>10</v>
      </c>
      <c r="C209">
        <v>31.8</v>
      </c>
      <c r="D209">
        <v>0</v>
      </c>
      <c r="E209">
        <v>2.2000000000000002</v>
      </c>
      <c r="F209">
        <v>2345.5</v>
      </c>
      <c r="G209">
        <v>0.6</v>
      </c>
      <c r="H209">
        <v>2540.9</v>
      </c>
      <c r="I209">
        <v>4887</v>
      </c>
      <c r="J209">
        <v>0</v>
      </c>
      <c r="K209">
        <f t="shared" si="6"/>
        <v>2346.1</v>
      </c>
      <c r="L209">
        <f>K209+energy_grid_portfolio_dataset!H209</f>
        <v>4887</v>
      </c>
      <c r="M209">
        <f t="shared" si="7"/>
        <v>15</v>
      </c>
    </row>
    <row r="210" spans="1:13" x14ac:dyDescent="0.3">
      <c r="A210" s="1">
        <v>46274.666666666664</v>
      </c>
      <c r="B210" t="s">
        <v>10</v>
      </c>
      <c r="C210">
        <v>29.8</v>
      </c>
      <c r="D210">
        <v>24.3</v>
      </c>
      <c r="E210">
        <v>4.5</v>
      </c>
      <c r="F210">
        <v>1552.2</v>
      </c>
      <c r="G210">
        <v>5.7</v>
      </c>
      <c r="H210">
        <v>3241.5</v>
      </c>
      <c r="I210">
        <v>4799.3999999999996</v>
      </c>
      <c r="J210">
        <v>0</v>
      </c>
      <c r="K210">
        <f t="shared" si="6"/>
        <v>1557.9</v>
      </c>
      <c r="L210">
        <f>K210+energy_grid_portfolio_dataset!H210</f>
        <v>4799.3999999999996</v>
      </c>
      <c r="M210">
        <f t="shared" si="7"/>
        <v>16</v>
      </c>
    </row>
    <row r="211" spans="1:13" x14ac:dyDescent="0.3">
      <c r="A211" s="1">
        <v>46274.708333333336</v>
      </c>
      <c r="B211" t="s">
        <v>10</v>
      </c>
      <c r="C211">
        <v>28.1</v>
      </c>
      <c r="D211">
        <v>44.7</v>
      </c>
      <c r="E211">
        <v>3.6</v>
      </c>
      <c r="F211">
        <v>894.5</v>
      </c>
      <c r="G211">
        <v>2.9</v>
      </c>
      <c r="H211">
        <v>4000</v>
      </c>
      <c r="I211">
        <v>5182.6000000000004</v>
      </c>
      <c r="J211">
        <v>1</v>
      </c>
      <c r="K211">
        <f t="shared" si="6"/>
        <v>897.4</v>
      </c>
      <c r="L211">
        <f>K211+energy_grid_portfolio_dataset!H211</f>
        <v>4897.3999999999996</v>
      </c>
      <c r="M211">
        <f t="shared" si="7"/>
        <v>17</v>
      </c>
    </row>
    <row r="212" spans="1:13" x14ac:dyDescent="0.3">
      <c r="A212" s="1">
        <v>46274.75</v>
      </c>
      <c r="B212" t="s">
        <v>10</v>
      </c>
      <c r="C212">
        <v>29</v>
      </c>
      <c r="D212">
        <v>2.5</v>
      </c>
      <c r="E212">
        <v>4.8</v>
      </c>
      <c r="F212">
        <v>655.7</v>
      </c>
      <c r="G212">
        <v>6.9</v>
      </c>
      <c r="H212">
        <v>4000</v>
      </c>
      <c r="I212">
        <v>7692.6</v>
      </c>
      <c r="J212">
        <v>1</v>
      </c>
      <c r="K212">
        <f t="shared" si="6"/>
        <v>662.6</v>
      </c>
      <c r="L212">
        <f>K212+energy_grid_portfolio_dataset!H212</f>
        <v>4662.6000000000004</v>
      </c>
      <c r="M212">
        <f t="shared" si="7"/>
        <v>18</v>
      </c>
    </row>
    <row r="213" spans="1:13" x14ac:dyDescent="0.3">
      <c r="A213" s="1">
        <v>46274.791666666664</v>
      </c>
      <c r="B213" t="s">
        <v>10</v>
      </c>
      <c r="C213">
        <v>27.2</v>
      </c>
      <c r="D213">
        <v>30.8</v>
      </c>
      <c r="E213">
        <v>8.9</v>
      </c>
      <c r="F213">
        <v>0</v>
      </c>
      <c r="G213">
        <v>45.3</v>
      </c>
      <c r="H213">
        <v>4000</v>
      </c>
      <c r="I213">
        <v>7725</v>
      </c>
      <c r="J213">
        <v>1</v>
      </c>
      <c r="K213">
        <f t="shared" si="6"/>
        <v>45.3</v>
      </c>
      <c r="L213">
        <f>K213+energy_grid_portfolio_dataset!H213</f>
        <v>4045.3</v>
      </c>
      <c r="M213">
        <f t="shared" si="7"/>
        <v>19</v>
      </c>
    </row>
    <row r="214" spans="1:13" x14ac:dyDescent="0.3">
      <c r="A214" s="1">
        <v>46274.833333333336</v>
      </c>
      <c r="B214" t="s">
        <v>10</v>
      </c>
      <c r="C214">
        <v>24.2</v>
      </c>
      <c r="D214">
        <v>12.5</v>
      </c>
      <c r="E214">
        <v>2.9</v>
      </c>
      <c r="F214">
        <v>0</v>
      </c>
      <c r="G214">
        <v>1.5</v>
      </c>
      <c r="H214">
        <v>4000</v>
      </c>
      <c r="I214">
        <v>7604.3</v>
      </c>
      <c r="J214">
        <v>1</v>
      </c>
      <c r="K214">
        <f t="shared" si="6"/>
        <v>1.5</v>
      </c>
      <c r="L214">
        <f>K214+energy_grid_portfolio_dataset!H214</f>
        <v>4001.5</v>
      </c>
      <c r="M214">
        <f t="shared" si="7"/>
        <v>20</v>
      </c>
    </row>
    <row r="215" spans="1:13" x14ac:dyDescent="0.3">
      <c r="A215" s="1">
        <v>46274.875</v>
      </c>
      <c r="B215" t="s">
        <v>10</v>
      </c>
      <c r="C215">
        <v>25.5</v>
      </c>
      <c r="D215">
        <v>53.4</v>
      </c>
      <c r="E215">
        <v>2.9</v>
      </c>
      <c r="F215">
        <v>0</v>
      </c>
      <c r="G215">
        <v>1.5</v>
      </c>
      <c r="H215">
        <v>4000</v>
      </c>
      <c r="I215">
        <v>7604.4</v>
      </c>
      <c r="J215">
        <v>1</v>
      </c>
      <c r="K215">
        <f t="shared" si="6"/>
        <v>1.5</v>
      </c>
      <c r="L215">
        <f>K215+energy_grid_portfolio_dataset!H215</f>
        <v>4001.5</v>
      </c>
      <c r="M215">
        <f t="shared" si="7"/>
        <v>21</v>
      </c>
    </row>
    <row r="216" spans="1:13" x14ac:dyDescent="0.3">
      <c r="A216" s="1">
        <v>46274.916666666664</v>
      </c>
      <c r="B216" t="s">
        <v>10</v>
      </c>
      <c r="C216">
        <v>23.5</v>
      </c>
      <c r="D216">
        <v>14</v>
      </c>
      <c r="E216">
        <v>5.3</v>
      </c>
      <c r="F216">
        <v>0</v>
      </c>
      <c r="G216">
        <v>9.3000000000000007</v>
      </c>
      <c r="H216">
        <v>4000</v>
      </c>
      <c r="I216">
        <v>4825.1000000000004</v>
      </c>
      <c r="J216">
        <v>1</v>
      </c>
      <c r="K216">
        <f t="shared" si="6"/>
        <v>9.3000000000000007</v>
      </c>
      <c r="L216">
        <f>K216+energy_grid_portfolio_dataset!H216</f>
        <v>4009.3</v>
      </c>
      <c r="M216">
        <f t="shared" si="7"/>
        <v>22</v>
      </c>
    </row>
    <row r="217" spans="1:13" x14ac:dyDescent="0.3">
      <c r="A217" s="1">
        <v>46274.958333333336</v>
      </c>
      <c r="B217" t="s">
        <v>10</v>
      </c>
      <c r="C217">
        <v>19.899999999999999</v>
      </c>
      <c r="D217">
        <v>56</v>
      </c>
      <c r="E217">
        <v>7.6</v>
      </c>
      <c r="F217">
        <v>0</v>
      </c>
      <c r="G217">
        <v>28</v>
      </c>
      <c r="H217">
        <v>4000</v>
      </c>
      <c r="I217">
        <v>4980.3999999999996</v>
      </c>
      <c r="J217">
        <v>1</v>
      </c>
      <c r="K217">
        <f t="shared" si="6"/>
        <v>28</v>
      </c>
      <c r="L217">
        <f>K217+energy_grid_portfolio_dataset!H217</f>
        <v>4028</v>
      </c>
      <c r="M217">
        <f t="shared" si="7"/>
        <v>23</v>
      </c>
    </row>
    <row r="218" spans="1:13" x14ac:dyDescent="0.3">
      <c r="A218" s="1">
        <v>46275</v>
      </c>
      <c r="B218" t="s">
        <v>10</v>
      </c>
      <c r="C218">
        <v>21.4</v>
      </c>
      <c r="D218">
        <v>30.7</v>
      </c>
      <c r="E218">
        <v>4.7</v>
      </c>
      <c r="F218">
        <v>0</v>
      </c>
      <c r="G218">
        <v>6.5</v>
      </c>
      <c r="H218">
        <v>4000</v>
      </c>
      <c r="I218">
        <v>4858.1000000000004</v>
      </c>
      <c r="J218">
        <v>1</v>
      </c>
      <c r="K218">
        <f t="shared" si="6"/>
        <v>6.5</v>
      </c>
      <c r="L218">
        <f>K218+energy_grid_portfolio_dataset!H218</f>
        <v>4006.5</v>
      </c>
      <c r="M218">
        <f t="shared" si="7"/>
        <v>0</v>
      </c>
    </row>
    <row r="219" spans="1:13" x14ac:dyDescent="0.3">
      <c r="A219" s="1">
        <v>46275.041666666664</v>
      </c>
      <c r="B219" t="s">
        <v>10</v>
      </c>
      <c r="C219">
        <v>25.2</v>
      </c>
      <c r="D219">
        <v>21.5</v>
      </c>
      <c r="E219">
        <v>2.4</v>
      </c>
      <c r="F219">
        <v>0</v>
      </c>
      <c r="G219">
        <v>0.9</v>
      </c>
      <c r="H219">
        <v>4000</v>
      </c>
      <c r="I219">
        <v>5048.8</v>
      </c>
      <c r="J219">
        <v>1</v>
      </c>
      <c r="K219">
        <f t="shared" si="6"/>
        <v>0.9</v>
      </c>
      <c r="L219">
        <f>K219+energy_grid_portfolio_dataset!H219</f>
        <v>4000.9</v>
      </c>
      <c r="M219">
        <f t="shared" si="7"/>
        <v>1</v>
      </c>
    </row>
    <row r="220" spans="1:13" x14ac:dyDescent="0.3">
      <c r="A220" s="1">
        <v>46275.083333333336</v>
      </c>
      <c r="B220" t="s">
        <v>10</v>
      </c>
      <c r="C220">
        <v>21.7</v>
      </c>
      <c r="D220">
        <v>24.3</v>
      </c>
      <c r="E220">
        <v>7.6</v>
      </c>
      <c r="F220">
        <v>0</v>
      </c>
      <c r="G220">
        <v>28</v>
      </c>
      <c r="H220">
        <v>4000</v>
      </c>
      <c r="I220">
        <v>4743.1000000000004</v>
      </c>
      <c r="J220">
        <v>1</v>
      </c>
      <c r="K220">
        <f t="shared" si="6"/>
        <v>28</v>
      </c>
      <c r="L220">
        <f>K220+energy_grid_portfolio_dataset!H220</f>
        <v>4028</v>
      </c>
      <c r="M220">
        <f t="shared" si="7"/>
        <v>2</v>
      </c>
    </row>
    <row r="221" spans="1:13" x14ac:dyDescent="0.3">
      <c r="A221" s="1">
        <v>46275.125</v>
      </c>
      <c r="B221" t="s">
        <v>10</v>
      </c>
      <c r="C221">
        <v>24.1</v>
      </c>
      <c r="D221">
        <v>24.7</v>
      </c>
      <c r="E221">
        <v>6.4</v>
      </c>
      <c r="F221">
        <v>0</v>
      </c>
      <c r="G221">
        <v>16.600000000000001</v>
      </c>
      <c r="H221">
        <v>4000</v>
      </c>
      <c r="I221">
        <v>4872.3999999999996</v>
      </c>
      <c r="J221">
        <v>1</v>
      </c>
      <c r="K221">
        <f t="shared" si="6"/>
        <v>16.600000000000001</v>
      </c>
      <c r="L221">
        <f>K221+energy_grid_portfolio_dataset!H221</f>
        <v>4016.6</v>
      </c>
      <c r="M221">
        <f t="shared" si="7"/>
        <v>3</v>
      </c>
    </row>
    <row r="222" spans="1:13" x14ac:dyDescent="0.3">
      <c r="A222" s="1">
        <v>46275.166666666664</v>
      </c>
      <c r="B222" t="s">
        <v>10</v>
      </c>
      <c r="C222">
        <v>24.2</v>
      </c>
      <c r="D222">
        <v>15.2</v>
      </c>
      <c r="E222">
        <v>6.1</v>
      </c>
      <c r="F222">
        <v>0</v>
      </c>
      <c r="G222">
        <v>14.4</v>
      </c>
      <c r="H222">
        <v>4000</v>
      </c>
      <c r="I222">
        <v>5329</v>
      </c>
      <c r="J222">
        <v>1</v>
      </c>
      <c r="K222">
        <f t="shared" si="6"/>
        <v>14.4</v>
      </c>
      <c r="L222">
        <f>K222+energy_grid_portfolio_dataset!H222</f>
        <v>4014.4</v>
      </c>
      <c r="M222">
        <f t="shared" si="7"/>
        <v>4</v>
      </c>
    </row>
    <row r="223" spans="1:13" x14ac:dyDescent="0.3">
      <c r="A223" s="1">
        <v>46275.208333333336</v>
      </c>
      <c r="B223" t="s">
        <v>10</v>
      </c>
      <c r="C223">
        <v>29.2</v>
      </c>
      <c r="D223">
        <v>36.700000000000003</v>
      </c>
      <c r="E223">
        <v>3.3</v>
      </c>
      <c r="F223">
        <v>0</v>
      </c>
      <c r="G223">
        <v>2.2999999999999998</v>
      </c>
      <c r="H223">
        <v>4000</v>
      </c>
      <c r="I223">
        <v>5052.3</v>
      </c>
      <c r="J223">
        <v>1</v>
      </c>
      <c r="K223">
        <f t="shared" si="6"/>
        <v>2.2999999999999998</v>
      </c>
      <c r="L223">
        <f>K223+energy_grid_portfolio_dataset!H223</f>
        <v>4002.3</v>
      </c>
      <c r="M223">
        <f t="shared" si="7"/>
        <v>5</v>
      </c>
    </row>
    <row r="224" spans="1:13" x14ac:dyDescent="0.3">
      <c r="A224" s="1">
        <v>46275.25</v>
      </c>
      <c r="B224" t="s">
        <v>10</v>
      </c>
      <c r="C224">
        <v>29.7</v>
      </c>
      <c r="D224">
        <v>41.4</v>
      </c>
      <c r="E224">
        <v>5</v>
      </c>
      <c r="F224">
        <v>474.1</v>
      </c>
      <c r="G224">
        <v>8.1</v>
      </c>
      <c r="H224">
        <v>4000</v>
      </c>
      <c r="I224">
        <v>5038.6000000000004</v>
      </c>
      <c r="J224">
        <v>1</v>
      </c>
      <c r="K224">
        <f t="shared" si="6"/>
        <v>482.20000000000005</v>
      </c>
      <c r="L224">
        <f>K224+energy_grid_portfolio_dataset!H224</f>
        <v>4482.2</v>
      </c>
      <c r="M224">
        <f t="shared" si="7"/>
        <v>6</v>
      </c>
    </row>
    <row r="225" spans="1:13" x14ac:dyDescent="0.3">
      <c r="A225" s="1">
        <v>46275.291666666664</v>
      </c>
      <c r="B225" t="s">
        <v>10</v>
      </c>
      <c r="C225">
        <v>31.3</v>
      </c>
      <c r="D225">
        <v>52.6</v>
      </c>
      <c r="E225">
        <v>5.3</v>
      </c>
      <c r="F225">
        <v>822</v>
      </c>
      <c r="G225">
        <v>9.5</v>
      </c>
      <c r="H225">
        <v>4000</v>
      </c>
      <c r="I225">
        <v>5110</v>
      </c>
      <c r="J225">
        <v>1</v>
      </c>
      <c r="K225">
        <f t="shared" si="6"/>
        <v>831.5</v>
      </c>
      <c r="L225">
        <f>K225+energy_grid_portfolio_dataset!H225</f>
        <v>4831.5</v>
      </c>
      <c r="M225">
        <f t="shared" si="7"/>
        <v>7</v>
      </c>
    </row>
    <row r="226" spans="1:13" x14ac:dyDescent="0.3">
      <c r="A226" s="1">
        <v>46275.333333333336</v>
      </c>
      <c r="B226" t="s">
        <v>10</v>
      </c>
      <c r="C226">
        <v>31.2</v>
      </c>
      <c r="D226">
        <v>49.1</v>
      </c>
      <c r="E226">
        <v>2.4</v>
      </c>
      <c r="F226">
        <v>1227.2</v>
      </c>
      <c r="G226">
        <v>0.8</v>
      </c>
      <c r="H226">
        <v>3696.9</v>
      </c>
      <c r="I226">
        <v>4924.8999999999996</v>
      </c>
      <c r="J226">
        <v>0</v>
      </c>
      <c r="K226">
        <f t="shared" si="6"/>
        <v>1228</v>
      </c>
      <c r="L226">
        <f>K226+energy_grid_portfolio_dataset!H226</f>
        <v>4924.8999999999996</v>
      </c>
      <c r="M226">
        <f t="shared" si="7"/>
        <v>8</v>
      </c>
    </row>
    <row r="227" spans="1:13" x14ac:dyDescent="0.3">
      <c r="A227" s="1">
        <v>46275.375</v>
      </c>
      <c r="B227" t="s">
        <v>10</v>
      </c>
      <c r="C227">
        <v>31.7</v>
      </c>
      <c r="D227">
        <v>25.6</v>
      </c>
      <c r="E227">
        <v>6.6</v>
      </c>
      <c r="F227">
        <v>1925.6</v>
      </c>
      <c r="G227">
        <v>18</v>
      </c>
      <c r="H227">
        <v>3061.7</v>
      </c>
      <c r="I227">
        <v>5005.3</v>
      </c>
      <c r="J227">
        <v>0</v>
      </c>
      <c r="K227">
        <f t="shared" si="6"/>
        <v>1943.6</v>
      </c>
      <c r="L227">
        <f>K227+energy_grid_portfolio_dataset!H227</f>
        <v>5005.2999999999993</v>
      </c>
      <c r="M227">
        <f t="shared" si="7"/>
        <v>9</v>
      </c>
    </row>
    <row r="228" spans="1:13" x14ac:dyDescent="0.3">
      <c r="A228" s="1">
        <v>46275.416666666664</v>
      </c>
      <c r="B228" t="s">
        <v>10</v>
      </c>
      <c r="C228">
        <v>33.299999999999997</v>
      </c>
      <c r="D228">
        <v>0</v>
      </c>
      <c r="E228">
        <v>5.5</v>
      </c>
      <c r="F228">
        <v>2702.9</v>
      </c>
      <c r="G228">
        <v>10.6</v>
      </c>
      <c r="H228">
        <v>4000</v>
      </c>
      <c r="I228">
        <v>7178.7</v>
      </c>
      <c r="J228">
        <v>1</v>
      </c>
      <c r="K228">
        <f t="shared" si="6"/>
        <v>2713.5</v>
      </c>
      <c r="L228">
        <f>K228+energy_grid_portfolio_dataset!H228</f>
        <v>6713.5</v>
      </c>
      <c r="M228">
        <f t="shared" si="7"/>
        <v>10</v>
      </c>
    </row>
    <row r="229" spans="1:13" x14ac:dyDescent="0.3">
      <c r="A229" s="1">
        <v>46275.458333333336</v>
      </c>
      <c r="B229" t="s">
        <v>10</v>
      </c>
      <c r="C229">
        <v>37</v>
      </c>
      <c r="D229">
        <v>18.8</v>
      </c>
      <c r="E229">
        <v>4.4000000000000004</v>
      </c>
      <c r="F229">
        <v>2539</v>
      </c>
      <c r="G229">
        <v>5.6</v>
      </c>
      <c r="H229">
        <v>4000</v>
      </c>
      <c r="I229">
        <v>7246.8</v>
      </c>
      <c r="J229">
        <v>1</v>
      </c>
      <c r="K229">
        <f t="shared" si="6"/>
        <v>2544.6</v>
      </c>
      <c r="L229">
        <f>K229+energy_grid_portfolio_dataset!H229</f>
        <v>6544.6</v>
      </c>
      <c r="M229">
        <f t="shared" si="7"/>
        <v>11</v>
      </c>
    </row>
    <row r="230" spans="1:13" x14ac:dyDescent="0.3">
      <c r="A230" s="1">
        <v>46275.5</v>
      </c>
      <c r="B230" t="s">
        <v>10</v>
      </c>
      <c r="C230">
        <v>36.4</v>
      </c>
      <c r="D230">
        <v>23.1</v>
      </c>
      <c r="E230">
        <v>4.5999999999999996</v>
      </c>
      <c r="F230">
        <v>2515</v>
      </c>
      <c r="G230">
        <v>6.1</v>
      </c>
      <c r="H230">
        <v>4000</v>
      </c>
      <c r="I230">
        <v>7187.4</v>
      </c>
      <c r="J230">
        <v>1</v>
      </c>
      <c r="K230">
        <f t="shared" si="6"/>
        <v>2521.1</v>
      </c>
      <c r="L230">
        <f>K230+energy_grid_portfolio_dataset!H230</f>
        <v>6521.1</v>
      </c>
      <c r="M230">
        <f t="shared" si="7"/>
        <v>12</v>
      </c>
    </row>
    <row r="231" spans="1:13" x14ac:dyDescent="0.3">
      <c r="A231" s="1">
        <v>46275.541666666664</v>
      </c>
      <c r="B231" t="s">
        <v>10</v>
      </c>
      <c r="C231">
        <v>34.1</v>
      </c>
      <c r="D231">
        <v>16.100000000000001</v>
      </c>
      <c r="E231">
        <v>4.4000000000000004</v>
      </c>
      <c r="F231">
        <v>2595.6999999999998</v>
      </c>
      <c r="G231">
        <v>5.4</v>
      </c>
      <c r="H231">
        <v>4000</v>
      </c>
      <c r="I231">
        <v>7241.2</v>
      </c>
      <c r="J231">
        <v>1</v>
      </c>
      <c r="K231">
        <f t="shared" si="6"/>
        <v>2601.1</v>
      </c>
      <c r="L231">
        <f>K231+energy_grid_portfolio_dataset!H231</f>
        <v>6601.1</v>
      </c>
      <c r="M231">
        <f t="shared" si="7"/>
        <v>13</v>
      </c>
    </row>
    <row r="232" spans="1:13" x14ac:dyDescent="0.3">
      <c r="A232" s="1">
        <v>46275.583333333336</v>
      </c>
      <c r="B232" t="s">
        <v>10</v>
      </c>
      <c r="C232">
        <v>31.7</v>
      </c>
      <c r="D232">
        <v>27.7</v>
      </c>
      <c r="E232">
        <v>2.6</v>
      </c>
      <c r="F232">
        <v>2179.6</v>
      </c>
      <c r="G232">
        <v>1.1000000000000001</v>
      </c>
      <c r="H232">
        <v>4000</v>
      </c>
      <c r="I232">
        <v>7311</v>
      </c>
      <c r="J232">
        <v>1</v>
      </c>
      <c r="K232">
        <f t="shared" si="6"/>
        <v>2180.6999999999998</v>
      </c>
      <c r="L232">
        <f>K232+energy_grid_portfolio_dataset!H232</f>
        <v>6180.7</v>
      </c>
      <c r="M232">
        <f t="shared" si="7"/>
        <v>14</v>
      </c>
    </row>
    <row r="233" spans="1:13" x14ac:dyDescent="0.3">
      <c r="A233" s="1">
        <v>46275.625</v>
      </c>
      <c r="B233" t="s">
        <v>10</v>
      </c>
      <c r="C233">
        <v>30</v>
      </c>
      <c r="D233">
        <v>13.8</v>
      </c>
      <c r="E233">
        <v>4.8</v>
      </c>
      <c r="F233">
        <v>2118.6</v>
      </c>
      <c r="G233">
        <v>6.9</v>
      </c>
      <c r="H233">
        <v>3003.8</v>
      </c>
      <c r="I233">
        <v>5129.3</v>
      </c>
      <c r="J233">
        <v>0</v>
      </c>
      <c r="K233">
        <f t="shared" si="6"/>
        <v>2125.5</v>
      </c>
      <c r="L233">
        <f>K233+energy_grid_portfolio_dataset!H233</f>
        <v>5129.3</v>
      </c>
      <c r="M233">
        <f t="shared" si="7"/>
        <v>15</v>
      </c>
    </row>
    <row r="234" spans="1:13" x14ac:dyDescent="0.3">
      <c r="A234" s="1">
        <v>46275.666666666664</v>
      </c>
      <c r="B234" t="s">
        <v>10</v>
      </c>
      <c r="C234">
        <v>30.9</v>
      </c>
      <c r="D234">
        <v>13.9</v>
      </c>
      <c r="E234">
        <v>7.8</v>
      </c>
      <c r="F234">
        <v>1688.5</v>
      </c>
      <c r="G234">
        <v>29.9</v>
      </c>
      <c r="H234">
        <v>3466.4</v>
      </c>
      <c r="I234">
        <v>5184.8</v>
      </c>
      <c r="J234">
        <v>0</v>
      </c>
      <c r="K234">
        <f t="shared" si="6"/>
        <v>1718.4</v>
      </c>
      <c r="L234">
        <f>K234+energy_grid_portfolio_dataset!H234</f>
        <v>5184.8</v>
      </c>
      <c r="M234">
        <f t="shared" si="7"/>
        <v>16</v>
      </c>
    </row>
    <row r="235" spans="1:13" x14ac:dyDescent="0.3">
      <c r="A235" s="1">
        <v>46275.708333333336</v>
      </c>
      <c r="B235" t="s">
        <v>10</v>
      </c>
      <c r="C235">
        <v>26.3</v>
      </c>
      <c r="D235">
        <v>33.799999999999997</v>
      </c>
      <c r="E235">
        <v>3</v>
      </c>
      <c r="F235">
        <v>993.7</v>
      </c>
      <c r="G235">
        <v>1.7</v>
      </c>
      <c r="H235">
        <v>3737.4</v>
      </c>
      <c r="I235">
        <v>4732.8</v>
      </c>
      <c r="J235">
        <v>0</v>
      </c>
      <c r="K235">
        <f t="shared" si="6"/>
        <v>995.40000000000009</v>
      </c>
      <c r="L235">
        <f>K235+energy_grid_portfolio_dataset!H235</f>
        <v>4732.8</v>
      </c>
      <c r="M235">
        <f t="shared" si="7"/>
        <v>17</v>
      </c>
    </row>
    <row r="236" spans="1:13" x14ac:dyDescent="0.3">
      <c r="A236" s="1">
        <v>46275.75</v>
      </c>
      <c r="B236" t="s">
        <v>10</v>
      </c>
      <c r="C236">
        <v>29.1</v>
      </c>
      <c r="D236">
        <v>29.9</v>
      </c>
      <c r="E236">
        <v>2.9</v>
      </c>
      <c r="F236">
        <v>528</v>
      </c>
      <c r="G236">
        <v>1.5</v>
      </c>
      <c r="H236">
        <v>4000</v>
      </c>
      <c r="I236">
        <v>7546.8</v>
      </c>
      <c r="J236">
        <v>1</v>
      </c>
      <c r="K236">
        <f t="shared" si="6"/>
        <v>529.5</v>
      </c>
      <c r="L236">
        <f>K236+energy_grid_portfolio_dataset!H236</f>
        <v>4529.5</v>
      </c>
      <c r="M236">
        <f t="shared" si="7"/>
        <v>18</v>
      </c>
    </row>
    <row r="237" spans="1:13" x14ac:dyDescent="0.3">
      <c r="A237" s="1">
        <v>46275.791666666664</v>
      </c>
      <c r="B237" t="s">
        <v>10</v>
      </c>
      <c r="C237">
        <v>27.8</v>
      </c>
      <c r="D237">
        <v>38</v>
      </c>
      <c r="E237">
        <v>3.8</v>
      </c>
      <c r="F237">
        <v>0</v>
      </c>
      <c r="G237">
        <v>3.5</v>
      </c>
      <c r="H237">
        <v>4000</v>
      </c>
      <c r="I237">
        <v>7508</v>
      </c>
      <c r="J237">
        <v>1</v>
      </c>
      <c r="K237">
        <f t="shared" si="6"/>
        <v>3.5</v>
      </c>
      <c r="L237">
        <f>K237+energy_grid_portfolio_dataset!H237</f>
        <v>4003.5</v>
      </c>
      <c r="M237">
        <f t="shared" si="7"/>
        <v>19</v>
      </c>
    </row>
    <row r="238" spans="1:13" x14ac:dyDescent="0.3">
      <c r="A238" s="1">
        <v>46275.833333333336</v>
      </c>
      <c r="B238" t="s">
        <v>10</v>
      </c>
      <c r="C238">
        <v>23.4</v>
      </c>
      <c r="D238">
        <v>0</v>
      </c>
      <c r="E238">
        <v>2.6</v>
      </c>
      <c r="F238">
        <v>0</v>
      </c>
      <c r="G238">
        <v>1.1000000000000001</v>
      </c>
      <c r="H238">
        <v>4000</v>
      </c>
      <c r="I238">
        <v>7977</v>
      </c>
      <c r="J238">
        <v>1</v>
      </c>
      <c r="K238">
        <f t="shared" si="6"/>
        <v>1.1000000000000001</v>
      </c>
      <c r="L238">
        <f>K238+energy_grid_portfolio_dataset!H238</f>
        <v>4001.1</v>
      </c>
      <c r="M238">
        <f t="shared" si="7"/>
        <v>20</v>
      </c>
    </row>
    <row r="239" spans="1:13" x14ac:dyDescent="0.3">
      <c r="A239" s="1">
        <v>46275.875</v>
      </c>
      <c r="B239" t="s">
        <v>10</v>
      </c>
      <c r="C239">
        <v>24.1</v>
      </c>
      <c r="D239">
        <v>20.2</v>
      </c>
      <c r="E239">
        <v>4.7</v>
      </c>
      <c r="F239">
        <v>0</v>
      </c>
      <c r="G239">
        <v>6.7</v>
      </c>
      <c r="H239">
        <v>4000</v>
      </c>
      <c r="I239">
        <v>7693.2</v>
      </c>
      <c r="J239">
        <v>1</v>
      </c>
      <c r="K239">
        <f t="shared" si="6"/>
        <v>6.7</v>
      </c>
      <c r="L239">
        <f>K239+energy_grid_portfolio_dataset!H239</f>
        <v>4006.7</v>
      </c>
      <c r="M239">
        <f t="shared" si="7"/>
        <v>21</v>
      </c>
    </row>
    <row r="240" spans="1:13" x14ac:dyDescent="0.3">
      <c r="A240" s="1">
        <v>46275.916666666664</v>
      </c>
      <c r="B240" t="s">
        <v>10</v>
      </c>
      <c r="C240">
        <v>25</v>
      </c>
      <c r="D240">
        <v>23.4</v>
      </c>
      <c r="E240">
        <v>6.2</v>
      </c>
      <c r="F240">
        <v>0</v>
      </c>
      <c r="G240">
        <v>15.5</v>
      </c>
      <c r="H240">
        <v>4000</v>
      </c>
      <c r="I240">
        <v>4762.3</v>
      </c>
      <c r="J240">
        <v>1</v>
      </c>
      <c r="K240">
        <f t="shared" si="6"/>
        <v>15.5</v>
      </c>
      <c r="L240">
        <f>K240+energy_grid_portfolio_dataset!H240</f>
        <v>4015.5</v>
      </c>
      <c r="M240">
        <f t="shared" si="7"/>
        <v>22</v>
      </c>
    </row>
    <row r="241" spans="1:13" x14ac:dyDescent="0.3">
      <c r="A241" s="1">
        <v>46275.958333333336</v>
      </c>
      <c r="B241" t="s">
        <v>10</v>
      </c>
      <c r="C241">
        <v>22.9</v>
      </c>
      <c r="D241">
        <v>36.4</v>
      </c>
      <c r="E241">
        <v>4.9000000000000004</v>
      </c>
      <c r="F241">
        <v>0</v>
      </c>
      <c r="G241">
        <v>7.5</v>
      </c>
      <c r="H241">
        <v>4000</v>
      </c>
      <c r="I241">
        <v>5001.3999999999996</v>
      </c>
      <c r="J241">
        <v>1</v>
      </c>
      <c r="K241">
        <f t="shared" si="6"/>
        <v>7.5</v>
      </c>
      <c r="L241">
        <f>K241+energy_grid_portfolio_dataset!H241</f>
        <v>4007.5</v>
      </c>
      <c r="M241">
        <f t="shared" si="7"/>
        <v>23</v>
      </c>
    </row>
    <row r="242" spans="1:13" x14ac:dyDescent="0.3">
      <c r="A242" s="1">
        <v>46276</v>
      </c>
      <c r="B242" t="s">
        <v>10</v>
      </c>
      <c r="C242">
        <v>24</v>
      </c>
      <c r="D242">
        <v>28.9</v>
      </c>
      <c r="E242">
        <v>5.4</v>
      </c>
      <c r="F242">
        <v>0</v>
      </c>
      <c r="G242">
        <v>10.199999999999999</v>
      </c>
      <c r="H242">
        <v>4000</v>
      </c>
      <c r="I242">
        <v>5046.3999999999996</v>
      </c>
      <c r="J242">
        <v>1</v>
      </c>
      <c r="K242">
        <f t="shared" si="6"/>
        <v>10.199999999999999</v>
      </c>
      <c r="L242">
        <f>K242+energy_grid_portfolio_dataset!H242</f>
        <v>4010.2</v>
      </c>
      <c r="M242">
        <f t="shared" si="7"/>
        <v>0</v>
      </c>
    </row>
    <row r="243" spans="1:13" x14ac:dyDescent="0.3">
      <c r="A243" s="1">
        <v>46276.041666666664</v>
      </c>
      <c r="B243" t="s">
        <v>10</v>
      </c>
      <c r="C243">
        <v>24.4</v>
      </c>
      <c r="D243">
        <v>11.5</v>
      </c>
      <c r="E243">
        <v>7.6</v>
      </c>
      <c r="F243">
        <v>0</v>
      </c>
      <c r="G243">
        <v>28.1</v>
      </c>
      <c r="H243">
        <v>4000</v>
      </c>
      <c r="I243">
        <v>4936.5</v>
      </c>
      <c r="J243">
        <v>1</v>
      </c>
      <c r="K243">
        <f t="shared" si="6"/>
        <v>28.1</v>
      </c>
      <c r="L243">
        <f>K243+energy_grid_portfolio_dataset!H243</f>
        <v>4028.1</v>
      </c>
      <c r="M243">
        <f t="shared" si="7"/>
        <v>1</v>
      </c>
    </row>
    <row r="244" spans="1:13" x14ac:dyDescent="0.3">
      <c r="A244" s="1">
        <v>46276.083333333336</v>
      </c>
      <c r="B244" t="s">
        <v>10</v>
      </c>
      <c r="C244">
        <v>20.7</v>
      </c>
      <c r="D244">
        <v>27.6</v>
      </c>
      <c r="E244">
        <v>2.6</v>
      </c>
      <c r="F244">
        <v>0</v>
      </c>
      <c r="G244">
        <v>1.2</v>
      </c>
      <c r="H244">
        <v>4000</v>
      </c>
      <c r="I244">
        <v>4944</v>
      </c>
      <c r="J244">
        <v>1</v>
      </c>
      <c r="K244">
        <f t="shared" si="6"/>
        <v>1.2</v>
      </c>
      <c r="L244">
        <f>K244+energy_grid_portfolio_dataset!H244</f>
        <v>4001.2</v>
      </c>
      <c r="M244">
        <f t="shared" si="7"/>
        <v>2</v>
      </c>
    </row>
    <row r="245" spans="1:13" x14ac:dyDescent="0.3">
      <c r="A245" s="1">
        <v>46276.125</v>
      </c>
      <c r="B245" t="s">
        <v>10</v>
      </c>
      <c r="C245">
        <v>22.8</v>
      </c>
      <c r="D245">
        <v>16.100000000000001</v>
      </c>
      <c r="E245">
        <v>0.2</v>
      </c>
      <c r="F245">
        <v>0</v>
      </c>
      <c r="G245">
        <v>0</v>
      </c>
      <c r="H245">
        <v>4000</v>
      </c>
      <c r="I245">
        <v>5076.1000000000004</v>
      </c>
      <c r="J245">
        <v>1</v>
      </c>
      <c r="K245">
        <f t="shared" si="6"/>
        <v>0</v>
      </c>
      <c r="L245">
        <f>K245+energy_grid_portfolio_dataset!H245</f>
        <v>4000</v>
      </c>
      <c r="M245">
        <f t="shared" si="7"/>
        <v>3</v>
      </c>
    </row>
    <row r="246" spans="1:13" x14ac:dyDescent="0.3">
      <c r="A246" s="1">
        <v>46276.166666666664</v>
      </c>
      <c r="B246" t="s">
        <v>10</v>
      </c>
      <c r="C246">
        <v>21.4</v>
      </c>
      <c r="D246">
        <v>0</v>
      </c>
      <c r="E246">
        <v>5.5</v>
      </c>
      <c r="F246">
        <v>0</v>
      </c>
      <c r="G246">
        <v>10.8</v>
      </c>
      <c r="H246">
        <v>4000</v>
      </c>
      <c r="I246">
        <v>4882.2</v>
      </c>
      <c r="J246">
        <v>1</v>
      </c>
      <c r="K246">
        <f t="shared" si="6"/>
        <v>10.8</v>
      </c>
      <c r="L246">
        <f>K246+energy_grid_portfolio_dataset!H246</f>
        <v>4010.8</v>
      </c>
      <c r="M246">
        <f t="shared" si="7"/>
        <v>4</v>
      </c>
    </row>
    <row r="247" spans="1:13" x14ac:dyDescent="0.3">
      <c r="A247" s="1">
        <v>46276.208333333336</v>
      </c>
      <c r="B247" t="s">
        <v>10</v>
      </c>
      <c r="C247">
        <v>27.1</v>
      </c>
      <c r="D247">
        <v>5.7</v>
      </c>
      <c r="E247">
        <v>3.9</v>
      </c>
      <c r="F247">
        <v>0</v>
      </c>
      <c r="G247">
        <v>3.8</v>
      </c>
      <c r="H247">
        <v>4000</v>
      </c>
      <c r="I247">
        <v>5067.8999999999996</v>
      </c>
      <c r="J247">
        <v>1</v>
      </c>
      <c r="K247">
        <f t="shared" si="6"/>
        <v>3.8</v>
      </c>
      <c r="L247">
        <f>K247+energy_grid_portfolio_dataset!H247</f>
        <v>4003.8</v>
      </c>
      <c r="M247">
        <f t="shared" si="7"/>
        <v>5</v>
      </c>
    </row>
    <row r="248" spans="1:13" x14ac:dyDescent="0.3">
      <c r="A248" s="1">
        <v>46276.25</v>
      </c>
      <c r="B248" t="s">
        <v>10</v>
      </c>
      <c r="C248">
        <v>26.3</v>
      </c>
      <c r="D248">
        <v>55.1</v>
      </c>
      <c r="E248">
        <v>5.8</v>
      </c>
      <c r="F248">
        <v>410.2</v>
      </c>
      <c r="G248">
        <v>12.2</v>
      </c>
      <c r="H248">
        <v>4000</v>
      </c>
      <c r="I248">
        <v>4949.5</v>
      </c>
      <c r="J248">
        <v>1</v>
      </c>
      <c r="K248">
        <f t="shared" si="6"/>
        <v>422.4</v>
      </c>
      <c r="L248">
        <f>K248+energy_grid_portfolio_dataset!H248</f>
        <v>4422.3999999999996</v>
      </c>
      <c r="M248">
        <f t="shared" si="7"/>
        <v>6</v>
      </c>
    </row>
    <row r="249" spans="1:13" x14ac:dyDescent="0.3">
      <c r="A249" s="1">
        <v>46276.291666666664</v>
      </c>
      <c r="B249" t="s">
        <v>10</v>
      </c>
      <c r="C249">
        <v>29.6</v>
      </c>
      <c r="D249">
        <v>29.2</v>
      </c>
      <c r="E249">
        <v>0</v>
      </c>
      <c r="F249">
        <v>1035.9000000000001</v>
      </c>
      <c r="G249">
        <v>0</v>
      </c>
      <c r="H249">
        <v>3881</v>
      </c>
      <c r="I249">
        <v>4916.8999999999996</v>
      </c>
      <c r="J249">
        <v>0</v>
      </c>
      <c r="K249">
        <f t="shared" si="6"/>
        <v>1035.9000000000001</v>
      </c>
      <c r="L249">
        <f>K249+energy_grid_portfolio_dataset!H249</f>
        <v>4916.8999999999996</v>
      </c>
      <c r="M249">
        <f t="shared" si="7"/>
        <v>7</v>
      </c>
    </row>
    <row r="250" spans="1:13" x14ac:dyDescent="0.3">
      <c r="A250" s="1">
        <v>46276.333333333336</v>
      </c>
      <c r="B250" t="s">
        <v>10</v>
      </c>
      <c r="C250">
        <v>30</v>
      </c>
      <c r="D250">
        <v>5</v>
      </c>
      <c r="E250">
        <v>3.4</v>
      </c>
      <c r="F250">
        <v>1805.4</v>
      </c>
      <c r="G250">
        <v>2.6</v>
      </c>
      <c r="H250">
        <v>3104.9</v>
      </c>
      <c r="I250">
        <v>4912.8999999999996</v>
      </c>
      <c r="J250">
        <v>0</v>
      </c>
      <c r="K250">
        <f t="shared" si="6"/>
        <v>1808</v>
      </c>
      <c r="L250">
        <f>K250+energy_grid_portfolio_dataset!H250</f>
        <v>4912.8999999999996</v>
      </c>
      <c r="M250">
        <f t="shared" si="7"/>
        <v>8</v>
      </c>
    </row>
    <row r="251" spans="1:13" x14ac:dyDescent="0.3">
      <c r="A251" s="1">
        <v>46276.375</v>
      </c>
      <c r="B251" t="s">
        <v>10</v>
      </c>
      <c r="C251">
        <v>33.200000000000003</v>
      </c>
      <c r="D251">
        <v>13.6</v>
      </c>
      <c r="E251">
        <v>5.0999999999999996</v>
      </c>
      <c r="F251">
        <v>2122.6</v>
      </c>
      <c r="G251">
        <v>8.6999999999999993</v>
      </c>
      <c r="H251">
        <v>3088.4</v>
      </c>
      <c r="I251">
        <v>5219.7</v>
      </c>
      <c r="J251">
        <v>0</v>
      </c>
      <c r="K251">
        <f t="shared" si="6"/>
        <v>2131.2999999999997</v>
      </c>
      <c r="L251">
        <f>K251+energy_grid_portfolio_dataset!H251</f>
        <v>5219.7</v>
      </c>
      <c r="M251">
        <f t="shared" si="7"/>
        <v>9</v>
      </c>
    </row>
    <row r="252" spans="1:13" x14ac:dyDescent="0.3">
      <c r="A252" s="1">
        <v>46276.416666666664</v>
      </c>
      <c r="B252" t="s">
        <v>10</v>
      </c>
      <c r="C252">
        <v>34.6</v>
      </c>
      <c r="D252">
        <v>26.2</v>
      </c>
      <c r="E252">
        <v>2.7</v>
      </c>
      <c r="F252">
        <v>2207.3000000000002</v>
      </c>
      <c r="G252">
        <v>1.3</v>
      </c>
      <c r="H252">
        <v>4000</v>
      </c>
      <c r="I252">
        <v>7359.9</v>
      </c>
      <c r="J252">
        <v>1</v>
      </c>
      <c r="K252">
        <f t="shared" si="6"/>
        <v>2208.6000000000004</v>
      </c>
      <c r="L252">
        <f>K252+energy_grid_portfolio_dataset!H252</f>
        <v>6208.6</v>
      </c>
      <c r="M252">
        <f t="shared" si="7"/>
        <v>10</v>
      </c>
    </row>
    <row r="253" spans="1:13" x14ac:dyDescent="0.3">
      <c r="A253" s="1">
        <v>46276.458333333336</v>
      </c>
      <c r="B253" t="s">
        <v>10</v>
      </c>
      <c r="C253">
        <v>34.4</v>
      </c>
      <c r="D253">
        <v>42.9</v>
      </c>
      <c r="E253">
        <v>5.3</v>
      </c>
      <c r="F253">
        <v>2046.4</v>
      </c>
      <c r="G253">
        <v>9.4</v>
      </c>
      <c r="H253">
        <v>4000</v>
      </c>
      <c r="I253">
        <v>7254.7</v>
      </c>
      <c r="J253">
        <v>1</v>
      </c>
      <c r="K253">
        <f t="shared" si="6"/>
        <v>2055.8000000000002</v>
      </c>
      <c r="L253">
        <f>K253+energy_grid_portfolio_dataset!H253</f>
        <v>6055.8</v>
      </c>
      <c r="M253">
        <f t="shared" si="7"/>
        <v>11</v>
      </c>
    </row>
    <row r="254" spans="1:13" x14ac:dyDescent="0.3">
      <c r="A254" s="1">
        <v>46276.5</v>
      </c>
      <c r="B254" t="s">
        <v>10</v>
      </c>
      <c r="C254">
        <v>33.200000000000003</v>
      </c>
      <c r="D254">
        <v>51.3</v>
      </c>
      <c r="E254">
        <v>4.4000000000000004</v>
      </c>
      <c r="F254">
        <v>1921.7</v>
      </c>
      <c r="G254">
        <v>5.4</v>
      </c>
      <c r="H254">
        <v>4000</v>
      </c>
      <c r="I254">
        <v>7307.4</v>
      </c>
      <c r="J254">
        <v>1</v>
      </c>
      <c r="K254">
        <f t="shared" si="6"/>
        <v>1927.1000000000001</v>
      </c>
      <c r="L254">
        <f>K254+energy_grid_portfolio_dataset!H254</f>
        <v>5927.1</v>
      </c>
      <c r="M254">
        <f t="shared" si="7"/>
        <v>12</v>
      </c>
    </row>
    <row r="255" spans="1:13" x14ac:dyDescent="0.3">
      <c r="A255" s="1">
        <v>46276.541666666664</v>
      </c>
      <c r="B255" t="s">
        <v>10</v>
      </c>
      <c r="C255">
        <v>32.799999999999997</v>
      </c>
      <c r="D255">
        <v>59.7</v>
      </c>
      <c r="E255">
        <v>4.4000000000000004</v>
      </c>
      <c r="F255">
        <v>1702.1</v>
      </c>
      <c r="G255">
        <v>5.4</v>
      </c>
      <c r="H255">
        <v>4000</v>
      </c>
      <c r="I255">
        <v>7461.3</v>
      </c>
      <c r="J255">
        <v>1</v>
      </c>
      <c r="K255">
        <f t="shared" si="6"/>
        <v>1707.5</v>
      </c>
      <c r="L255">
        <f>K255+energy_grid_portfolio_dataset!H255</f>
        <v>5707.5</v>
      </c>
      <c r="M255">
        <f t="shared" si="7"/>
        <v>13</v>
      </c>
    </row>
    <row r="256" spans="1:13" x14ac:dyDescent="0.3">
      <c r="A256" s="1">
        <v>46276.583333333336</v>
      </c>
      <c r="B256" t="s">
        <v>10</v>
      </c>
      <c r="C256">
        <v>32.5</v>
      </c>
      <c r="D256">
        <v>18.600000000000001</v>
      </c>
      <c r="E256">
        <v>4.8</v>
      </c>
      <c r="F256">
        <v>2351.1</v>
      </c>
      <c r="G256">
        <v>7.3</v>
      </c>
      <c r="H256">
        <v>4000</v>
      </c>
      <c r="I256">
        <v>7052.3</v>
      </c>
      <c r="J256">
        <v>1</v>
      </c>
      <c r="K256">
        <f t="shared" si="6"/>
        <v>2358.4</v>
      </c>
      <c r="L256">
        <f>K256+energy_grid_portfolio_dataset!H256</f>
        <v>6358.4</v>
      </c>
      <c r="M256">
        <f t="shared" si="7"/>
        <v>14</v>
      </c>
    </row>
    <row r="257" spans="1:13" x14ac:dyDescent="0.3">
      <c r="A257" s="1">
        <v>46276.625</v>
      </c>
      <c r="B257" t="s">
        <v>10</v>
      </c>
      <c r="C257">
        <v>31.4</v>
      </c>
      <c r="D257">
        <v>24.5</v>
      </c>
      <c r="E257">
        <v>8.3000000000000007</v>
      </c>
      <c r="F257">
        <v>1943</v>
      </c>
      <c r="G257">
        <v>36.4</v>
      </c>
      <c r="H257">
        <v>3049</v>
      </c>
      <c r="I257">
        <v>5028.3999999999996</v>
      </c>
      <c r="J257">
        <v>0</v>
      </c>
      <c r="K257">
        <f t="shared" si="6"/>
        <v>1979.4</v>
      </c>
      <c r="L257">
        <f>K257+energy_grid_portfolio_dataset!H257</f>
        <v>5028.3999999999996</v>
      </c>
      <c r="M257">
        <f t="shared" si="7"/>
        <v>15</v>
      </c>
    </row>
    <row r="258" spans="1:13" x14ac:dyDescent="0.3">
      <c r="A258" s="1">
        <v>46276.666666666664</v>
      </c>
      <c r="B258" t="s">
        <v>10</v>
      </c>
      <c r="C258">
        <v>31.7</v>
      </c>
      <c r="D258">
        <v>25.8</v>
      </c>
      <c r="E258">
        <v>4.2</v>
      </c>
      <c r="F258">
        <v>1533.2</v>
      </c>
      <c r="G258">
        <v>4.9000000000000004</v>
      </c>
      <c r="H258">
        <v>3671</v>
      </c>
      <c r="I258">
        <v>5209.1000000000004</v>
      </c>
      <c r="J258">
        <v>0</v>
      </c>
      <c r="K258">
        <f t="shared" si="6"/>
        <v>1538.1000000000001</v>
      </c>
      <c r="L258">
        <f>K258+energy_grid_portfolio_dataset!H258</f>
        <v>5209.1000000000004</v>
      </c>
      <c r="M258">
        <f t="shared" si="7"/>
        <v>16</v>
      </c>
    </row>
    <row r="259" spans="1:13" x14ac:dyDescent="0.3">
      <c r="A259" s="1">
        <v>46276.708333333336</v>
      </c>
      <c r="B259" t="s">
        <v>10</v>
      </c>
      <c r="C259">
        <v>28</v>
      </c>
      <c r="D259">
        <v>19.899999999999999</v>
      </c>
      <c r="E259">
        <v>0.7</v>
      </c>
      <c r="F259">
        <v>1120.8</v>
      </c>
      <c r="G259">
        <v>0</v>
      </c>
      <c r="H259">
        <v>3921.2</v>
      </c>
      <c r="I259">
        <v>5042</v>
      </c>
      <c r="J259">
        <v>0</v>
      </c>
      <c r="K259">
        <f t="shared" ref="K259:K322" si="8">F259+G259</f>
        <v>1120.8</v>
      </c>
      <c r="L259">
        <f>K259+energy_grid_portfolio_dataset!H259</f>
        <v>5042</v>
      </c>
      <c r="M259">
        <f t="shared" ref="M259:M322" si="9">HOUR(A259)</f>
        <v>17</v>
      </c>
    </row>
    <row r="260" spans="1:13" x14ac:dyDescent="0.3">
      <c r="A260" s="1">
        <v>46276.75</v>
      </c>
      <c r="B260" t="s">
        <v>10</v>
      </c>
      <c r="C260">
        <v>29</v>
      </c>
      <c r="D260">
        <v>15.3</v>
      </c>
      <c r="E260">
        <v>7.1</v>
      </c>
      <c r="F260">
        <v>595.9</v>
      </c>
      <c r="G260">
        <v>23.4</v>
      </c>
      <c r="H260">
        <v>4000</v>
      </c>
      <c r="I260">
        <v>7759.9</v>
      </c>
      <c r="J260">
        <v>1</v>
      </c>
      <c r="K260">
        <f t="shared" si="8"/>
        <v>619.29999999999995</v>
      </c>
      <c r="L260">
        <f>K260+energy_grid_portfolio_dataset!H260</f>
        <v>4619.3</v>
      </c>
      <c r="M260">
        <f t="shared" si="9"/>
        <v>18</v>
      </c>
    </row>
    <row r="261" spans="1:13" x14ac:dyDescent="0.3">
      <c r="A261" s="1">
        <v>46276.791666666664</v>
      </c>
      <c r="B261" t="s">
        <v>10</v>
      </c>
      <c r="C261">
        <v>24.3</v>
      </c>
      <c r="D261">
        <v>29.5</v>
      </c>
      <c r="E261">
        <v>6.1</v>
      </c>
      <c r="F261">
        <v>0</v>
      </c>
      <c r="G261">
        <v>14.5</v>
      </c>
      <c r="H261">
        <v>4000</v>
      </c>
      <c r="I261">
        <v>7516.1</v>
      </c>
      <c r="J261">
        <v>1</v>
      </c>
      <c r="K261">
        <f t="shared" si="8"/>
        <v>14.5</v>
      </c>
      <c r="L261">
        <f>K261+energy_grid_portfolio_dataset!H261</f>
        <v>4014.5</v>
      </c>
      <c r="M261">
        <f t="shared" si="9"/>
        <v>19</v>
      </c>
    </row>
    <row r="262" spans="1:13" x14ac:dyDescent="0.3">
      <c r="A262" s="1">
        <v>46276.833333333336</v>
      </c>
      <c r="B262" t="s">
        <v>10</v>
      </c>
      <c r="C262">
        <v>24.3</v>
      </c>
      <c r="D262">
        <v>46.6</v>
      </c>
      <c r="E262">
        <v>3.9</v>
      </c>
      <c r="F262">
        <v>0</v>
      </c>
      <c r="G262">
        <v>3.9</v>
      </c>
      <c r="H262">
        <v>4000</v>
      </c>
      <c r="I262">
        <v>7952.6</v>
      </c>
      <c r="J262">
        <v>1</v>
      </c>
      <c r="K262">
        <f t="shared" si="8"/>
        <v>3.9</v>
      </c>
      <c r="L262">
        <f>K262+energy_grid_portfolio_dataset!H262</f>
        <v>4003.9</v>
      </c>
      <c r="M262">
        <f t="shared" si="9"/>
        <v>20</v>
      </c>
    </row>
    <row r="263" spans="1:13" x14ac:dyDescent="0.3">
      <c r="A263" s="1">
        <v>46276.875</v>
      </c>
      <c r="B263" t="s">
        <v>10</v>
      </c>
      <c r="C263">
        <v>25.1</v>
      </c>
      <c r="D263">
        <v>38</v>
      </c>
      <c r="E263">
        <v>0.8</v>
      </c>
      <c r="F263">
        <v>0</v>
      </c>
      <c r="G263">
        <v>0</v>
      </c>
      <c r="H263">
        <v>4000</v>
      </c>
      <c r="I263">
        <v>7674.1</v>
      </c>
      <c r="J263">
        <v>1</v>
      </c>
      <c r="K263">
        <f t="shared" si="8"/>
        <v>0</v>
      </c>
      <c r="L263">
        <f>K263+energy_grid_portfolio_dataset!H263</f>
        <v>4000</v>
      </c>
      <c r="M263">
        <f t="shared" si="9"/>
        <v>21</v>
      </c>
    </row>
    <row r="264" spans="1:13" x14ac:dyDescent="0.3">
      <c r="A264" s="1">
        <v>46276.916666666664</v>
      </c>
      <c r="B264" t="s">
        <v>10</v>
      </c>
      <c r="C264">
        <v>24.9</v>
      </c>
      <c r="D264">
        <v>12.5</v>
      </c>
      <c r="E264">
        <v>4.8</v>
      </c>
      <c r="F264">
        <v>0</v>
      </c>
      <c r="G264">
        <v>7</v>
      </c>
      <c r="H264">
        <v>4000</v>
      </c>
      <c r="I264">
        <v>5171.5</v>
      </c>
      <c r="J264">
        <v>1</v>
      </c>
      <c r="K264">
        <f t="shared" si="8"/>
        <v>7</v>
      </c>
      <c r="L264">
        <f>K264+energy_grid_portfolio_dataset!H264</f>
        <v>4007</v>
      </c>
      <c r="M264">
        <f t="shared" si="9"/>
        <v>22</v>
      </c>
    </row>
    <row r="265" spans="1:13" x14ac:dyDescent="0.3">
      <c r="A265" s="1">
        <v>46276.958333333336</v>
      </c>
      <c r="B265" t="s">
        <v>10</v>
      </c>
      <c r="C265">
        <v>22.6</v>
      </c>
      <c r="D265">
        <v>14</v>
      </c>
      <c r="E265">
        <v>2.7</v>
      </c>
      <c r="F265">
        <v>0</v>
      </c>
      <c r="G265">
        <v>1.2</v>
      </c>
      <c r="H265">
        <v>4000</v>
      </c>
      <c r="I265">
        <v>5024.1000000000004</v>
      </c>
      <c r="J265">
        <v>1</v>
      </c>
      <c r="K265">
        <f t="shared" si="8"/>
        <v>1.2</v>
      </c>
      <c r="L265">
        <f>K265+energy_grid_portfolio_dataset!H265</f>
        <v>4001.2</v>
      </c>
      <c r="M265">
        <f t="shared" si="9"/>
        <v>23</v>
      </c>
    </row>
    <row r="266" spans="1:13" x14ac:dyDescent="0.3">
      <c r="A266" s="1">
        <v>46277</v>
      </c>
      <c r="B266" t="s">
        <v>10</v>
      </c>
      <c r="C266">
        <v>23.8</v>
      </c>
      <c r="D266">
        <v>35.9</v>
      </c>
      <c r="E266">
        <v>3.3</v>
      </c>
      <c r="F266">
        <v>0</v>
      </c>
      <c r="G266">
        <v>2.2000000000000002</v>
      </c>
      <c r="H266">
        <v>4000</v>
      </c>
      <c r="I266">
        <v>4316.2</v>
      </c>
      <c r="J266">
        <v>1</v>
      </c>
      <c r="K266">
        <f t="shared" si="8"/>
        <v>2.2000000000000002</v>
      </c>
      <c r="L266">
        <f>K266+energy_grid_portfolio_dataset!H266</f>
        <v>4002.2</v>
      </c>
      <c r="M266">
        <f t="shared" si="9"/>
        <v>0</v>
      </c>
    </row>
    <row r="267" spans="1:13" x14ac:dyDescent="0.3">
      <c r="A267" s="1">
        <v>46277.041666666664</v>
      </c>
      <c r="B267" t="s">
        <v>10</v>
      </c>
      <c r="C267">
        <v>17.899999999999999</v>
      </c>
      <c r="D267">
        <v>48</v>
      </c>
      <c r="E267">
        <v>0.5</v>
      </c>
      <c r="F267">
        <v>0</v>
      </c>
      <c r="G267">
        <v>0</v>
      </c>
      <c r="H267">
        <v>4000</v>
      </c>
      <c r="I267">
        <v>4435.8</v>
      </c>
      <c r="J267">
        <v>1</v>
      </c>
      <c r="K267">
        <f t="shared" si="8"/>
        <v>0</v>
      </c>
      <c r="L267">
        <f>K267+energy_grid_portfolio_dataset!H267</f>
        <v>4000</v>
      </c>
      <c r="M267">
        <f t="shared" si="9"/>
        <v>1</v>
      </c>
    </row>
    <row r="268" spans="1:13" x14ac:dyDescent="0.3">
      <c r="A268" s="1">
        <v>46277.083333333336</v>
      </c>
      <c r="B268" t="s">
        <v>10</v>
      </c>
      <c r="C268">
        <v>21.1</v>
      </c>
      <c r="D268">
        <v>0</v>
      </c>
      <c r="E268">
        <v>6.3</v>
      </c>
      <c r="F268">
        <v>0</v>
      </c>
      <c r="G268">
        <v>16.2</v>
      </c>
      <c r="H268">
        <v>4000</v>
      </c>
      <c r="I268">
        <v>4265.6000000000004</v>
      </c>
      <c r="J268">
        <v>1</v>
      </c>
      <c r="K268">
        <f t="shared" si="8"/>
        <v>16.2</v>
      </c>
      <c r="L268">
        <f>K268+energy_grid_portfolio_dataset!H268</f>
        <v>4016.2</v>
      </c>
      <c r="M268">
        <f t="shared" si="9"/>
        <v>2</v>
      </c>
    </row>
    <row r="269" spans="1:13" x14ac:dyDescent="0.3">
      <c r="A269" s="1">
        <v>46277.125</v>
      </c>
      <c r="B269" t="s">
        <v>10</v>
      </c>
      <c r="C269">
        <v>24.3</v>
      </c>
      <c r="D269">
        <v>24.1</v>
      </c>
      <c r="E269">
        <v>5</v>
      </c>
      <c r="F269">
        <v>0</v>
      </c>
      <c r="G269">
        <v>7.8</v>
      </c>
      <c r="H269">
        <v>4000</v>
      </c>
      <c r="I269">
        <v>4249.8</v>
      </c>
      <c r="J269">
        <v>1</v>
      </c>
      <c r="K269">
        <f t="shared" si="8"/>
        <v>7.8</v>
      </c>
      <c r="L269">
        <f>K269+energy_grid_portfolio_dataset!H269</f>
        <v>4007.8</v>
      </c>
      <c r="M269">
        <f t="shared" si="9"/>
        <v>3</v>
      </c>
    </row>
    <row r="270" spans="1:13" x14ac:dyDescent="0.3">
      <c r="A270" s="1">
        <v>46277.166666666664</v>
      </c>
      <c r="B270" t="s">
        <v>10</v>
      </c>
      <c r="C270">
        <v>23.1</v>
      </c>
      <c r="D270">
        <v>44.9</v>
      </c>
      <c r="E270">
        <v>3</v>
      </c>
      <c r="F270">
        <v>0</v>
      </c>
      <c r="G270">
        <v>1.7</v>
      </c>
      <c r="H270">
        <v>4000</v>
      </c>
      <c r="I270">
        <v>4331.5</v>
      </c>
      <c r="J270">
        <v>1</v>
      </c>
      <c r="K270">
        <f t="shared" si="8"/>
        <v>1.7</v>
      </c>
      <c r="L270">
        <f>K270+energy_grid_portfolio_dataset!H270</f>
        <v>4001.7</v>
      </c>
      <c r="M270">
        <f t="shared" si="9"/>
        <v>4</v>
      </c>
    </row>
    <row r="271" spans="1:13" x14ac:dyDescent="0.3">
      <c r="A271" s="1">
        <v>46277.208333333336</v>
      </c>
      <c r="B271" t="s">
        <v>10</v>
      </c>
      <c r="C271">
        <v>25.8</v>
      </c>
      <c r="D271">
        <v>55</v>
      </c>
      <c r="E271">
        <v>5.7</v>
      </c>
      <c r="F271">
        <v>0</v>
      </c>
      <c r="G271">
        <v>11.9</v>
      </c>
      <c r="H271">
        <v>4000</v>
      </c>
      <c r="I271">
        <v>4086.5</v>
      </c>
      <c r="J271">
        <v>1</v>
      </c>
      <c r="K271">
        <f t="shared" si="8"/>
        <v>11.9</v>
      </c>
      <c r="L271">
        <f>K271+energy_grid_portfolio_dataset!H271</f>
        <v>4011.9</v>
      </c>
      <c r="M271">
        <f t="shared" si="9"/>
        <v>5</v>
      </c>
    </row>
    <row r="272" spans="1:13" x14ac:dyDescent="0.3">
      <c r="A272" s="1">
        <v>46277.25</v>
      </c>
      <c r="B272" t="s">
        <v>10</v>
      </c>
      <c r="C272">
        <v>27.5</v>
      </c>
      <c r="D272">
        <v>18.600000000000001</v>
      </c>
      <c r="E272">
        <v>8.1999999999999993</v>
      </c>
      <c r="F272">
        <v>580.79999999999995</v>
      </c>
      <c r="G272">
        <v>34.700000000000003</v>
      </c>
      <c r="H272">
        <v>3652.2</v>
      </c>
      <c r="I272">
        <v>4267.7</v>
      </c>
      <c r="J272">
        <v>0</v>
      </c>
      <c r="K272">
        <f t="shared" si="8"/>
        <v>615.5</v>
      </c>
      <c r="L272">
        <f>K272+energy_grid_portfolio_dataset!H272</f>
        <v>4267.7</v>
      </c>
      <c r="M272">
        <f t="shared" si="9"/>
        <v>6</v>
      </c>
    </row>
    <row r="273" spans="1:13" x14ac:dyDescent="0.3">
      <c r="A273" s="1">
        <v>46277.291666666664</v>
      </c>
      <c r="B273" t="s">
        <v>10</v>
      </c>
      <c r="C273">
        <v>30.2</v>
      </c>
      <c r="D273">
        <v>45.6</v>
      </c>
      <c r="E273">
        <v>4.5</v>
      </c>
      <c r="F273">
        <v>886.1</v>
      </c>
      <c r="G273">
        <v>5.7</v>
      </c>
      <c r="H273">
        <v>3485.5</v>
      </c>
      <c r="I273">
        <v>4377.3</v>
      </c>
      <c r="J273">
        <v>0</v>
      </c>
      <c r="K273">
        <f t="shared" si="8"/>
        <v>891.80000000000007</v>
      </c>
      <c r="L273">
        <f>K273+energy_grid_portfolio_dataset!H273</f>
        <v>4377.3</v>
      </c>
      <c r="M273">
        <f t="shared" si="9"/>
        <v>7</v>
      </c>
    </row>
    <row r="274" spans="1:13" x14ac:dyDescent="0.3">
      <c r="A274" s="1">
        <v>46277.333333333336</v>
      </c>
      <c r="B274" t="s">
        <v>10</v>
      </c>
      <c r="C274">
        <v>30.7</v>
      </c>
      <c r="D274">
        <v>23.6</v>
      </c>
      <c r="E274">
        <v>3.9</v>
      </c>
      <c r="F274">
        <v>1561.9</v>
      </c>
      <c r="G274">
        <v>3.9</v>
      </c>
      <c r="H274">
        <v>2715.3</v>
      </c>
      <c r="I274">
        <v>4281.1000000000004</v>
      </c>
      <c r="J274">
        <v>0</v>
      </c>
      <c r="K274">
        <f t="shared" si="8"/>
        <v>1565.8000000000002</v>
      </c>
      <c r="L274">
        <f>K274+energy_grid_portfolio_dataset!H274</f>
        <v>4281.1000000000004</v>
      </c>
      <c r="M274">
        <f t="shared" si="9"/>
        <v>8</v>
      </c>
    </row>
    <row r="275" spans="1:13" x14ac:dyDescent="0.3">
      <c r="A275" s="1">
        <v>46277.375</v>
      </c>
      <c r="B275" t="s">
        <v>10</v>
      </c>
      <c r="C275">
        <v>32.299999999999997</v>
      </c>
      <c r="D275">
        <v>39.700000000000003</v>
      </c>
      <c r="E275">
        <v>3.8</v>
      </c>
      <c r="F275">
        <v>1694.5</v>
      </c>
      <c r="G275">
        <v>3.6</v>
      </c>
      <c r="H275">
        <v>2731</v>
      </c>
      <c r="I275">
        <v>4429.1000000000004</v>
      </c>
      <c r="J275">
        <v>0</v>
      </c>
      <c r="K275">
        <f t="shared" si="8"/>
        <v>1698.1</v>
      </c>
      <c r="L275">
        <f>K275+energy_grid_portfolio_dataset!H275</f>
        <v>4429.1000000000004</v>
      </c>
      <c r="M275">
        <f t="shared" si="9"/>
        <v>9</v>
      </c>
    </row>
    <row r="276" spans="1:13" x14ac:dyDescent="0.3">
      <c r="A276" s="1">
        <v>46277.416666666664</v>
      </c>
      <c r="B276" t="s">
        <v>10</v>
      </c>
      <c r="C276">
        <v>30.2</v>
      </c>
      <c r="D276">
        <v>43.3</v>
      </c>
      <c r="E276">
        <v>4.7</v>
      </c>
      <c r="F276">
        <v>1883.2</v>
      </c>
      <c r="G276">
        <v>6.6</v>
      </c>
      <c r="H276">
        <v>4000</v>
      </c>
      <c r="I276">
        <v>6251.8</v>
      </c>
      <c r="J276">
        <v>1</v>
      </c>
      <c r="K276">
        <f t="shared" si="8"/>
        <v>1889.8</v>
      </c>
      <c r="L276">
        <f>K276+energy_grid_portfolio_dataset!H276</f>
        <v>5889.8</v>
      </c>
      <c r="M276">
        <f t="shared" si="9"/>
        <v>10</v>
      </c>
    </row>
    <row r="277" spans="1:13" x14ac:dyDescent="0.3">
      <c r="A277" s="1">
        <v>46277.458333333336</v>
      </c>
      <c r="B277" t="s">
        <v>10</v>
      </c>
      <c r="C277">
        <v>29.5</v>
      </c>
      <c r="D277">
        <v>66.8</v>
      </c>
      <c r="E277">
        <v>3.7</v>
      </c>
      <c r="F277">
        <v>1557.8</v>
      </c>
      <c r="G277">
        <v>3.3</v>
      </c>
      <c r="H277">
        <v>4000</v>
      </c>
      <c r="I277">
        <v>6389.7</v>
      </c>
      <c r="J277">
        <v>1</v>
      </c>
      <c r="K277">
        <f t="shared" si="8"/>
        <v>1561.1</v>
      </c>
      <c r="L277">
        <f>K277+energy_grid_portfolio_dataset!H277</f>
        <v>5561.1</v>
      </c>
      <c r="M277">
        <f t="shared" si="9"/>
        <v>11</v>
      </c>
    </row>
    <row r="278" spans="1:13" x14ac:dyDescent="0.3">
      <c r="A278" s="1">
        <v>46277.5</v>
      </c>
      <c r="B278" t="s">
        <v>10</v>
      </c>
      <c r="C278">
        <v>32.4</v>
      </c>
      <c r="D278">
        <v>37.299999999999997</v>
      </c>
      <c r="E278">
        <v>1.9</v>
      </c>
      <c r="F278">
        <v>2217.6</v>
      </c>
      <c r="G278">
        <v>0.4</v>
      </c>
      <c r="H278">
        <v>4000</v>
      </c>
      <c r="I278">
        <v>6406.2</v>
      </c>
      <c r="J278">
        <v>1</v>
      </c>
      <c r="K278">
        <f t="shared" si="8"/>
        <v>2218</v>
      </c>
      <c r="L278">
        <f>K278+energy_grid_portfolio_dataset!H278</f>
        <v>6218</v>
      </c>
      <c r="M278">
        <f t="shared" si="9"/>
        <v>12</v>
      </c>
    </row>
    <row r="279" spans="1:13" x14ac:dyDescent="0.3">
      <c r="A279" s="1">
        <v>46277.541666666664</v>
      </c>
      <c r="B279" t="s">
        <v>10</v>
      </c>
      <c r="C279">
        <v>36.700000000000003</v>
      </c>
      <c r="D279">
        <v>21.2</v>
      </c>
      <c r="E279">
        <v>4.4000000000000004</v>
      </c>
      <c r="F279">
        <v>2491</v>
      </c>
      <c r="G279">
        <v>5.6</v>
      </c>
      <c r="H279">
        <v>3649.8</v>
      </c>
      <c r="I279">
        <v>6146.4</v>
      </c>
      <c r="J279">
        <v>0</v>
      </c>
      <c r="K279">
        <f t="shared" si="8"/>
        <v>2496.6</v>
      </c>
      <c r="L279">
        <f>K279+energy_grid_portfolio_dataset!H279</f>
        <v>6146.4</v>
      </c>
      <c r="M279">
        <f t="shared" si="9"/>
        <v>13</v>
      </c>
    </row>
    <row r="280" spans="1:13" x14ac:dyDescent="0.3">
      <c r="A280" s="1">
        <v>46277.583333333336</v>
      </c>
      <c r="B280" t="s">
        <v>10</v>
      </c>
      <c r="C280">
        <v>33.9</v>
      </c>
      <c r="D280">
        <v>28</v>
      </c>
      <c r="E280">
        <v>4.7</v>
      </c>
      <c r="F280">
        <v>2173</v>
      </c>
      <c r="G280">
        <v>6.8</v>
      </c>
      <c r="H280">
        <v>4000</v>
      </c>
      <c r="I280">
        <v>6370.5</v>
      </c>
      <c r="J280">
        <v>1</v>
      </c>
      <c r="K280">
        <f t="shared" si="8"/>
        <v>2179.8000000000002</v>
      </c>
      <c r="L280">
        <f>K280+energy_grid_portfolio_dataset!H280</f>
        <v>6179.8</v>
      </c>
      <c r="M280">
        <f t="shared" si="9"/>
        <v>14</v>
      </c>
    </row>
    <row r="281" spans="1:13" x14ac:dyDescent="0.3">
      <c r="A281" s="1">
        <v>46277.625</v>
      </c>
      <c r="B281" t="s">
        <v>10</v>
      </c>
      <c r="C281">
        <v>32.200000000000003</v>
      </c>
      <c r="D281">
        <v>29</v>
      </c>
      <c r="E281">
        <v>6.1</v>
      </c>
      <c r="F281">
        <v>1869</v>
      </c>
      <c r="G281">
        <v>14.5</v>
      </c>
      <c r="H281">
        <v>2797</v>
      </c>
      <c r="I281">
        <v>4680.5</v>
      </c>
      <c r="J281">
        <v>0</v>
      </c>
      <c r="K281">
        <f t="shared" si="8"/>
        <v>1883.5</v>
      </c>
      <c r="L281">
        <f>K281+energy_grid_portfolio_dataset!H281</f>
        <v>4680.5</v>
      </c>
      <c r="M281">
        <f t="shared" si="9"/>
        <v>15</v>
      </c>
    </row>
    <row r="282" spans="1:13" x14ac:dyDescent="0.3">
      <c r="A282" s="1">
        <v>46277.666666666664</v>
      </c>
      <c r="B282" t="s">
        <v>10</v>
      </c>
      <c r="C282">
        <v>32.799999999999997</v>
      </c>
      <c r="D282">
        <v>37.799999999999997</v>
      </c>
      <c r="E282">
        <v>1.7</v>
      </c>
      <c r="F282">
        <v>1375.9</v>
      </c>
      <c r="G282">
        <v>0.3</v>
      </c>
      <c r="H282">
        <v>3109.6</v>
      </c>
      <c r="I282">
        <v>4485.8</v>
      </c>
      <c r="J282">
        <v>0</v>
      </c>
      <c r="K282">
        <f t="shared" si="8"/>
        <v>1376.2</v>
      </c>
      <c r="L282">
        <f>K282+energy_grid_portfolio_dataset!H282</f>
        <v>4485.8</v>
      </c>
      <c r="M282">
        <f t="shared" si="9"/>
        <v>16</v>
      </c>
    </row>
    <row r="283" spans="1:13" x14ac:dyDescent="0.3">
      <c r="A283" s="1">
        <v>46277.708333333336</v>
      </c>
      <c r="B283" t="s">
        <v>10</v>
      </c>
      <c r="C283">
        <v>27.8</v>
      </c>
      <c r="D283">
        <v>31.1</v>
      </c>
      <c r="E283">
        <v>2.5</v>
      </c>
      <c r="F283">
        <v>1018.7</v>
      </c>
      <c r="G283">
        <v>1</v>
      </c>
      <c r="H283">
        <v>3545.3</v>
      </c>
      <c r="I283">
        <v>4565</v>
      </c>
      <c r="J283">
        <v>0</v>
      </c>
      <c r="K283">
        <f t="shared" si="8"/>
        <v>1019.7</v>
      </c>
      <c r="L283">
        <f>K283+energy_grid_portfolio_dataset!H283</f>
        <v>4565</v>
      </c>
      <c r="M283">
        <f t="shared" si="9"/>
        <v>17</v>
      </c>
    </row>
    <row r="284" spans="1:13" x14ac:dyDescent="0.3">
      <c r="A284" s="1">
        <v>46277.75</v>
      </c>
      <c r="B284" t="s">
        <v>10</v>
      </c>
      <c r="C284">
        <v>28.5</v>
      </c>
      <c r="D284">
        <v>31.4</v>
      </c>
      <c r="E284">
        <v>4.8</v>
      </c>
      <c r="F284">
        <v>520.70000000000005</v>
      </c>
      <c r="G284">
        <v>7.3</v>
      </c>
      <c r="H284">
        <v>4000</v>
      </c>
      <c r="I284">
        <v>6710.4</v>
      </c>
      <c r="J284">
        <v>1</v>
      </c>
      <c r="K284">
        <f t="shared" si="8"/>
        <v>528</v>
      </c>
      <c r="L284">
        <f>K284+energy_grid_portfolio_dataset!H284</f>
        <v>4528</v>
      </c>
      <c r="M284">
        <f t="shared" si="9"/>
        <v>18</v>
      </c>
    </row>
    <row r="285" spans="1:13" x14ac:dyDescent="0.3">
      <c r="A285" s="1">
        <v>46277.791666666664</v>
      </c>
      <c r="B285" t="s">
        <v>10</v>
      </c>
      <c r="C285">
        <v>27.1</v>
      </c>
      <c r="D285">
        <v>20.100000000000001</v>
      </c>
      <c r="E285">
        <v>5.9</v>
      </c>
      <c r="F285">
        <v>0</v>
      </c>
      <c r="G285">
        <v>13.3</v>
      </c>
      <c r="H285">
        <v>4000</v>
      </c>
      <c r="I285">
        <v>6962.1</v>
      </c>
      <c r="J285">
        <v>1</v>
      </c>
      <c r="K285">
        <f t="shared" si="8"/>
        <v>13.3</v>
      </c>
      <c r="L285">
        <f>K285+energy_grid_portfolio_dataset!H285</f>
        <v>4013.3</v>
      </c>
      <c r="M285">
        <f t="shared" si="9"/>
        <v>19</v>
      </c>
    </row>
    <row r="286" spans="1:13" x14ac:dyDescent="0.3">
      <c r="A286" s="1">
        <v>46277.833333333336</v>
      </c>
      <c r="B286" t="s">
        <v>10</v>
      </c>
      <c r="C286">
        <v>23.2</v>
      </c>
      <c r="D286">
        <v>36.9</v>
      </c>
      <c r="E286">
        <v>5.4</v>
      </c>
      <c r="F286">
        <v>0</v>
      </c>
      <c r="G286">
        <v>10.1</v>
      </c>
      <c r="H286">
        <v>4000</v>
      </c>
      <c r="I286">
        <v>6898.4</v>
      </c>
      <c r="J286">
        <v>1</v>
      </c>
      <c r="K286">
        <f t="shared" si="8"/>
        <v>10.1</v>
      </c>
      <c r="L286">
        <f>K286+energy_grid_portfolio_dataset!H286</f>
        <v>4010.1</v>
      </c>
      <c r="M286">
        <f t="shared" si="9"/>
        <v>20</v>
      </c>
    </row>
    <row r="287" spans="1:13" x14ac:dyDescent="0.3">
      <c r="A287" s="1">
        <v>46277.875</v>
      </c>
      <c r="B287" t="s">
        <v>10</v>
      </c>
      <c r="C287">
        <v>25.8</v>
      </c>
      <c r="D287">
        <v>22</v>
      </c>
      <c r="E287">
        <v>4.3</v>
      </c>
      <c r="F287">
        <v>0</v>
      </c>
      <c r="G287">
        <v>4.9000000000000004</v>
      </c>
      <c r="H287">
        <v>4000</v>
      </c>
      <c r="I287">
        <v>6675.4</v>
      </c>
      <c r="J287">
        <v>1</v>
      </c>
      <c r="K287">
        <f t="shared" si="8"/>
        <v>4.9000000000000004</v>
      </c>
      <c r="L287">
        <f>K287+energy_grid_portfolio_dataset!H287</f>
        <v>4004.9</v>
      </c>
      <c r="M287">
        <f t="shared" si="9"/>
        <v>21</v>
      </c>
    </row>
    <row r="288" spans="1:13" x14ac:dyDescent="0.3">
      <c r="A288" s="1">
        <v>46277.916666666664</v>
      </c>
      <c r="B288" t="s">
        <v>10</v>
      </c>
      <c r="C288">
        <v>22.8</v>
      </c>
      <c r="D288">
        <v>3.1</v>
      </c>
      <c r="E288">
        <v>1.1000000000000001</v>
      </c>
      <c r="F288">
        <v>0</v>
      </c>
      <c r="G288">
        <v>0.1</v>
      </c>
      <c r="H288">
        <v>4000</v>
      </c>
      <c r="I288">
        <v>4294</v>
      </c>
      <c r="J288">
        <v>1</v>
      </c>
      <c r="K288">
        <f t="shared" si="8"/>
        <v>0.1</v>
      </c>
      <c r="L288">
        <f>K288+energy_grid_portfolio_dataset!H288</f>
        <v>4000.1</v>
      </c>
      <c r="M288">
        <f t="shared" si="9"/>
        <v>22</v>
      </c>
    </row>
    <row r="289" spans="1:13" x14ac:dyDescent="0.3">
      <c r="A289" s="1">
        <v>46277.958333333336</v>
      </c>
      <c r="B289" t="s">
        <v>10</v>
      </c>
      <c r="C289">
        <v>20.9</v>
      </c>
      <c r="D289">
        <v>5.2</v>
      </c>
      <c r="E289">
        <v>0</v>
      </c>
      <c r="F289">
        <v>0</v>
      </c>
      <c r="G289">
        <v>0</v>
      </c>
      <c r="H289">
        <v>4000</v>
      </c>
      <c r="I289">
        <v>4559.2</v>
      </c>
      <c r="J289">
        <v>1</v>
      </c>
      <c r="K289">
        <f t="shared" si="8"/>
        <v>0</v>
      </c>
      <c r="L289">
        <f>K289+energy_grid_portfolio_dataset!H289</f>
        <v>4000</v>
      </c>
      <c r="M289">
        <f t="shared" si="9"/>
        <v>23</v>
      </c>
    </row>
    <row r="290" spans="1:13" x14ac:dyDescent="0.3">
      <c r="A290" s="1">
        <v>46278</v>
      </c>
      <c r="B290" t="s">
        <v>10</v>
      </c>
      <c r="C290">
        <v>20</v>
      </c>
      <c r="D290">
        <v>57.8</v>
      </c>
      <c r="E290">
        <v>6</v>
      </c>
      <c r="F290">
        <v>0</v>
      </c>
      <c r="G290">
        <v>14</v>
      </c>
      <c r="H290">
        <v>4000</v>
      </c>
      <c r="I290">
        <v>4224.2</v>
      </c>
      <c r="J290">
        <v>1</v>
      </c>
      <c r="K290">
        <f t="shared" si="8"/>
        <v>14</v>
      </c>
      <c r="L290">
        <f>K290+energy_grid_portfolio_dataset!H290</f>
        <v>4014</v>
      </c>
      <c r="M290">
        <f t="shared" si="9"/>
        <v>0</v>
      </c>
    </row>
    <row r="291" spans="1:13" x14ac:dyDescent="0.3">
      <c r="A291" s="1">
        <v>46278.041666666664</v>
      </c>
      <c r="B291" t="s">
        <v>10</v>
      </c>
      <c r="C291">
        <v>25.6</v>
      </c>
      <c r="D291">
        <v>44.6</v>
      </c>
      <c r="E291">
        <v>3.4</v>
      </c>
      <c r="F291">
        <v>0</v>
      </c>
      <c r="G291">
        <v>2.4</v>
      </c>
      <c r="H291">
        <v>4000</v>
      </c>
      <c r="I291">
        <v>4216.8</v>
      </c>
      <c r="J291">
        <v>1</v>
      </c>
      <c r="K291">
        <f t="shared" si="8"/>
        <v>2.4</v>
      </c>
      <c r="L291">
        <f>K291+energy_grid_portfolio_dataset!H291</f>
        <v>4002.4</v>
      </c>
      <c r="M291">
        <f t="shared" si="9"/>
        <v>1</v>
      </c>
    </row>
    <row r="292" spans="1:13" x14ac:dyDescent="0.3">
      <c r="A292" s="1">
        <v>46278.083333333336</v>
      </c>
      <c r="B292" t="s">
        <v>10</v>
      </c>
      <c r="C292">
        <v>26.2</v>
      </c>
      <c r="D292">
        <v>0</v>
      </c>
      <c r="E292">
        <v>0.7</v>
      </c>
      <c r="F292">
        <v>0</v>
      </c>
      <c r="G292">
        <v>0</v>
      </c>
      <c r="H292">
        <v>3945.1</v>
      </c>
      <c r="I292">
        <v>3945.1</v>
      </c>
      <c r="J292">
        <v>0</v>
      </c>
      <c r="K292">
        <f t="shared" si="8"/>
        <v>0</v>
      </c>
      <c r="L292">
        <f>K292+energy_grid_portfolio_dataset!H292</f>
        <v>3945.1</v>
      </c>
      <c r="M292">
        <f t="shared" si="9"/>
        <v>2</v>
      </c>
    </row>
    <row r="293" spans="1:13" x14ac:dyDescent="0.3">
      <c r="A293" s="1">
        <v>46278.125</v>
      </c>
      <c r="B293" t="s">
        <v>10</v>
      </c>
      <c r="C293">
        <v>27.4</v>
      </c>
      <c r="D293">
        <v>52.7</v>
      </c>
      <c r="E293">
        <v>5.0999999999999996</v>
      </c>
      <c r="F293">
        <v>0</v>
      </c>
      <c r="G293">
        <v>8.6</v>
      </c>
      <c r="H293">
        <v>4000</v>
      </c>
      <c r="I293">
        <v>4473.3999999999996</v>
      </c>
      <c r="J293">
        <v>1</v>
      </c>
      <c r="K293">
        <f t="shared" si="8"/>
        <v>8.6</v>
      </c>
      <c r="L293">
        <f>K293+energy_grid_portfolio_dataset!H293</f>
        <v>4008.6</v>
      </c>
      <c r="M293">
        <f t="shared" si="9"/>
        <v>3</v>
      </c>
    </row>
    <row r="294" spans="1:13" x14ac:dyDescent="0.3">
      <c r="A294" s="1">
        <v>46278.166666666664</v>
      </c>
      <c r="B294" t="s">
        <v>10</v>
      </c>
      <c r="C294">
        <v>26.3</v>
      </c>
      <c r="D294">
        <v>40.200000000000003</v>
      </c>
      <c r="E294">
        <v>4.5999999999999996</v>
      </c>
      <c r="F294">
        <v>0</v>
      </c>
      <c r="G294">
        <v>6.1</v>
      </c>
      <c r="H294">
        <v>4000</v>
      </c>
      <c r="I294">
        <v>4409.2</v>
      </c>
      <c r="J294">
        <v>1</v>
      </c>
      <c r="K294">
        <f t="shared" si="8"/>
        <v>6.1</v>
      </c>
      <c r="L294">
        <f>K294+energy_grid_portfolio_dataset!H294</f>
        <v>4006.1</v>
      </c>
      <c r="M294">
        <f t="shared" si="9"/>
        <v>4</v>
      </c>
    </row>
    <row r="295" spans="1:13" x14ac:dyDescent="0.3">
      <c r="A295" s="1">
        <v>46278.208333333336</v>
      </c>
      <c r="B295" t="s">
        <v>10</v>
      </c>
      <c r="C295">
        <v>26.4</v>
      </c>
      <c r="D295">
        <v>9.9</v>
      </c>
      <c r="E295">
        <v>3.4</v>
      </c>
      <c r="F295">
        <v>0</v>
      </c>
      <c r="G295">
        <v>2.6</v>
      </c>
      <c r="H295">
        <v>4000</v>
      </c>
      <c r="I295">
        <v>4335.6000000000004</v>
      </c>
      <c r="J295">
        <v>1</v>
      </c>
      <c r="K295">
        <f t="shared" si="8"/>
        <v>2.6</v>
      </c>
      <c r="L295">
        <f>K295+energy_grid_portfolio_dataset!H295</f>
        <v>4002.6</v>
      </c>
      <c r="M295">
        <f t="shared" si="9"/>
        <v>5</v>
      </c>
    </row>
    <row r="296" spans="1:13" x14ac:dyDescent="0.3">
      <c r="A296" s="1">
        <v>46278.25</v>
      </c>
      <c r="B296" t="s">
        <v>10</v>
      </c>
      <c r="C296">
        <v>27.9</v>
      </c>
      <c r="D296">
        <v>5.2</v>
      </c>
      <c r="E296">
        <v>1.8</v>
      </c>
      <c r="F296">
        <v>643.1</v>
      </c>
      <c r="G296">
        <v>0.4</v>
      </c>
      <c r="H296">
        <v>3422.6</v>
      </c>
      <c r="I296">
        <v>4066.1</v>
      </c>
      <c r="J296">
        <v>0</v>
      </c>
      <c r="K296">
        <f t="shared" si="8"/>
        <v>643.5</v>
      </c>
      <c r="L296">
        <f>K296+energy_grid_portfolio_dataset!H296</f>
        <v>4066.1</v>
      </c>
      <c r="M296">
        <f t="shared" si="9"/>
        <v>6</v>
      </c>
    </row>
    <row r="297" spans="1:13" x14ac:dyDescent="0.3">
      <c r="A297" s="1">
        <v>46278.291666666664</v>
      </c>
      <c r="B297" t="s">
        <v>10</v>
      </c>
      <c r="C297">
        <v>31.6</v>
      </c>
      <c r="D297">
        <v>43.4</v>
      </c>
      <c r="E297">
        <v>0.9</v>
      </c>
      <c r="F297">
        <v>906.5</v>
      </c>
      <c r="G297">
        <v>0</v>
      </c>
      <c r="H297">
        <v>3440.5</v>
      </c>
      <c r="I297">
        <v>4347</v>
      </c>
      <c r="J297">
        <v>0</v>
      </c>
      <c r="K297">
        <f t="shared" si="8"/>
        <v>906.5</v>
      </c>
      <c r="L297">
        <f>K297+energy_grid_portfolio_dataset!H297</f>
        <v>4347</v>
      </c>
      <c r="M297">
        <f t="shared" si="9"/>
        <v>7</v>
      </c>
    </row>
    <row r="298" spans="1:13" x14ac:dyDescent="0.3">
      <c r="A298" s="1">
        <v>46278.333333333336</v>
      </c>
      <c r="B298" t="s">
        <v>10</v>
      </c>
      <c r="C298">
        <v>32.4</v>
      </c>
      <c r="D298">
        <v>5.4</v>
      </c>
      <c r="E298">
        <v>3.6</v>
      </c>
      <c r="F298">
        <v>1800.4</v>
      </c>
      <c r="G298">
        <v>2.9</v>
      </c>
      <c r="H298">
        <v>2368.3000000000002</v>
      </c>
      <c r="I298">
        <v>4171.6000000000004</v>
      </c>
      <c r="J298">
        <v>0</v>
      </c>
      <c r="K298">
        <f t="shared" si="8"/>
        <v>1803.3000000000002</v>
      </c>
      <c r="L298">
        <f>K298+energy_grid_portfolio_dataset!H298</f>
        <v>4171.6000000000004</v>
      </c>
      <c r="M298">
        <f t="shared" si="9"/>
        <v>8</v>
      </c>
    </row>
    <row r="299" spans="1:13" x14ac:dyDescent="0.3">
      <c r="A299" s="1">
        <v>46278.375</v>
      </c>
      <c r="B299" t="s">
        <v>10</v>
      </c>
      <c r="C299">
        <v>30.8</v>
      </c>
      <c r="D299">
        <v>27.1</v>
      </c>
      <c r="E299">
        <v>1.3</v>
      </c>
      <c r="F299">
        <v>1900.4</v>
      </c>
      <c r="G299">
        <v>0.2</v>
      </c>
      <c r="H299">
        <v>2501.9</v>
      </c>
      <c r="I299">
        <v>4402.5</v>
      </c>
      <c r="J299">
        <v>0</v>
      </c>
      <c r="K299">
        <f t="shared" si="8"/>
        <v>1900.6000000000001</v>
      </c>
      <c r="L299">
        <f>K299+energy_grid_portfolio_dataset!H299</f>
        <v>4402.5</v>
      </c>
      <c r="M299">
        <f t="shared" si="9"/>
        <v>9</v>
      </c>
    </row>
    <row r="300" spans="1:13" x14ac:dyDescent="0.3">
      <c r="A300" s="1">
        <v>46278.416666666664</v>
      </c>
      <c r="B300" t="s">
        <v>10</v>
      </c>
      <c r="C300">
        <v>33.700000000000003</v>
      </c>
      <c r="D300">
        <v>0</v>
      </c>
      <c r="E300">
        <v>4.9000000000000004</v>
      </c>
      <c r="F300">
        <v>2702.9</v>
      </c>
      <c r="G300">
        <v>7.4</v>
      </c>
      <c r="H300">
        <v>3439.5</v>
      </c>
      <c r="I300">
        <v>6149.8</v>
      </c>
      <c r="J300">
        <v>0</v>
      </c>
      <c r="K300">
        <f t="shared" si="8"/>
        <v>2710.3</v>
      </c>
      <c r="L300">
        <f>K300+energy_grid_portfolio_dataset!H300</f>
        <v>6149.8</v>
      </c>
      <c r="M300">
        <f t="shared" si="9"/>
        <v>10</v>
      </c>
    </row>
    <row r="301" spans="1:13" x14ac:dyDescent="0.3">
      <c r="A301" s="1">
        <v>46278.458333333336</v>
      </c>
      <c r="B301" t="s">
        <v>10</v>
      </c>
      <c r="C301">
        <v>34.6</v>
      </c>
      <c r="D301">
        <v>29.5</v>
      </c>
      <c r="E301">
        <v>6.7</v>
      </c>
      <c r="F301">
        <v>2321.3000000000002</v>
      </c>
      <c r="G301">
        <v>19.5</v>
      </c>
      <c r="H301">
        <v>3896.3</v>
      </c>
      <c r="I301">
        <v>6237.1</v>
      </c>
      <c r="J301">
        <v>0</v>
      </c>
      <c r="K301">
        <f t="shared" si="8"/>
        <v>2340.8000000000002</v>
      </c>
      <c r="L301">
        <f>K301+energy_grid_portfolio_dataset!H301</f>
        <v>6237.1</v>
      </c>
      <c r="M301">
        <f t="shared" si="9"/>
        <v>11</v>
      </c>
    </row>
    <row r="302" spans="1:13" x14ac:dyDescent="0.3">
      <c r="A302" s="1">
        <v>46278.5</v>
      </c>
      <c r="B302" t="s">
        <v>10</v>
      </c>
      <c r="C302">
        <v>33.4</v>
      </c>
      <c r="D302">
        <v>27.4</v>
      </c>
      <c r="E302">
        <v>5.0999999999999996</v>
      </c>
      <c r="F302">
        <v>2423.6</v>
      </c>
      <c r="G302">
        <v>8.4</v>
      </c>
      <c r="H302">
        <v>3826.8</v>
      </c>
      <c r="I302">
        <v>6258.8</v>
      </c>
      <c r="J302">
        <v>0</v>
      </c>
      <c r="K302">
        <f t="shared" si="8"/>
        <v>2432</v>
      </c>
      <c r="L302">
        <f>K302+energy_grid_portfolio_dataset!H302</f>
        <v>6258.8</v>
      </c>
      <c r="M302">
        <f t="shared" si="9"/>
        <v>12</v>
      </c>
    </row>
    <row r="303" spans="1:13" x14ac:dyDescent="0.3">
      <c r="A303" s="1">
        <v>46278.541666666664</v>
      </c>
      <c r="B303" t="s">
        <v>10</v>
      </c>
      <c r="C303">
        <v>33.9</v>
      </c>
      <c r="D303">
        <v>11</v>
      </c>
      <c r="E303">
        <v>2.7</v>
      </c>
      <c r="F303">
        <v>2700.4</v>
      </c>
      <c r="G303">
        <v>1.2</v>
      </c>
      <c r="H303">
        <v>3545.7</v>
      </c>
      <c r="I303">
        <v>6247.3</v>
      </c>
      <c r="J303">
        <v>0</v>
      </c>
      <c r="K303">
        <f t="shared" si="8"/>
        <v>2701.6</v>
      </c>
      <c r="L303">
        <f>K303+energy_grid_portfolio_dataset!H303</f>
        <v>6247.2999999999993</v>
      </c>
      <c r="M303">
        <f t="shared" si="9"/>
        <v>13</v>
      </c>
    </row>
    <row r="304" spans="1:13" x14ac:dyDescent="0.3">
      <c r="A304" s="1">
        <v>46278.583333333336</v>
      </c>
      <c r="B304" t="s">
        <v>10</v>
      </c>
      <c r="C304">
        <v>35.799999999999997</v>
      </c>
      <c r="D304">
        <v>0.1</v>
      </c>
      <c r="E304">
        <v>2.6</v>
      </c>
      <c r="F304">
        <v>2700.6</v>
      </c>
      <c r="G304">
        <v>1.1000000000000001</v>
      </c>
      <c r="H304">
        <v>3327.9</v>
      </c>
      <c r="I304">
        <v>6029.6</v>
      </c>
      <c r="J304">
        <v>0</v>
      </c>
      <c r="K304">
        <f t="shared" si="8"/>
        <v>2701.7</v>
      </c>
      <c r="L304">
        <f>K304+energy_grid_portfolio_dataset!H304</f>
        <v>6029.6</v>
      </c>
      <c r="M304">
        <f t="shared" si="9"/>
        <v>14</v>
      </c>
    </row>
    <row r="305" spans="1:13" x14ac:dyDescent="0.3">
      <c r="A305" s="1">
        <v>46278.625</v>
      </c>
      <c r="B305" t="s">
        <v>10</v>
      </c>
      <c r="C305">
        <v>33.6</v>
      </c>
      <c r="D305">
        <v>19.100000000000001</v>
      </c>
      <c r="E305">
        <v>6.5</v>
      </c>
      <c r="F305">
        <v>2031.9</v>
      </c>
      <c r="G305">
        <v>17.5</v>
      </c>
      <c r="H305">
        <v>2162.8000000000002</v>
      </c>
      <c r="I305">
        <v>4212.2</v>
      </c>
      <c r="J305">
        <v>0</v>
      </c>
      <c r="K305">
        <f t="shared" si="8"/>
        <v>2049.4</v>
      </c>
      <c r="L305">
        <f>K305+energy_grid_portfolio_dataset!H305</f>
        <v>4212.2000000000007</v>
      </c>
      <c r="M305">
        <f t="shared" si="9"/>
        <v>15</v>
      </c>
    </row>
    <row r="306" spans="1:13" x14ac:dyDescent="0.3">
      <c r="A306" s="1">
        <v>46278.666666666664</v>
      </c>
      <c r="B306" t="s">
        <v>10</v>
      </c>
      <c r="C306">
        <v>31.4</v>
      </c>
      <c r="D306">
        <v>8.3000000000000007</v>
      </c>
      <c r="E306">
        <v>8.3000000000000007</v>
      </c>
      <c r="F306">
        <v>1761.9</v>
      </c>
      <c r="G306">
        <v>36.5</v>
      </c>
      <c r="H306">
        <v>2420.6</v>
      </c>
      <c r="I306">
        <v>4219</v>
      </c>
      <c r="J306">
        <v>0</v>
      </c>
      <c r="K306">
        <f t="shared" si="8"/>
        <v>1798.4</v>
      </c>
      <c r="L306">
        <f>K306+energy_grid_portfolio_dataset!H306</f>
        <v>4219</v>
      </c>
      <c r="M306">
        <f t="shared" si="9"/>
        <v>16</v>
      </c>
    </row>
    <row r="307" spans="1:13" x14ac:dyDescent="0.3">
      <c r="A307" s="1">
        <v>46278.708333333336</v>
      </c>
      <c r="B307" t="s">
        <v>10</v>
      </c>
      <c r="C307">
        <v>30</v>
      </c>
      <c r="D307">
        <v>37.700000000000003</v>
      </c>
      <c r="E307">
        <v>4.8</v>
      </c>
      <c r="F307">
        <v>958.4</v>
      </c>
      <c r="G307">
        <v>7.2</v>
      </c>
      <c r="H307">
        <v>3176.3</v>
      </c>
      <c r="I307">
        <v>4141.8999999999996</v>
      </c>
      <c r="J307">
        <v>0</v>
      </c>
      <c r="K307">
        <f t="shared" si="8"/>
        <v>965.6</v>
      </c>
      <c r="L307">
        <f>K307+energy_grid_portfolio_dataset!H307</f>
        <v>4141.9000000000005</v>
      </c>
      <c r="M307">
        <f t="shared" si="9"/>
        <v>17</v>
      </c>
    </row>
    <row r="308" spans="1:13" x14ac:dyDescent="0.3">
      <c r="A308" s="1">
        <v>46278.75</v>
      </c>
      <c r="B308" t="s">
        <v>10</v>
      </c>
      <c r="C308">
        <v>27.8</v>
      </c>
      <c r="D308">
        <v>25.9</v>
      </c>
      <c r="E308">
        <v>3.7</v>
      </c>
      <c r="F308">
        <v>546.6</v>
      </c>
      <c r="G308">
        <v>3.3</v>
      </c>
      <c r="H308">
        <v>4000</v>
      </c>
      <c r="I308">
        <v>6692.2</v>
      </c>
      <c r="J308">
        <v>1</v>
      </c>
      <c r="K308">
        <f t="shared" si="8"/>
        <v>549.9</v>
      </c>
      <c r="L308">
        <f>K308+energy_grid_portfolio_dataset!H308</f>
        <v>4549.8999999999996</v>
      </c>
      <c r="M308">
        <f t="shared" si="9"/>
        <v>18</v>
      </c>
    </row>
    <row r="309" spans="1:13" x14ac:dyDescent="0.3">
      <c r="A309" s="1">
        <v>46278.791666666664</v>
      </c>
      <c r="B309" t="s">
        <v>10</v>
      </c>
      <c r="C309">
        <v>29.8</v>
      </c>
      <c r="D309">
        <v>13.9</v>
      </c>
      <c r="E309">
        <v>1.3</v>
      </c>
      <c r="F309">
        <v>0</v>
      </c>
      <c r="G309">
        <v>0.1</v>
      </c>
      <c r="H309">
        <v>4000</v>
      </c>
      <c r="I309">
        <v>6864.6</v>
      </c>
      <c r="J309">
        <v>1</v>
      </c>
      <c r="K309">
        <f t="shared" si="8"/>
        <v>0.1</v>
      </c>
      <c r="L309">
        <f>K309+energy_grid_portfolio_dataset!H309</f>
        <v>4000.1</v>
      </c>
      <c r="M309">
        <f t="shared" si="9"/>
        <v>19</v>
      </c>
    </row>
    <row r="310" spans="1:13" x14ac:dyDescent="0.3">
      <c r="A310" s="1">
        <v>46278.833333333336</v>
      </c>
      <c r="B310" t="s">
        <v>10</v>
      </c>
      <c r="C310">
        <v>28.9</v>
      </c>
      <c r="D310">
        <v>8.9</v>
      </c>
      <c r="E310">
        <v>7.3</v>
      </c>
      <c r="F310">
        <v>0</v>
      </c>
      <c r="G310">
        <v>24.7</v>
      </c>
      <c r="H310">
        <v>4000</v>
      </c>
      <c r="I310">
        <v>6706.8</v>
      </c>
      <c r="J310">
        <v>1</v>
      </c>
      <c r="K310">
        <f t="shared" si="8"/>
        <v>24.7</v>
      </c>
      <c r="L310">
        <f>K310+energy_grid_portfolio_dataset!H310</f>
        <v>4024.7</v>
      </c>
      <c r="M310">
        <f t="shared" si="9"/>
        <v>20</v>
      </c>
    </row>
    <row r="311" spans="1:13" x14ac:dyDescent="0.3">
      <c r="A311" s="1">
        <v>46278.875</v>
      </c>
      <c r="B311" t="s">
        <v>10</v>
      </c>
      <c r="C311">
        <v>22.9</v>
      </c>
      <c r="D311">
        <v>36.4</v>
      </c>
      <c r="E311">
        <v>7.3</v>
      </c>
      <c r="F311">
        <v>0</v>
      </c>
      <c r="G311">
        <v>24.5</v>
      </c>
      <c r="H311">
        <v>4000</v>
      </c>
      <c r="I311">
        <v>6971.7</v>
      </c>
      <c r="J311">
        <v>1</v>
      </c>
      <c r="K311">
        <f t="shared" si="8"/>
        <v>24.5</v>
      </c>
      <c r="L311">
        <f>K311+energy_grid_portfolio_dataset!H311</f>
        <v>4024.5</v>
      </c>
      <c r="M311">
        <f t="shared" si="9"/>
        <v>21</v>
      </c>
    </row>
    <row r="312" spans="1:13" x14ac:dyDescent="0.3">
      <c r="A312" s="1">
        <v>46278.916666666664</v>
      </c>
      <c r="B312" t="s">
        <v>10</v>
      </c>
      <c r="C312">
        <v>22.5</v>
      </c>
      <c r="D312">
        <v>13.4</v>
      </c>
      <c r="E312">
        <v>2</v>
      </c>
      <c r="F312">
        <v>0</v>
      </c>
      <c r="G312">
        <v>0.5</v>
      </c>
      <c r="H312">
        <v>4000</v>
      </c>
      <c r="I312">
        <v>4263.1000000000004</v>
      </c>
      <c r="J312">
        <v>1</v>
      </c>
      <c r="K312">
        <f t="shared" si="8"/>
        <v>0.5</v>
      </c>
      <c r="L312">
        <f>K312+energy_grid_portfolio_dataset!H312</f>
        <v>4000.5</v>
      </c>
      <c r="M312">
        <f t="shared" si="9"/>
        <v>22</v>
      </c>
    </row>
    <row r="313" spans="1:13" x14ac:dyDescent="0.3">
      <c r="A313" s="1">
        <v>46278.958333333336</v>
      </c>
      <c r="B313" t="s">
        <v>10</v>
      </c>
      <c r="C313">
        <v>20.399999999999999</v>
      </c>
      <c r="D313">
        <v>25.7</v>
      </c>
      <c r="E313">
        <v>2.5</v>
      </c>
      <c r="F313">
        <v>0</v>
      </c>
      <c r="G313">
        <v>1</v>
      </c>
      <c r="H313">
        <v>4000</v>
      </c>
      <c r="I313">
        <v>4222.6000000000004</v>
      </c>
      <c r="J313">
        <v>1</v>
      </c>
      <c r="K313">
        <f t="shared" si="8"/>
        <v>1</v>
      </c>
      <c r="L313">
        <f>K313+energy_grid_portfolio_dataset!H313</f>
        <v>4001</v>
      </c>
      <c r="M313">
        <f t="shared" si="9"/>
        <v>23</v>
      </c>
    </row>
    <row r="314" spans="1:13" x14ac:dyDescent="0.3">
      <c r="A314" s="1">
        <v>46279</v>
      </c>
      <c r="B314" t="s">
        <v>10</v>
      </c>
      <c r="C314">
        <v>19.7</v>
      </c>
      <c r="D314">
        <v>31.6</v>
      </c>
      <c r="E314">
        <v>5.7</v>
      </c>
      <c r="F314">
        <v>0</v>
      </c>
      <c r="G314">
        <v>11.6</v>
      </c>
      <c r="H314">
        <v>4000</v>
      </c>
      <c r="I314">
        <v>4985.1000000000004</v>
      </c>
      <c r="J314">
        <v>1</v>
      </c>
      <c r="K314">
        <f t="shared" si="8"/>
        <v>11.6</v>
      </c>
      <c r="L314">
        <f>K314+energy_grid_portfolio_dataset!H314</f>
        <v>4011.6</v>
      </c>
      <c r="M314">
        <f t="shared" si="9"/>
        <v>0</v>
      </c>
    </row>
    <row r="315" spans="1:13" x14ac:dyDescent="0.3">
      <c r="A315" s="1">
        <v>46279.041666666664</v>
      </c>
      <c r="B315" t="s">
        <v>10</v>
      </c>
      <c r="C315">
        <v>22.8</v>
      </c>
      <c r="D315">
        <v>49.6</v>
      </c>
      <c r="E315">
        <v>1.6</v>
      </c>
      <c r="F315">
        <v>0</v>
      </c>
      <c r="G315">
        <v>0.3</v>
      </c>
      <c r="H315">
        <v>4000</v>
      </c>
      <c r="I315">
        <v>4650.8999999999996</v>
      </c>
      <c r="J315">
        <v>1</v>
      </c>
      <c r="K315">
        <f t="shared" si="8"/>
        <v>0.3</v>
      </c>
      <c r="L315">
        <f>K315+energy_grid_portfolio_dataset!H315</f>
        <v>4000.3</v>
      </c>
      <c r="M315">
        <f t="shared" si="9"/>
        <v>1</v>
      </c>
    </row>
    <row r="316" spans="1:13" x14ac:dyDescent="0.3">
      <c r="A316" s="1">
        <v>46279.083333333336</v>
      </c>
      <c r="B316" t="s">
        <v>10</v>
      </c>
      <c r="C316">
        <v>23.4</v>
      </c>
      <c r="D316">
        <v>10.9</v>
      </c>
      <c r="E316">
        <v>3.9</v>
      </c>
      <c r="F316">
        <v>0</v>
      </c>
      <c r="G316">
        <v>3.8</v>
      </c>
      <c r="H316">
        <v>4000</v>
      </c>
      <c r="I316">
        <v>5200.8999999999996</v>
      </c>
      <c r="J316">
        <v>1</v>
      </c>
      <c r="K316">
        <f t="shared" si="8"/>
        <v>3.8</v>
      </c>
      <c r="L316">
        <f>K316+energy_grid_portfolio_dataset!H316</f>
        <v>4003.8</v>
      </c>
      <c r="M316">
        <f t="shared" si="9"/>
        <v>2</v>
      </c>
    </row>
    <row r="317" spans="1:13" x14ac:dyDescent="0.3">
      <c r="A317" s="1">
        <v>46279.125</v>
      </c>
      <c r="B317" t="s">
        <v>10</v>
      </c>
      <c r="C317">
        <v>23.9</v>
      </c>
      <c r="D317">
        <v>35.799999999999997</v>
      </c>
      <c r="E317">
        <v>2.2000000000000002</v>
      </c>
      <c r="F317">
        <v>0</v>
      </c>
      <c r="G317">
        <v>0.6</v>
      </c>
      <c r="H317">
        <v>4000</v>
      </c>
      <c r="I317">
        <v>5033.7</v>
      </c>
      <c r="J317">
        <v>1</v>
      </c>
      <c r="K317">
        <f t="shared" si="8"/>
        <v>0.6</v>
      </c>
      <c r="L317">
        <f>K317+energy_grid_portfolio_dataset!H317</f>
        <v>4000.6</v>
      </c>
      <c r="M317">
        <f t="shared" si="9"/>
        <v>3</v>
      </c>
    </row>
    <row r="318" spans="1:13" x14ac:dyDescent="0.3">
      <c r="A318" s="1">
        <v>46279.166666666664</v>
      </c>
      <c r="B318" t="s">
        <v>10</v>
      </c>
      <c r="C318">
        <v>22.9</v>
      </c>
      <c r="D318">
        <v>22.8</v>
      </c>
      <c r="E318">
        <v>2.2000000000000002</v>
      </c>
      <c r="F318">
        <v>0</v>
      </c>
      <c r="G318">
        <v>0.7</v>
      </c>
      <c r="H318">
        <v>4000</v>
      </c>
      <c r="I318">
        <v>4975.3999999999996</v>
      </c>
      <c r="J318">
        <v>1</v>
      </c>
      <c r="K318">
        <f t="shared" si="8"/>
        <v>0.7</v>
      </c>
      <c r="L318">
        <f>K318+energy_grid_portfolio_dataset!H318</f>
        <v>4000.7</v>
      </c>
      <c r="M318">
        <f t="shared" si="9"/>
        <v>4</v>
      </c>
    </row>
    <row r="319" spans="1:13" x14ac:dyDescent="0.3">
      <c r="A319" s="1">
        <v>46279.208333333336</v>
      </c>
      <c r="B319" t="s">
        <v>10</v>
      </c>
      <c r="C319">
        <v>28.3</v>
      </c>
      <c r="D319">
        <v>46.8</v>
      </c>
      <c r="E319">
        <v>5.2</v>
      </c>
      <c r="F319">
        <v>0</v>
      </c>
      <c r="G319">
        <v>9.1</v>
      </c>
      <c r="H319">
        <v>4000</v>
      </c>
      <c r="I319">
        <v>4839.7</v>
      </c>
      <c r="J319">
        <v>1</v>
      </c>
      <c r="K319">
        <f t="shared" si="8"/>
        <v>9.1</v>
      </c>
      <c r="L319">
        <f>K319+energy_grid_portfolio_dataset!H319</f>
        <v>4009.1</v>
      </c>
      <c r="M319">
        <f t="shared" si="9"/>
        <v>5</v>
      </c>
    </row>
    <row r="320" spans="1:13" x14ac:dyDescent="0.3">
      <c r="A320" s="1">
        <v>46279.25</v>
      </c>
      <c r="B320" t="s">
        <v>10</v>
      </c>
      <c r="C320">
        <v>27.5</v>
      </c>
      <c r="D320">
        <v>49.3</v>
      </c>
      <c r="E320">
        <v>4.3</v>
      </c>
      <c r="F320">
        <v>437.4</v>
      </c>
      <c r="G320">
        <v>5</v>
      </c>
      <c r="H320">
        <v>4000</v>
      </c>
      <c r="I320">
        <v>4786.2</v>
      </c>
      <c r="J320">
        <v>1</v>
      </c>
      <c r="K320">
        <f t="shared" si="8"/>
        <v>442.4</v>
      </c>
      <c r="L320">
        <f>K320+energy_grid_portfolio_dataset!H320</f>
        <v>4442.3999999999996</v>
      </c>
      <c r="M320">
        <f t="shared" si="9"/>
        <v>6</v>
      </c>
    </row>
    <row r="321" spans="1:13" x14ac:dyDescent="0.3">
      <c r="A321" s="1">
        <v>46279.291666666664</v>
      </c>
      <c r="B321" t="s">
        <v>10</v>
      </c>
      <c r="C321">
        <v>30.1</v>
      </c>
      <c r="D321">
        <v>28.8</v>
      </c>
      <c r="E321">
        <v>3.4</v>
      </c>
      <c r="F321">
        <v>1038.9000000000001</v>
      </c>
      <c r="G321">
        <v>2.5</v>
      </c>
      <c r="H321">
        <v>4000</v>
      </c>
      <c r="I321">
        <v>5297.9</v>
      </c>
      <c r="J321">
        <v>1</v>
      </c>
      <c r="K321">
        <f t="shared" si="8"/>
        <v>1041.4000000000001</v>
      </c>
      <c r="L321">
        <f>K321+energy_grid_portfolio_dataset!H321</f>
        <v>5041.3999999999996</v>
      </c>
      <c r="M321">
        <f t="shared" si="9"/>
        <v>7</v>
      </c>
    </row>
    <row r="322" spans="1:13" x14ac:dyDescent="0.3">
      <c r="A322" s="1">
        <v>46279.333333333336</v>
      </c>
      <c r="B322" t="s">
        <v>10</v>
      </c>
      <c r="C322">
        <v>30.8</v>
      </c>
      <c r="D322">
        <v>39.200000000000003</v>
      </c>
      <c r="E322">
        <v>5.9</v>
      </c>
      <c r="F322">
        <v>1357.7</v>
      </c>
      <c r="G322">
        <v>13.2</v>
      </c>
      <c r="H322">
        <v>3599.1</v>
      </c>
      <c r="I322">
        <v>4970</v>
      </c>
      <c r="J322">
        <v>0</v>
      </c>
      <c r="K322">
        <f t="shared" si="8"/>
        <v>1370.9</v>
      </c>
      <c r="L322">
        <f>K322+energy_grid_portfolio_dataset!H322</f>
        <v>4970</v>
      </c>
      <c r="M322">
        <f t="shared" si="9"/>
        <v>8</v>
      </c>
    </row>
    <row r="323" spans="1:13" x14ac:dyDescent="0.3">
      <c r="A323" s="1">
        <v>46279.375</v>
      </c>
      <c r="B323" t="s">
        <v>10</v>
      </c>
      <c r="C323">
        <v>30.2</v>
      </c>
      <c r="D323">
        <v>0</v>
      </c>
      <c r="E323">
        <v>5</v>
      </c>
      <c r="F323">
        <v>2345.5</v>
      </c>
      <c r="G323">
        <v>8.1</v>
      </c>
      <c r="H323">
        <v>2478.5</v>
      </c>
      <c r="I323">
        <v>4832.1000000000004</v>
      </c>
      <c r="J323">
        <v>0</v>
      </c>
      <c r="K323">
        <f t="shared" ref="K323:K386" si="10">F323+G323</f>
        <v>2353.6</v>
      </c>
      <c r="L323">
        <f>K323+energy_grid_portfolio_dataset!H323</f>
        <v>4832.1000000000004</v>
      </c>
      <c r="M323">
        <f t="shared" ref="M323:M386" si="11">HOUR(A323)</f>
        <v>9</v>
      </c>
    </row>
    <row r="324" spans="1:13" x14ac:dyDescent="0.3">
      <c r="A324" s="1">
        <v>46279.416666666664</v>
      </c>
      <c r="B324" t="s">
        <v>10</v>
      </c>
      <c r="C324">
        <v>30</v>
      </c>
      <c r="D324">
        <v>32.799999999999997</v>
      </c>
      <c r="E324">
        <v>9</v>
      </c>
      <c r="F324">
        <v>2082.9</v>
      </c>
      <c r="G324">
        <v>46.4</v>
      </c>
      <c r="H324">
        <v>4000</v>
      </c>
      <c r="I324">
        <v>6984.5</v>
      </c>
      <c r="J324">
        <v>1</v>
      </c>
      <c r="K324">
        <f t="shared" si="10"/>
        <v>2129.3000000000002</v>
      </c>
      <c r="L324">
        <f>K324+energy_grid_portfolio_dataset!H324</f>
        <v>6129.3</v>
      </c>
      <c r="M324">
        <f t="shared" si="11"/>
        <v>10</v>
      </c>
    </row>
    <row r="325" spans="1:13" x14ac:dyDescent="0.3">
      <c r="A325" s="1">
        <v>46279.458333333336</v>
      </c>
      <c r="B325" t="s">
        <v>10</v>
      </c>
      <c r="C325">
        <v>35.1</v>
      </c>
      <c r="D325">
        <v>26.6</v>
      </c>
      <c r="E325">
        <v>3.8</v>
      </c>
      <c r="F325">
        <v>2379.4</v>
      </c>
      <c r="G325">
        <v>3.5</v>
      </c>
      <c r="H325">
        <v>4000</v>
      </c>
      <c r="I325">
        <v>7149.1</v>
      </c>
      <c r="J325">
        <v>1</v>
      </c>
      <c r="K325">
        <f t="shared" si="10"/>
        <v>2382.9</v>
      </c>
      <c r="L325">
        <f>K325+energy_grid_portfolio_dataset!H325</f>
        <v>6382.9</v>
      </c>
      <c r="M325">
        <f t="shared" si="11"/>
        <v>11</v>
      </c>
    </row>
    <row r="326" spans="1:13" x14ac:dyDescent="0.3">
      <c r="A326" s="1">
        <v>46279.5</v>
      </c>
      <c r="B326" t="s">
        <v>10</v>
      </c>
      <c r="C326">
        <v>33.6</v>
      </c>
      <c r="D326">
        <v>30.3</v>
      </c>
      <c r="E326">
        <v>4.5999999999999996</v>
      </c>
      <c r="F326">
        <v>2362.6999999999998</v>
      </c>
      <c r="G326">
        <v>6.4</v>
      </c>
      <c r="H326">
        <v>4000</v>
      </c>
      <c r="I326">
        <v>7287.9</v>
      </c>
      <c r="J326">
        <v>1</v>
      </c>
      <c r="K326">
        <f t="shared" si="10"/>
        <v>2369.1</v>
      </c>
      <c r="L326">
        <f>K326+energy_grid_portfolio_dataset!H326</f>
        <v>6369.1</v>
      </c>
      <c r="M326">
        <f t="shared" si="11"/>
        <v>12</v>
      </c>
    </row>
    <row r="327" spans="1:13" x14ac:dyDescent="0.3">
      <c r="A327" s="1">
        <v>46279.541666666664</v>
      </c>
      <c r="B327" t="s">
        <v>10</v>
      </c>
      <c r="C327">
        <v>35.299999999999997</v>
      </c>
      <c r="D327">
        <v>21.5</v>
      </c>
      <c r="E327">
        <v>2.5</v>
      </c>
      <c r="F327">
        <v>2484.6</v>
      </c>
      <c r="G327">
        <v>1</v>
      </c>
      <c r="H327">
        <v>4000</v>
      </c>
      <c r="I327">
        <v>7049.8</v>
      </c>
      <c r="J327">
        <v>1</v>
      </c>
      <c r="K327">
        <f t="shared" si="10"/>
        <v>2485.6</v>
      </c>
      <c r="L327">
        <f>K327+energy_grid_portfolio_dataset!H327</f>
        <v>6485.6</v>
      </c>
      <c r="M327">
        <f t="shared" si="11"/>
        <v>13</v>
      </c>
    </row>
    <row r="328" spans="1:13" x14ac:dyDescent="0.3">
      <c r="A328" s="1">
        <v>46279.583333333336</v>
      </c>
      <c r="B328" t="s">
        <v>10</v>
      </c>
      <c r="C328">
        <v>31.8</v>
      </c>
      <c r="D328">
        <v>25.6</v>
      </c>
      <c r="E328">
        <v>4</v>
      </c>
      <c r="F328">
        <v>2219.1999999999998</v>
      </c>
      <c r="G328">
        <v>4</v>
      </c>
      <c r="H328">
        <v>4000</v>
      </c>
      <c r="I328">
        <v>7230.5</v>
      </c>
      <c r="J328">
        <v>1</v>
      </c>
      <c r="K328">
        <f t="shared" si="10"/>
        <v>2223.1999999999998</v>
      </c>
      <c r="L328">
        <f>K328+energy_grid_portfolio_dataset!H328</f>
        <v>6223.2</v>
      </c>
      <c r="M328">
        <f t="shared" si="11"/>
        <v>14</v>
      </c>
    </row>
    <row r="329" spans="1:13" x14ac:dyDescent="0.3">
      <c r="A329" s="1">
        <v>46279.625</v>
      </c>
      <c r="B329" t="s">
        <v>10</v>
      </c>
      <c r="C329">
        <v>33</v>
      </c>
      <c r="D329">
        <v>24.5</v>
      </c>
      <c r="E329">
        <v>5.6</v>
      </c>
      <c r="F329">
        <v>1943.3</v>
      </c>
      <c r="G329">
        <v>11.5</v>
      </c>
      <c r="H329">
        <v>3158.1</v>
      </c>
      <c r="I329">
        <v>5112.8999999999996</v>
      </c>
      <c r="J329">
        <v>0</v>
      </c>
      <c r="K329">
        <f t="shared" si="10"/>
        <v>1954.8</v>
      </c>
      <c r="L329">
        <f>K329+energy_grid_portfolio_dataset!H329</f>
        <v>5112.8999999999996</v>
      </c>
      <c r="M329">
        <f t="shared" si="11"/>
        <v>15</v>
      </c>
    </row>
    <row r="330" spans="1:13" x14ac:dyDescent="0.3">
      <c r="A330" s="1">
        <v>46279.666666666664</v>
      </c>
      <c r="B330" t="s">
        <v>10</v>
      </c>
      <c r="C330">
        <v>31.8</v>
      </c>
      <c r="D330">
        <v>25.2</v>
      </c>
      <c r="E330">
        <v>1.4</v>
      </c>
      <c r="F330">
        <v>1540.4</v>
      </c>
      <c r="G330">
        <v>0.2</v>
      </c>
      <c r="H330">
        <v>3617.9</v>
      </c>
      <c r="I330">
        <v>5158.5</v>
      </c>
      <c r="J330">
        <v>0</v>
      </c>
      <c r="K330">
        <f t="shared" si="10"/>
        <v>1540.6000000000001</v>
      </c>
      <c r="L330">
        <f>K330+energy_grid_portfolio_dataset!H330</f>
        <v>5158.5</v>
      </c>
      <c r="M330">
        <f t="shared" si="11"/>
        <v>16</v>
      </c>
    </row>
    <row r="331" spans="1:13" x14ac:dyDescent="0.3">
      <c r="A331" s="1">
        <v>46279.708333333336</v>
      </c>
      <c r="B331" t="s">
        <v>10</v>
      </c>
      <c r="C331">
        <v>29.1</v>
      </c>
      <c r="D331">
        <v>12.8</v>
      </c>
      <c r="E331">
        <v>3.6</v>
      </c>
      <c r="F331">
        <v>1184.9000000000001</v>
      </c>
      <c r="G331">
        <v>3.1</v>
      </c>
      <c r="H331">
        <v>3602.2</v>
      </c>
      <c r="I331">
        <v>4790.2</v>
      </c>
      <c r="J331">
        <v>0</v>
      </c>
      <c r="K331">
        <f t="shared" si="10"/>
        <v>1188</v>
      </c>
      <c r="L331">
        <f>K331+energy_grid_portfolio_dataset!H331</f>
        <v>4790.2</v>
      </c>
      <c r="M331">
        <f t="shared" si="11"/>
        <v>17</v>
      </c>
    </row>
    <row r="332" spans="1:13" x14ac:dyDescent="0.3">
      <c r="A332" s="1">
        <v>46279.75</v>
      </c>
      <c r="B332" t="s">
        <v>10</v>
      </c>
      <c r="C332">
        <v>28.8</v>
      </c>
      <c r="D332">
        <v>23.6</v>
      </c>
      <c r="E332">
        <v>5</v>
      </c>
      <c r="F332">
        <v>557.29999999999995</v>
      </c>
      <c r="G332">
        <v>7.9</v>
      </c>
      <c r="H332">
        <v>4000</v>
      </c>
      <c r="I332">
        <v>7708.5</v>
      </c>
      <c r="J332">
        <v>1</v>
      </c>
      <c r="K332">
        <f t="shared" si="10"/>
        <v>565.19999999999993</v>
      </c>
      <c r="L332">
        <f>K332+energy_grid_portfolio_dataset!H332</f>
        <v>4565.2</v>
      </c>
      <c r="M332">
        <f t="shared" si="11"/>
        <v>18</v>
      </c>
    </row>
    <row r="333" spans="1:13" x14ac:dyDescent="0.3">
      <c r="A333" s="1">
        <v>46279.791666666664</v>
      </c>
      <c r="B333" t="s">
        <v>10</v>
      </c>
      <c r="C333">
        <v>23.5</v>
      </c>
      <c r="D333">
        <v>6.2</v>
      </c>
      <c r="E333">
        <v>3.7</v>
      </c>
      <c r="F333">
        <v>0</v>
      </c>
      <c r="G333">
        <v>3.3</v>
      </c>
      <c r="H333">
        <v>4000</v>
      </c>
      <c r="I333">
        <v>7709.7</v>
      </c>
      <c r="J333">
        <v>1</v>
      </c>
      <c r="K333">
        <f t="shared" si="10"/>
        <v>3.3</v>
      </c>
      <c r="L333">
        <f>K333+energy_grid_portfolio_dataset!H333</f>
        <v>4003.3</v>
      </c>
      <c r="M333">
        <f t="shared" si="11"/>
        <v>19</v>
      </c>
    </row>
    <row r="334" spans="1:13" x14ac:dyDescent="0.3">
      <c r="A334" s="1">
        <v>46279.833333333336</v>
      </c>
      <c r="B334" t="s">
        <v>10</v>
      </c>
      <c r="C334">
        <v>25.9</v>
      </c>
      <c r="D334">
        <v>55.6</v>
      </c>
      <c r="E334">
        <v>6.4</v>
      </c>
      <c r="F334">
        <v>0</v>
      </c>
      <c r="G334">
        <v>17.100000000000001</v>
      </c>
      <c r="H334">
        <v>4000</v>
      </c>
      <c r="I334">
        <v>7518.5</v>
      </c>
      <c r="J334">
        <v>1</v>
      </c>
      <c r="K334">
        <f t="shared" si="10"/>
        <v>17.100000000000001</v>
      </c>
      <c r="L334">
        <f>K334+energy_grid_portfolio_dataset!H334</f>
        <v>4017.1</v>
      </c>
      <c r="M334">
        <f t="shared" si="11"/>
        <v>20</v>
      </c>
    </row>
    <row r="335" spans="1:13" x14ac:dyDescent="0.3">
      <c r="A335" s="1">
        <v>46279.875</v>
      </c>
      <c r="B335" t="s">
        <v>10</v>
      </c>
      <c r="C335">
        <v>26</v>
      </c>
      <c r="D335">
        <v>28</v>
      </c>
      <c r="E335">
        <v>3.3</v>
      </c>
      <c r="F335">
        <v>0</v>
      </c>
      <c r="G335">
        <v>2.4</v>
      </c>
      <c r="H335">
        <v>4000</v>
      </c>
      <c r="I335">
        <v>7668</v>
      </c>
      <c r="J335">
        <v>1</v>
      </c>
      <c r="K335">
        <f t="shared" si="10"/>
        <v>2.4</v>
      </c>
      <c r="L335">
        <f>K335+energy_grid_portfolio_dataset!H335</f>
        <v>4002.4</v>
      </c>
      <c r="M335">
        <f t="shared" si="11"/>
        <v>21</v>
      </c>
    </row>
    <row r="336" spans="1:13" x14ac:dyDescent="0.3">
      <c r="A336" s="1">
        <v>46279.916666666664</v>
      </c>
      <c r="B336" t="s">
        <v>10</v>
      </c>
      <c r="C336">
        <v>22.4</v>
      </c>
      <c r="D336">
        <v>17.2</v>
      </c>
      <c r="E336">
        <v>4.3</v>
      </c>
      <c r="F336">
        <v>0</v>
      </c>
      <c r="G336">
        <v>5.2</v>
      </c>
      <c r="H336">
        <v>4000</v>
      </c>
      <c r="I336">
        <v>4858</v>
      </c>
      <c r="J336">
        <v>1</v>
      </c>
      <c r="K336">
        <f t="shared" si="10"/>
        <v>5.2</v>
      </c>
      <c r="L336">
        <f>K336+energy_grid_portfolio_dataset!H336</f>
        <v>4005.2</v>
      </c>
      <c r="M336">
        <f t="shared" si="11"/>
        <v>22</v>
      </c>
    </row>
    <row r="337" spans="1:13" x14ac:dyDescent="0.3">
      <c r="A337" s="1">
        <v>46279.958333333336</v>
      </c>
      <c r="B337" t="s">
        <v>10</v>
      </c>
      <c r="C337">
        <v>22.2</v>
      </c>
      <c r="D337">
        <v>33.700000000000003</v>
      </c>
      <c r="E337">
        <v>6.4</v>
      </c>
      <c r="F337">
        <v>0</v>
      </c>
      <c r="G337">
        <v>16.600000000000001</v>
      </c>
      <c r="H337">
        <v>4000</v>
      </c>
      <c r="I337">
        <v>4974.1000000000004</v>
      </c>
      <c r="J337">
        <v>1</v>
      </c>
      <c r="K337">
        <f t="shared" si="10"/>
        <v>16.600000000000001</v>
      </c>
      <c r="L337">
        <f>K337+energy_grid_portfolio_dataset!H337</f>
        <v>4016.6</v>
      </c>
      <c r="M337">
        <f t="shared" si="11"/>
        <v>23</v>
      </c>
    </row>
    <row r="338" spans="1:13" x14ac:dyDescent="0.3">
      <c r="A338" s="1">
        <v>46266</v>
      </c>
      <c r="B338" t="s">
        <v>11</v>
      </c>
      <c r="C338">
        <v>18.5</v>
      </c>
      <c r="D338">
        <v>0</v>
      </c>
      <c r="E338">
        <v>16.7</v>
      </c>
      <c r="F338">
        <v>0</v>
      </c>
      <c r="G338">
        <v>741.4</v>
      </c>
      <c r="H338">
        <v>4000</v>
      </c>
      <c r="I338">
        <v>5092.3999999999996</v>
      </c>
      <c r="J338">
        <v>1</v>
      </c>
      <c r="K338">
        <f t="shared" si="10"/>
        <v>741.4</v>
      </c>
      <c r="L338">
        <f>K338+energy_grid_portfolio_dataset!H338</f>
        <v>4741.3999999999996</v>
      </c>
      <c r="M338">
        <f t="shared" si="11"/>
        <v>0</v>
      </c>
    </row>
    <row r="339" spans="1:13" x14ac:dyDescent="0.3">
      <c r="A339" s="1">
        <v>46266.041666666664</v>
      </c>
      <c r="B339" t="s">
        <v>11</v>
      </c>
      <c r="C339">
        <v>19.899999999999999</v>
      </c>
      <c r="D339">
        <v>15.7</v>
      </c>
      <c r="E339">
        <v>3</v>
      </c>
      <c r="F339">
        <v>0</v>
      </c>
      <c r="G339">
        <v>4.3</v>
      </c>
      <c r="H339">
        <v>4000</v>
      </c>
      <c r="I339">
        <v>4745</v>
      </c>
      <c r="J339">
        <v>1</v>
      </c>
      <c r="K339">
        <f t="shared" si="10"/>
        <v>4.3</v>
      </c>
      <c r="L339">
        <f>K339+energy_grid_portfolio_dataset!H339</f>
        <v>4004.3</v>
      </c>
      <c r="M339">
        <f t="shared" si="11"/>
        <v>1</v>
      </c>
    </row>
    <row r="340" spans="1:13" x14ac:dyDescent="0.3">
      <c r="A340" s="1">
        <v>46266.083333333336</v>
      </c>
      <c r="B340" t="s">
        <v>11</v>
      </c>
      <c r="C340">
        <v>21.3</v>
      </c>
      <c r="D340">
        <v>30.6</v>
      </c>
      <c r="E340">
        <v>0</v>
      </c>
      <c r="F340">
        <v>0</v>
      </c>
      <c r="G340">
        <v>0</v>
      </c>
      <c r="H340">
        <v>4000</v>
      </c>
      <c r="I340">
        <v>5031.2</v>
      </c>
      <c r="J340">
        <v>1</v>
      </c>
      <c r="K340">
        <f t="shared" si="10"/>
        <v>0</v>
      </c>
      <c r="L340">
        <f>K340+energy_grid_portfolio_dataset!H340</f>
        <v>4000</v>
      </c>
      <c r="M340">
        <f t="shared" si="11"/>
        <v>2</v>
      </c>
    </row>
    <row r="341" spans="1:13" x14ac:dyDescent="0.3">
      <c r="A341" s="1">
        <v>46266.125</v>
      </c>
      <c r="B341" t="s">
        <v>11</v>
      </c>
      <c r="C341">
        <v>21.6</v>
      </c>
      <c r="D341">
        <v>8</v>
      </c>
      <c r="E341">
        <v>12.9</v>
      </c>
      <c r="F341">
        <v>0</v>
      </c>
      <c r="G341">
        <v>344.8</v>
      </c>
      <c r="H341">
        <v>4000</v>
      </c>
      <c r="I341">
        <v>4868.1000000000004</v>
      </c>
      <c r="J341">
        <v>1</v>
      </c>
      <c r="K341">
        <f t="shared" si="10"/>
        <v>344.8</v>
      </c>
      <c r="L341">
        <f>K341+energy_grid_portfolio_dataset!H341</f>
        <v>4344.8</v>
      </c>
      <c r="M341">
        <f t="shared" si="11"/>
        <v>3</v>
      </c>
    </row>
    <row r="342" spans="1:13" x14ac:dyDescent="0.3">
      <c r="A342" s="1">
        <v>46266.166666666664</v>
      </c>
      <c r="B342" t="s">
        <v>11</v>
      </c>
      <c r="C342">
        <v>22.6</v>
      </c>
      <c r="D342">
        <v>48</v>
      </c>
      <c r="E342">
        <v>7.1</v>
      </c>
      <c r="F342">
        <v>0</v>
      </c>
      <c r="G342">
        <v>58.1</v>
      </c>
      <c r="H342">
        <v>4000</v>
      </c>
      <c r="I342">
        <v>4947.7</v>
      </c>
      <c r="J342">
        <v>1</v>
      </c>
      <c r="K342">
        <f t="shared" si="10"/>
        <v>58.1</v>
      </c>
      <c r="L342">
        <f>K342+energy_grid_portfolio_dataset!H342</f>
        <v>4058.1</v>
      </c>
      <c r="M342">
        <f t="shared" si="11"/>
        <v>4</v>
      </c>
    </row>
    <row r="343" spans="1:13" x14ac:dyDescent="0.3">
      <c r="A343" s="1">
        <v>46266.208333333336</v>
      </c>
      <c r="B343" t="s">
        <v>11</v>
      </c>
      <c r="C343">
        <v>22.8</v>
      </c>
      <c r="D343">
        <v>44.3</v>
      </c>
      <c r="E343">
        <v>7.3</v>
      </c>
      <c r="F343">
        <v>0</v>
      </c>
      <c r="G343">
        <v>63.1</v>
      </c>
      <c r="H343">
        <v>4000</v>
      </c>
      <c r="I343">
        <v>5129.5</v>
      </c>
      <c r="J343">
        <v>1</v>
      </c>
      <c r="K343">
        <f t="shared" si="10"/>
        <v>63.1</v>
      </c>
      <c r="L343">
        <f>K343+energy_grid_portfolio_dataset!H343</f>
        <v>4063.1</v>
      </c>
      <c r="M343">
        <f t="shared" si="11"/>
        <v>5</v>
      </c>
    </row>
    <row r="344" spans="1:13" x14ac:dyDescent="0.3">
      <c r="A344" s="1">
        <v>46266.25</v>
      </c>
      <c r="B344" t="s">
        <v>11</v>
      </c>
      <c r="C344">
        <v>23.1</v>
      </c>
      <c r="D344">
        <v>40.700000000000003</v>
      </c>
      <c r="E344">
        <v>20.6</v>
      </c>
      <c r="F344">
        <v>252.3</v>
      </c>
      <c r="G344">
        <v>1390.3</v>
      </c>
      <c r="H344">
        <v>3240.9</v>
      </c>
      <c r="I344">
        <v>4883.5</v>
      </c>
      <c r="J344">
        <v>0</v>
      </c>
      <c r="K344">
        <f t="shared" si="10"/>
        <v>1642.6</v>
      </c>
      <c r="L344">
        <f>K344+energy_grid_portfolio_dataset!H344</f>
        <v>4883.5</v>
      </c>
      <c r="M344">
        <f t="shared" si="11"/>
        <v>6</v>
      </c>
    </row>
    <row r="345" spans="1:13" x14ac:dyDescent="0.3">
      <c r="A345" s="1">
        <v>46266.291666666664</v>
      </c>
      <c r="B345" t="s">
        <v>11</v>
      </c>
      <c r="C345">
        <v>23.4</v>
      </c>
      <c r="D345">
        <v>81.8</v>
      </c>
      <c r="E345">
        <v>11</v>
      </c>
      <c r="F345">
        <v>331.5</v>
      </c>
      <c r="G345">
        <v>210.3</v>
      </c>
      <c r="H345">
        <v>4000</v>
      </c>
      <c r="I345">
        <v>4744.2</v>
      </c>
      <c r="J345">
        <v>1</v>
      </c>
      <c r="K345">
        <f t="shared" si="10"/>
        <v>541.79999999999995</v>
      </c>
      <c r="L345">
        <f>K345+energy_grid_portfolio_dataset!H345</f>
        <v>4541.8</v>
      </c>
      <c r="M345">
        <f t="shared" si="11"/>
        <v>7</v>
      </c>
    </row>
    <row r="346" spans="1:13" x14ac:dyDescent="0.3">
      <c r="A346" s="1">
        <v>46266.333333333336</v>
      </c>
      <c r="B346" t="s">
        <v>11</v>
      </c>
      <c r="C346">
        <v>27</v>
      </c>
      <c r="D346">
        <v>29.9</v>
      </c>
      <c r="E346">
        <v>21.1</v>
      </c>
      <c r="F346">
        <v>767.7</v>
      </c>
      <c r="G346">
        <v>1509.5</v>
      </c>
      <c r="H346">
        <v>2572.4</v>
      </c>
      <c r="I346">
        <v>4849.6000000000004</v>
      </c>
      <c r="J346">
        <v>0</v>
      </c>
      <c r="K346">
        <f t="shared" si="10"/>
        <v>2277.1999999999998</v>
      </c>
      <c r="L346">
        <f>K346+energy_grid_portfolio_dataset!H346</f>
        <v>4849.6000000000004</v>
      </c>
      <c r="M346">
        <f t="shared" si="11"/>
        <v>8</v>
      </c>
    </row>
    <row r="347" spans="1:13" x14ac:dyDescent="0.3">
      <c r="A347" s="1">
        <v>46266.375</v>
      </c>
      <c r="B347" t="s">
        <v>11</v>
      </c>
      <c r="C347">
        <v>26.3</v>
      </c>
      <c r="D347">
        <v>98.9</v>
      </c>
      <c r="E347">
        <v>9</v>
      </c>
      <c r="F347">
        <v>476.6</v>
      </c>
      <c r="G347">
        <v>115.5</v>
      </c>
      <c r="H347">
        <v>4000</v>
      </c>
      <c r="I347">
        <v>5051.7</v>
      </c>
      <c r="J347">
        <v>1</v>
      </c>
      <c r="K347">
        <f t="shared" si="10"/>
        <v>592.1</v>
      </c>
      <c r="L347">
        <f>K347+energy_grid_portfolio_dataset!H347</f>
        <v>4592.1000000000004</v>
      </c>
      <c r="M347">
        <f t="shared" si="11"/>
        <v>9</v>
      </c>
    </row>
    <row r="348" spans="1:13" x14ac:dyDescent="0.3">
      <c r="A348" s="1">
        <v>46266.416666666664</v>
      </c>
      <c r="B348" t="s">
        <v>11</v>
      </c>
      <c r="C348">
        <v>27.8</v>
      </c>
      <c r="D348">
        <v>77.5</v>
      </c>
      <c r="E348">
        <v>19.8</v>
      </c>
      <c r="F348">
        <v>722.7</v>
      </c>
      <c r="G348">
        <v>1243.4000000000001</v>
      </c>
      <c r="H348">
        <v>4000</v>
      </c>
      <c r="I348">
        <v>7261.3</v>
      </c>
      <c r="J348">
        <v>1</v>
      </c>
      <c r="K348">
        <f t="shared" si="10"/>
        <v>1966.1000000000001</v>
      </c>
      <c r="L348">
        <f>K348+energy_grid_portfolio_dataset!H348</f>
        <v>5966.1</v>
      </c>
      <c r="M348">
        <f t="shared" si="11"/>
        <v>10</v>
      </c>
    </row>
    <row r="349" spans="1:13" x14ac:dyDescent="0.3">
      <c r="A349" s="1">
        <v>46266.458333333336</v>
      </c>
      <c r="B349" t="s">
        <v>11</v>
      </c>
      <c r="C349">
        <v>27.1</v>
      </c>
      <c r="D349">
        <v>56.5</v>
      </c>
      <c r="E349">
        <v>8.6</v>
      </c>
      <c r="F349">
        <v>966.6</v>
      </c>
      <c r="G349">
        <v>102.2</v>
      </c>
      <c r="H349">
        <v>4000</v>
      </c>
      <c r="I349">
        <v>7154.8</v>
      </c>
      <c r="J349">
        <v>1</v>
      </c>
      <c r="K349">
        <f t="shared" si="10"/>
        <v>1068.8</v>
      </c>
      <c r="L349">
        <f>K349+energy_grid_portfolio_dataset!H349</f>
        <v>5068.8</v>
      </c>
      <c r="M349">
        <f t="shared" si="11"/>
        <v>11</v>
      </c>
    </row>
    <row r="350" spans="1:13" x14ac:dyDescent="0.3">
      <c r="A350" s="1">
        <v>46266.5</v>
      </c>
      <c r="B350" t="s">
        <v>11</v>
      </c>
      <c r="C350">
        <v>28.1</v>
      </c>
      <c r="D350">
        <v>35.9</v>
      </c>
      <c r="E350">
        <v>12.9</v>
      </c>
      <c r="F350">
        <v>1177.2</v>
      </c>
      <c r="G350">
        <v>345.3</v>
      </c>
      <c r="H350">
        <v>4000</v>
      </c>
      <c r="I350">
        <v>7452</v>
      </c>
      <c r="J350">
        <v>1</v>
      </c>
      <c r="K350">
        <f t="shared" si="10"/>
        <v>1522.5</v>
      </c>
      <c r="L350">
        <f>K350+energy_grid_portfolio_dataset!H350</f>
        <v>5522.5</v>
      </c>
      <c r="M350">
        <f t="shared" si="11"/>
        <v>12</v>
      </c>
    </row>
    <row r="351" spans="1:13" x14ac:dyDescent="0.3">
      <c r="A351" s="1">
        <v>46266.541666666664</v>
      </c>
      <c r="B351" t="s">
        <v>11</v>
      </c>
      <c r="C351">
        <v>26.9</v>
      </c>
      <c r="D351">
        <v>75</v>
      </c>
      <c r="E351">
        <v>8.6999999999999993</v>
      </c>
      <c r="F351">
        <v>804.2</v>
      </c>
      <c r="G351">
        <v>105.9</v>
      </c>
      <c r="H351">
        <v>4000</v>
      </c>
      <c r="I351">
        <v>6947.9</v>
      </c>
      <c r="J351">
        <v>1</v>
      </c>
      <c r="K351">
        <f t="shared" si="10"/>
        <v>910.1</v>
      </c>
      <c r="L351">
        <f>K351+energy_grid_portfolio_dataset!H351</f>
        <v>4910.1000000000004</v>
      </c>
      <c r="M351">
        <f t="shared" si="11"/>
        <v>13</v>
      </c>
    </row>
    <row r="352" spans="1:13" x14ac:dyDescent="0.3">
      <c r="A352" s="1">
        <v>46266.583333333336</v>
      </c>
      <c r="B352" t="s">
        <v>11</v>
      </c>
      <c r="C352">
        <v>28</v>
      </c>
      <c r="D352">
        <v>74.599999999999994</v>
      </c>
      <c r="E352">
        <v>15.6</v>
      </c>
      <c r="F352">
        <v>746.2</v>
      </c>
      <c r="G352">
        <v>606.79999999999995</v>
      </c>
      <c r="H352">
        <v>4000</v>
      </c>
      <c r="I352">
        <v>6993</v>
      </c>
      <c r="J352">
        <v>1</v>
      </c>
      <c r="K352">
        <f t="shared" si="10"/>
        <v>1353</v>
      </c>
      <c r="L352">
        <f>K352+energy_grid_portfolio_dataset!H352</f>
        <v>5353</v>
      </c>
      <c r="M352">
        <f t="shared" si="11"/>
        <v>14</v>
      </c>
    </row>
    <row r="353" spans="1:13" x14ac:dyDescent="0.3">
      <c r="A353" s="1">
        <v>46266.625</v>
      </c>
      <c r="B353" t="s">
        <v>11</v>
      </c>
      <c r="C353">
        <v>26.1</v>
      </c>
      <c r="D353">
        <v>9.5</v>
      </c>
      <c r="E353">
        <v>19.5</v>
      </c>
      <c r="F353">
        <v>1106.2</v>
      </c>
      <c r="G353">
        <v>1187.5999999999999</v>
      </c>
      <c r="H353">
        <v>2805.6</v>
      </c>
      <c r="I353">
        <v>5099.3999999999996</v>
      </c>
      <c r="J353">
        <v>0</v>
      </c>
      <c r="K353">
        <f t="shared" si="10"/>
        <v>2293.8000000000002</v>
      </c>
      <c r="L353">
        <f>K353+energy_grid_portfolio_dataset!H353</f>
        <v>5099.3999999999996</v>
      </c>
      <c r="M353">
        <f t="shared" si="11"/>
        <v>15</v>
      </c>
    </row>
    <row r="354" spans="1:13" x14ac:dyDescent="0.3">
      <c r="A354" s="1">
        <v>46266.666666666664</v>
      </c>
      <c r="B354" t="s">
        <v>11</v>
      </c>
      <c r="C354">
        <v>25.7</v>
      </c>
      <c r="D354">
        <v>78.2</v>
      </c>
      <c r="E354">
        <v>14.8</v>
      </c>
      <c r="F354">
        <v>496.4</v>
      </c>
      <c r="G354">
        <v>516.70000000000005</v>
      </c>
      <c r="H354">
        <v>3888.5</v>
      </c>
      <c r="I354">
        <v>4901.6000000000004</v>
      </c>
      <c r="J354">
        <v>0</v>
      </c>
      <c r="K354">
        <f t="shared" si="10"/>
        <v>1013.1</v>
      </c>
      <c r="L354">
        <f>K354+energy_grid_portfolio_dataset!H354</f>
        <v>4901.6000000000004</v>
      </c>
      <c r="M354">
        <f t="shared" si="11"/>
        <v>16</v>
      </c>
    </row>
    <row r="355" spans="1:13" x14ac:dyDescent="0.3">
      <c r="A355" s="1">
        <v>46266.708333333336</v>
      </c>
      <c r="B355" t="s">
        <v>11</v>
      </c>
      <c r="C355">
        <v>27.2</v>
      </c>
      <c r="D355">
        <v>28.9</v>
      </c>
      <c r="E355">
        <v>16.600000000000001</v>
      </c>
      <c r="F355">
        <v>537.9</v>
      </c>
      <c r="G355">
        <v>737.1</v>
      </c>
      <c r="H355">
        <v>3743.4</v>
      </c>
      <c r="I355">
        <v>5018.3999999999996</v>
      </c>
      <c r="J355">
        <v>0</v>
      </c>
      <c r="K355">
        <f t="shared" si="10"/>
        <v>1275</v>
      </c>
      <c r="L355">
        <f>K355+energy_grid_portfolio_dataset!H355</f>
        <v>5018.3999999999996</v>
      </c>
      <c r="M355">
        <f t="shared" si="11"/>
        <v>17</v>
      </c>
    </row>
    <row r="356" spans="1:13" x14ac:dyDescent="0.3">
      <c r="A356" s="1">
        <v>46266.75</v>
      </c>
      <c r="B356" t="s">
        <v>11</v>
      </c>
      <c r="C356">
        <v>24.3</v>
      </c>
      <c r="D356">
        <v>83.2</v>
      </c>
      <c r="E356">
        <v>14.5</v>
      </c>
      <c r="F356">
        <v>167.1</v>
      </c>
      <c r="G356">
        <v>491.7</v>
      </c>
      <c r="H356">
        <v>4000</v>
      </c>
      <c r="I356">
        <v>7708.6</v>
      </c>
      <c r="J356">
        <v>1</v>
      </c>
      <c r="K356">
        <f t="shared" si="10"/>
        <v>658.8</v>
      </c>
      <c r="L356">
        <f>K356+energy_grid_portfolio_dataset!H356</f>
        <v>4658.8</v>
      </c>
      <c r="M356">
        <f t="shared" si="11"/>
        <v>18</v>
      </c>
    </row>
    <row r="357" spans="1:13" x14ac:dyDescent="0.3">
      <c r="A357" s="1">
        <v>46266.791666666664</v>
      </c>
      <c r="B357" t="s">
        <v>11</v>
      </c>
      <c r="C357">
        <v>24</v>
      </c>
      <c r="D357">
        <v>35.9</v>
      </c>
      <c r="E357">
        <v>7.8</v>
      </c>
      <c r="F357">
        <v>0</v>
      </c>
      <c r="G357">
        <v>76</v>
      </c>
      <c r="H357">
        <v>4000</v>
      </c>
      <c r="I357">
        <v>7780.7</v>
      </c>
      <c r="J357">
        <v>1</v>
      </c>
      <c r="K357">
        <f t="shared" si="10"/>
        <v>76</v>
      </c>
      <c r="L357">
        <f>K357+energy_grid_portfolio_dataset!H357</f>
        <v>4076</v>
      </c>
      <c r="M357">
        <f t="shared" si="11"/>
        <v>19</v>
      </c>
    </row>
    <row r="358" spans="1:13" x14ac:dyDescent="0.3">
      <c r="A358" s="1">
        <v>46266.833333333336</v>
      </c>
      <c r="B358" t="s">
        <v>11</v>
      </c>
      <c r="C358">
        <v>20</v>
      </c>
      <c r="D358">
        <v>96.4</v>
      </c>
      <c r="E358">
        <v>6.5</v>
      </c>
      <c r="F358">
        <v>0</v>
      </c>
      <c r="G358">
        <v>43.6</v>
      </c>
      <c r="H358">
        <v>4000</v>
      </c>
      <c r="I358">
        <v>7543.3</v>
      </c>
      <c r="J358">
        <v>1</v>
      </c>
      <c r="K358">
        <f t="shared" si="10"/>
        <v>43.6</v>
      </c>
      <c r="L358">
        <f>K358+energy_grid_portfolio_dataset!H358</f>
        <v>4043.6</v>
      </c>
      <c r="M358">
        <f t="shared" si="11"/>
        <v>20</v>
      </c>
    </row>
    <row r="359" spans="1:13" x14ac:dyDescent="0.3">
      <c r="A359" s="1">
        <v>46266.875</v>
      </c>
      <c r="B359" t="s">
        <v>11</v>
      </c>
      <c r="C359">
        <v>20.9</v>
      </c>
      <c r="D359">
        <v>52.7</v>
      </c>
      <c r="E359">
        <v>16.100000000000001</v>
      </c>
      <c r="F359">
        <v>0</v>
      </c>
      <c r="G359">
        <v>665.1</v>
      </c>
      <c r="H359">
        <v>4000</v>
      </c>
      <c r="I359">
        <v>7666.8</v>
      </c>
      <c r="J359">
        <v>1</v>
      </c>
      <c r="K359">
        <f t="shared" si="10"/>
        <v>665.1</v>
      </c>
      <c r="L359">
        <f>K359+energy_grid_portfolio_dataset!H359</f>
        <v>4665.1000000000004</v>
      </c>
      <c r="M359">
        <f t="shared" si="11"/>
        <v>21</v>
      </c>
    </row>
    <row r="360" spans="1:13" x14ac:dyDescent="0.3">
      <c r="A360" s="1">
        <v>46266.916666666664</v>
      </c>
      <c r="B360" t="s">
        <v>11</v>
      </c>
      <c r="C360">
        <v>20</v>
      </c>
      <c r="D360">
        <v>40.799999999999997</v>
      </c>
      <c r="E360">
        <v>13.4</v>
      </c>
      <c r="F360">
        <v>0</v>
      </c>
      <c r="G360">
        <v>386.1</v>
      </c>
      <c r="H360">
        <v>4000</v>
      </c>
      <c r="I360">
        <v>5079.1000000000004</v>
      </c>
      <c r="J360">
        <v>1</v>
      </c>
      <c r="K360">
        <f t="shared" si="10"/>
        <v>386.1</v>
      </c>
      <c r="L360">
        <f>K360+energy_grid_portfolio_dataset!H360</f>
        <v>4386.1000000000004</v>
      </c>
      <c r="M360">
        <f t="shared" si="11"/>
        <v>22</v>
      </c>
    </row>
    <row r="361" spans="1:13" x14ac:dyDescent="0.3">
      <c r="A361" s="1">
        <v>46266.958333333336</v>
      </c>
      <c r="B361" t="s">
        <v>11</v>
      </c>
      <c r="C361">
        <v>21.7</v>
      </c>
      <c r="D361">
        <v>57.3</v>
      </c>
      <c r="E361">
        <v>15.7</v>
      </c>
      <c r="F361">
        <v>0</v>
      </c>
      <c r="G361">
        <v>616.20000000000005</v>
      </c>
      <c r="H361">
        <v>4000</v>
      </c>
      <c r="I361">
        <v>4912.7</v>
      </c>
      <c r="J361">
        <v>1</v>
      </c>
      <c r="K361">
        <f t="shared" si="10"/>
        <v>616.20000000000005</v>
      </c>
      <c r="L361">
        <f>K361+energy_grid_portfolio_dataset!H361</f>
        <v>4616.2</v>
      </c>
      <c r="M361">
        <f t="shared" si="11"/>
        <v>23</v>
      </c>
    </row>
    <row r="362" spans="1:13" x14ac:dyDescent="0.3">
      <c r="A362" s="1">
        <v>46267</v>
      </c>
      <c r="B362" t="s">
        <v>11</v>
      </c>
      <c r="C362">
        <v>21.2</v>
      </c>
      <c r="D362">
        <v>49.5</v>
      </c>
      <c r="E362">
        <v>5.5</v>
      </c>
      <c r="F362">
        <v>0</v>
      </c>
      <c r="G362">
        <v>26.9</v>
      </c>
      <c r="H362">
        <v>4000</v>
      </c>
      <c r="I362">
        <v>5049.3999999999996</v>
      </c>
      <c r="J362">
        <v>1</v>
      </c>
      <c r="K362">
        <f t="shared" si="10"/>
        <v>26.9</v>
      </c>
      <c r="L362">
        <f>K362+energy_grid_portfolio_dataset!H362</f>
        <v>4026.9</v>
      </c>
      <c r="M362">
        <f t="shared" si="11"/>
        <v>0</v>
      </c>
    </row>
    <row r="363" spans="1:13" x14ac:dyDescent="0.3">
      <c r="A363" s="1">
        <v>46267.041666666664</v>
      </c>
      <c r="B363" t="s">
        <v>11</v>
      </c>
      <c r="C363">
        <v>19.5</v>
      </c>
      <c r="D363">
        <v>31.8</v>
      </c>
      <c r="E363">
        <v>14.9</v>
      </c>
      <c r="F363">
        <v>0</v>
      </c>
      <c r="G363">
        <v>532.70000000000005</v>
      </c>
      <c r="H363">
        <v>4000</v>
      </c>
      <c r="I363">
        <v>5010</v>
      </c>
      <c r="J363">
        <v>1</v>
      </c>
      <c r="K363">
        <f t="shared" si="10"/>
        <v>532.70000000000005</v>
      </c>
      <c r="L363">
        <f>K363+energy_grid_portfolio_dataset!H363</f>
        <v>4532.7</v>
      </c>
      <c r="M363">
        <f t="shared" si="11"/>
        <v>1</v>
      </c>
    </row>
    <row r="364" spans="1:13" x14ac:dyDescent="0.3">
      <c r="A364" s="1">
        <v>46267.083333333336</v>
      </c>
      <c r="B364" t="s">
        <v>11</v>
      </c>
      <c r="C364">
        <v>20.6</v>
      </c>
      <c r="D364">
        <v>52.7</v>
      </c>
      <c r="E364">
        <v>20.5</v>
      </c>
      <c r="F364">
        <v>0</v>
      </c>
      <c r="G364">
        <v>1380.7</v>
      </c>
      <c r="H364">
        <v>3755</v>
      </c>
      <c r="I364">
        <v>5135.7</v>
      </c>
      <c r="J364">
        <v>0</v>
      </c>
      <c r="K364">
        <f t="shared" si="10"/>
        <v>1380.7</v>
      </c>
      <c r="L364">
        <f>K364+energy_grid_portfolio_dataset!H364</f>
        <v>5135.7</v>
      </c>
      <c r="M364">
        <f t="shared" si="11"/>
        <v>2</v>
      </c>
    </row>
    <row r="365" spans="1:13" x14ac:dyDescent="0.3">
      <c r="A365" s="1">
        <v>46267.125</v>
      </c>
      <c r="B365" t="s">
        <v>11</v>
      </c>
      <c r="C365">
        <v>23.8</v>
      </c>
      <c r="D365">
        <v>59.1</v>
      </c>
      <c r="E365">
        <v>3.2</v>
      </c>
      <c r="F365">
        <v>0</v>
      </c>
      <c r="G365">
        <v>5.2</v>
      </c>
      <c r="H365">
        <v>4000</v>
      </c>
      <c r="I365">
        <v>4986.1000000000004</v>
      </c>
      <c r="J365">
        <v>1</v>
      </c>
      <c r="K365">
        <f t="shared" si="10"/>
        <v>5.2</v>
      </c>
      <c r="L365">
        <f>K365+energy_grid_portfolio_dataset!H365</f>
        <v>4005.2</v>
      </c>
      <c r="M365">
        <f t="shared" si="11"/>
        <v>3</v>
      </c>
    </row>
    <row r="366" spans="1:13" x14ac:dyDescent="0.3">
      <c r="A366" s="1">
        <v>46267.166666666664</v>
      </c>
      <c r="B366" t="s">
        <v>11</v>
      </c>
      <c r="C366">
        <v>22.4</v>
      </c>
      <c r="D366">
        <v>77.2</v>
      </c>
      <c r="E366">
        <v>15.4</v>
      </c>
      <c r="F366">
        <v>0</v>
      </c>
      <c r="G366">
        <v>580.5</v>
      </c>
      <c r="H366">
        <v>4000</v>
      </c>
      <c r="I366">
        <v>5063</v>
      </c>
      <c r="J366">
        <v>1</v>
      </c>
      <c r="K366">
        <f t="shared" si="10"/>
        <v>580.5</v>
      </c>
      <c r="L366">
        <f>K366+energy_grid_portfolio_dataset!H366</f>
        <v>4580.5</v>
      </c>
      <c r="M366">
        <f t="shared" si="11"/>
        <v>4</v>
      </c>
    </row>
    <row r="367" spans="1:13" x14ac:dyDescent="0.3">
      <c r="A367" s="1">
        <v>46267.208333333336</v>
      </c>
      <c r="B367" t="s">
        <v>11</v>
      </c>
      <c r="C367">
        <v>21.7</v>
      </c>
      <c r="D367">
        <v>39.799999999999997</v>
      </c>
      <c r="E367">
        <v>7.7</v>
      </c>
      <c r="F367">
        <v>0</v>
      </c>
      <c r="G367">
        <v>74.400000000000006</v>
      </c>
      <c r="H367">
        <v>4000</v>
      </c>
      <c r="I367">
        <v>4929.2</v>
      </c>
      <c r="J367">
        <v>1</v>
      </c>
      <c r="K367">
        <f t="shared" si="10"/>
        <v>74.400000000000006</v>
      </c>
      <c r="L367">
        <f>K367+energy_grid_portfolio_dataset!H367</f>
        <v>4074.4</v>
      </c>
      <c r="M367">
        <f t="shared" si="11"/>
        <v>5</v>
      </c>
    </row>
    <row r="368" spans="1:13" x14ac:dyDescent="0.3">
      <c r="A368" s="1">
        <v>46267.25</v>
      </c>
      <c r="B368" t="s">
        <v>11</v>
      </c>
      <c r="C368">
        <v>24.6</v>
      </c>
      <c r="D368">
        <v>86.7</v>
      </c>
      <c r="E368">
        <v>14</v>
      </c>
      <c r="F368">
        <v>160.1</v>
      </c>
      <c r="G368">
        <v>436.5</v>
      </c>
      <c r="H368">
        <v>4000</v>
      </c>
      <c r="I368">
        <v>4862.8999999999996</v>
      </c>
      <c r="J368">
        <v>1</v>
      </c>
      <c r="K368">
        <f t="shared" si="10"/>
        <v>596.6</v>
      </c>
      <c r="L368">
        <f>K368+energy_grid_portfolio_dataset!H368</f>
        <v>4596.6000000000004</v>
      </c>
      <c r="M368">
        <f t="shared" si="11"/>
        <v>6</v>
      </c>
    </row>
    <row r="369" spans="1:13" x14ac:dyDescent="0.3">
      <c r="A369" s="1">
        <v>46267.291666666664</v>
      </c>
      <c r="B369" t="s">
        <v>11</v>
      </c>
      <c r="C369">
        <v>25.5</v>
      </c>
      <c r="D369">
        <v>74.900000000000006</v>
      </c>
      <c r="E369">
        <v>9</v>
      </c>
      <c r="F369">
        <v>358.3</v>
      </c>
      <c r="G369">
        <v>114.7</v>
      </c>
      <c r="H369">
        <v>4000</v>
      </c>
      <c r="I369">
        <v>4770.6000000000004</v>
      </c>
      <c r="J369">
        <v>1</v>
      </c>
      <c r="K369">
        <f t="shared" si="10"/>
        <v>473</v>
      </c>
      <c r="L369">
        <f>K369+energy_grid_portfolio_dataset!H369</f>
        <v>4473</v>
      </c>
      <c r="M369">
        <f t="shared" si="11"/>
        <v>7</v>
      </c>
    </row>
    <row r="370" spans="1:13" x14ac:dyDescent="0.3">
      <c r="A370" s="1">
        <v>46267.333333333336</v>
      </c>
      <c r="B370" t="s">
        <v>11</v>
      </c>
      <c r="C370">
        <v>26</v>
      </c>
      <c r="D370">
        <v>25.4</v>
      </c>
      <c r="E370">
        <v>15.2</v>
      </c>
      <c r="F370">
        <v>792.8</v>
      </c>
      <c r="G370">
        <v>566.5</v>
      </c>
      <c r="H370">
        <v>3570.6</v>
      </c>
      <c r="I370">
        <v>4929.8999999999996</v>
      </c>
      <c r="J370">
        <v>0</v>
      </c>
      <c r="K370">
        <f t="shared" si="10"/>
        <v>1359.3</v>
      </c>
      <c r="L370">
        <f>K370+energy_grid_portfolio_dataset!H370</f>
        <v>4929.8999999999996</v>
      </c>
      <c r="M370">
        <f t="shared" si="11"/>
        <v>8</v>
      </c>
    </row>
    <row r="371" spans="1:13" x14ac:dyDescent="0.3">
      <c r="A371" s="1">
        <v>46267.375</v>
      </c>
      <c r="B371" t="s">
        <v>11</v>
      </c>
      <c r="C371">
        <v>27.2</v>
      </c>
      <c r="D371">
        <v>22.8</v>
      </c>
      <c r="E371">
        <v>9.8000000000000007</v>
      </c>
      <c r="F371">
        <v>1012.2</v>
      </c>
      <c r="G371">
        <v>151.19999999999999</v>
      </c>
      <c r="H371">
        <v>3768.5</v>
      </c>
      <c r="I371">
        <v>4931.8999999999996</v>
      </c>
      <c r="J371">
        <v>0</v>
      </c>
      <c r="K371">
        <f t="shared" si="10"/>
        <v>1163.4000000000001</v>
      </c>
      <c r="L371">
        <f>K371+energy_grid_portfolio_dataset!H371</f>
        <v>4931.8999999999996</v>
      </c>
      <c r="M371">
        <f t="shared" si="11"/>
        <v>9</v>
      </c>
    </row>
    <row r="372" spans="1:13" x14ac:dyDescent="0.3">
      <c r="A372" s="1">
        <v>46267.416666666664</v>
      </c>
      <c r="B372" t="s">
        <v>11</v>
      </c>
      <c r="C372">
        <v>27.1</v>
      </c>
      <c r="D372">
        <v>88.2</v>
      </c>
      <c r="E372">
        <v>10</v>
      </c>
      <c r="F372">
        <v>636.5</v>
      </c>
      <c r="G372">
        <v>160.1</v>
      </c>
      <c r="H372">
        <v>4000</v>
      </c>
      <c r="I372">
        <v>7258.4</v>
      </c>
      <c r="J372">
        <v>1</v>
      </c>
      <c r="K372">
        <f t="shared" si="10"/>
        <v>796.6</v>
      </c>
      <c r="L372">
        <f>K372+energy_grid_portfolio_dataset!H372</f>
        <v>4796.6000000000004</v>
      </c>
      <c r="M372">
        <f t="shared" si="11"/>
        <v>10</v>
      </c>
    </row>
    <row r="373" spans="1:13" x14ac:dyDescent="0.3">
      <c r="A373" s="1">
        <v>46267.458333333336</v>
      </c>
      <c r="B373" t="s">
        <v>11</v>
      </c>
      <c r="C373">
        <v>28.8</v>
      </c>
      <c r="D373">
        <v>9.5</v>
      </c>
      <c r="E373">
        <v>3.2</v>
      </c>
      <c r="F373">
        <v>1378.7</v>
      </c>
      <c r="G373">
        <v>5.2</v>
      </c>
      <c r="H373">
        <v>4000</v>
      </c>
      <c r="I373">
        <v>7183.7</v>
      </c>
      <c r="J373">
        <v>1</v>
      </c>
      <c r="K373">
        <f t="shared" si="10"/>
        <v>1383.9</v>
      </c>
      <c r="L373">
        <f>K373+energy_grid_portfolio_dataset!H373</f>
        <v>5383.9</v>
      </c>
      <c r="M373">
        <f t="shared" si="11"/>
        <v>11</v>
      </c>
    </row>
    <row r="374" spans="1:13" x14ac:dyDescent="0.3">
      <c r="A374" s="1">
        <v>46267.5</v>
      </c>
      <c r="B374" t="s">
        <v>11</v>
      </c>
      <c r="C374">
        <v>29.3</v>
      </c>
      <c r="D374">
        <v>31.2</v>
      </c>
      <c r="E374">
        <v>24.8</v>
      </c>
      <c r="F374">
        <v>1219.2</v>
      </c>
      <c r="G374">
        <v>2437.8000000000002</v>
      </c>
      <c r="H374">
        <v>3264.2</v>
      </c>
      <c r="I374">
        <v>6921.2</v>
      </c>
      <c r="J374">
        <v>0</v>
      </c>
      <c r="K374">
        <f t="shared" si="10"/>
        <v>3657</v>
      </c>
      <c r="L374">
        <f>K374+energy_grid_portfolio_dataset!H374</f>
        <v>6921.2</v>
      </c>
      <c r="M374">
        <f t="shared" si="11"/>
        <v>12</v>
      </c>
    </row>
    <row r="375" spans="1:13" x14ac:dyDescent="0.3">
      <c r="A375" s="1">
        <v>46267.541666666664</v>
      </c>
      <c r="B375" t="s">
        <v>11</v>
      </c>
      <c r="C375">
        <v>28</v>
      </c>
      <c r="D375">
        <v>83.6</v>
      </c>
      <c r="E375">
        <v>22</v>
      </c>
      <c r="F375">
        <v>729.3</v>
      </c>
      <c r="G375">
        <v>1710.8</v>
      </c>
      <c r="H375">
        <v>4000</v>
      </c>
      <c r="I375">
        <v>7065.4</v>
      </c>
      <c r="J375">
        <v>1</v>
      </c>
      <c r="K375">
        <f t="shared" si="10"/>
        <v>2440.1</v>
      </c>
      <c r="L375">
        <f>K375+energy_grid_portfolio_dataset!H375</f>
        <v>6440.1</v>
      </c>
      <c r="M375">
        <f t="shared" si="11"/>
        <v>13</v>
      </c>
    </row>
    <row r="376" spans="1:13" x14ac:dyDescent="0.3">
      <c r="A376" s="1">
        <v>46267.583333333336</v>
      </c>
      <c r="B376" t="s">
        <v>11</v>
      </c>
      <c r="C376">
        <v>28.7</v>
      </c>
      <c r="D376">
        <v>70.599999999999994</v>
      </c>
      <c r="E376">
        <v>15</v>
      </c>
      <c r="F376">
        <v>779</v>
      </c>
      <c r="G376">
        <v>536</v>
      </c>
      <c r="H376">
        <v>4000</v>
      </c>
      <c r="I376">
        <v>7459.2</v>
      </c>
      <c r="J376">
        <v>1</v>
      </c>
      <c r="K376">
        <f t="shared" si="10"/>
        <v>1315</v>
      </c>
      <c r="L376">
        <f>K376+energy_grid_portfolio_dataset!H376</f>
        <v>5315</v>
      </c>
      <c r="M376">
        <f t="shared" si="11"/>
        <v>14</v>
      </c>
    </row>
    <row r="377" spans="1:13" x14ac:dyDescent="0.3">
      <c r="A377" s="1">
        <v>46267.625</v>
      </c>
      <c r="B377" t="s">
        <v>11</v>
      </c>
      <c r="C377">
        <v>26.3</v>
      </c>
      <c r="D377">
        <v>24.5</v>
      </c>
      <c r="E377">
        <v>12</v>
      </c>
      <c r="F377">
        <v>1000</v>
      </c>
      <c r="G377">
        <v>275.3</v>
      </c>
      <c r="H377">
        <v>3791.5</v>
      </c>
      <c r="I377">
        <v>5066.8</v>
      </c>
      <c r="J377">
        <v>0</v>
      </c>
      <c r="K377">
        <f t="shared" si="10"/>
        <v>1275.3</v>
      </c>
      <c r="L377">
        <f>K377+energy_grid_portfolio_dataset!H377</f>
        <v>5066.8</v>
      </c>
      <c r="M377">
        <f t="shared" si="11"/>
        <v>15</v>
      </c>
    </row>
    <row r="378" spans="1:13" x14ac:dyDescent="0.3">
      <c r="A378" s="1">
        <v>46267.666666666664</v>
      </c>
      <c r="B378" t="s">
        <v>11</v>
      </c>
      <c r="C378">
        <v>25.5</v>
      </c>
      <c r="D378">
        <v>62.4</v>
      </c>
      <c r="E378">
        <v>16.8</v>
      </c>
      <c r="F378">
        <v>585</v>
      </c>
      <c r="G378">
        <v>755.5</v>
      </c>
      <c r="H378">
        <v>3584</v>
      </c>
      <c r="I378">
        <v>4924.5</v>
      </c>
      <c r="J378">
        <v>0</v>
      </c>
      <c r="K378">
        <f t="shared" si="10"/>
        <v>1340.5</v>
      </c>
      <c r="L378">
        <f>K378+energy_grid_portfolio_dataset!H378</f>
        <v>4924.5</v>
      </c>
      <c r="M378">
        <f t="shared" si="11"/>
        <v>16</v>
      </c>
    </row>
    <row r="379" spans="1:13" x14ac:dyDescent="0.3">
      <c r="A379" s="1">
        <v>46267.708333333336</v>
      </c>
      <c r="B379" t="s">
        <v>11</v>
      </c>
      <c r="C379">
        <v>26.5</v>
      </c>
      <c r="D379">
        <v>16.5</v>
      </c>
      <c r="E379">
        <v>11</v>
      </c>
      <c r="F379">
        <v>586.6</v>
      </c>
      <c r="G379">
        <v>214.8</v>
      </c>
      <c r="H379">
        <v>4000</v>
      </c>
      <c r="I379">
        <v>4963.3</v>
      </c>
      <c r="J379">
        <v>1</v>
      </c>
      <c r="K379">
        <f t="shared" si="10"/>
        <v>801.40000000000009</v>
      </c>
      <c r="L379">
        <f>K379+energy_grid_portfolio_dataset!H379</f>
        <v>4801.3999999999996</v>
      </c>
      <c r="M379">
        <f t="shared" si="11"/>
        <v>17</v>
      </c>
    </row>
    <row r="380" spans="1:13" x14ac:dyDescent="0.3">
      <c r="A380" s="1">
        <v>46267.75</v>
      </c>
      <c r="B380" t="s">
        <v>11</v>
      </c>
      <c r="C380">
        <v>22.1</v>
      </c>
      <c r="D380">
        <v>42.9</v>
      </c>
      <c r="E380">
        <v>11.4</v>
      </c>
      <c r="F380">
        <v>247.8</v>
      </c>
      <c r="G380">
        <v>236.5</v>
      </c>
      <c r="H380">
        <v>4000</v>
      </c>
      <c r="I380">
        <v>7592.5</v>
      </c>
      <c r="J380">
        <v>1</v>
      </c>
      <c r="K380">
        <f t="shared" si="10"/>
        <v>484.3</v>
      </c>
      <c r="L380">
        <f>K380+energy_grid_portfolio_dataset!H380</f>
        <v>4484.3</v>
      </c>
      <c r="M380">
        <f t="shared" si="11"/>
        <v>18</v>
      </c>
    </row>
    <row r="381" spans="1:13" x14ac:dyDescent="0.3">
      <c r="A381" s="1">
        <v>46267.791666666664</v>
      </c>
      <c r="B381" t="s">
        <v>11</v>
      </c>
      <c r="C381">
        <v>23.6</v>
      </c>
      <c r="D381">
        <v>19.399999999999999</v>
      </c>
      <c r="E381">
        <v>21.3</v>
      </c>
      <c r="F381">
        <v>0</v>
      </c>
      <c r="G381">
        <v>1539.8</v>
      </c>
      <c r="H381">
        <v>4000</v>
      </c>
      <c r="I381">
        <v>7927</v>
      </c>
      <c r="J381">
        <v>1</v>
      </c>
      <c r="K381">
        <f t="shared" si="10"/>
        <v>1539.8</v>
      </c>
      <c r="L381">
        <f>K381+energy_grid_portfolio_dataset!H381</f>
        <v>5539.8</v>
      </c>
      <c r="M381">
        <f t="shared" si="11"/>
        <v>19</v>
      </c>
    </row>
    <row r="382" spans="1:13" x14ac:dyDescent="0.3">
      <c r="A382" s="1">
        <v>46267.833333333336</v>
      </c>
      <c r="B382" t="s">
        <v>11</v>
      </c>
      <c r="C382">
        <v>22.6</v>
      </c>
      <c r="D382">
        <v>39.299999999999997</v>
      </c>
      <c r="E382">
        <v>7.2</v>
      </c>
      <c r="F382">
        <v>0</v>
      </c>
      <c r="G382">
        <v>59.8</v>
      </c>
      <c r="H382">
        <v>4000</v>
      </c>
      <c r="I382">
        <v>7883.2</v>
      </c>
      <c r="J382">
        <v>1</v>
      </c>
      <c r="K382">
        <f t="shared" si="10"/>
        <v>59.8</v>
      </c>
      <c r="L382">
        <f>K382+energy_grid_portfolio_dataset!H382</f>
        <v>4059.8</v>
      </c>
      <c r="M382">
        <f t="shared" si="11"/>
        <v>20</v>
      </c>
    </row>
    <row r="383" spans="1:13" x14ac:dyDescent="0.3">
      <c r="A383" s="1">
        <v>46267.875</v>
      </c>
      <c r="B383" t="s">
        <v>11</v>
      </c>
      <c r="C383">
        <v>22.3</v>
      </c>
      <c r="D383">
        <v>92.1</v>
      </c>
      <c r="E383">
        <v>19.7</v>
      </c>
      <c r="F383">
        <v>0</v>
      </c>
      <c r="G383">
        <v>1226.3</v>
      </c>
      <c r="H383">
        <v>4000</v>
      </c>
      <c r="I383">
        <v>7644.2</v>
      </c>
      <c r="J383">
        <v>1</v>
      </c>
      <c r="K383">
        <f t="shared" si="10"/>
        <v>1226.3</v>
      </c>
      <c r="L383">
        <f>K383+energy_grid_portfolio_dataset!H383</f>
        <v>5226.3</v>
      </c>
      <c r="M383">
        <f t="shared" si="11"/>
        <v>21</v>
      </c>
    </row>
    <row r="384" spans="1:13" x14ac:dyDescent="0.3">
      <c r="A384" s="1">
        <v>46267.916666666664</v>
      </c>
      <c r="B384" t="s">
        <v>11</v>
      </c>
      <c r="C384">
        <v>19.399999999999999</v>
      </c>
      <c r="D384">
        <v>48.5</v>
      </c>
      <c r="E384">
        <v>3.2</v>
      </c>
      <c r="F384">
        <v>0</v>
      </c>
      <c r="G384">
        <v>5</v>
      </c>
      <c r="H384">
        <v>4000</v>
      </c>
      <c r="I384">
        <v>4876.7</v>
      </c>
      <c r="J384">
        <v>1</v>
      </c>
      <c r="K384">
        <f t="shared" si="10"/>
        <v>5</v>
      </c>
      <c r="L384">
        <f>K384+energy_grid_portfolio_dataset!H384</f>
        <v>4005</v>
      </c>
      <c r="M384">
        <f t="shared" si="11"/>
        <v>22</v>
      </c>
    </row>
    <row r="385" spans="1:13" x14ac:dyDescent="0.3">
      <c r="A385" s="1">
        <v>46267.958333333336</v>
      </c>
      <c r="B385" t="s">
        <v>11</v>
      </c>
      <c r="C385">
        <v>20</v>
      </c>
      <c r="D385">
        <v>33.299999999999997</v>
      </c>
      <c r="E385">
        <v>4</v>
      </c>
      <c r="F385">
        <v>0</v>
      </c>
      <c r="G385">
        <v>10.4</v>
      </c>
      <c r="H385">
        <v>4000</v>
      </c>
      <c r="I385">
        <v>4998.5</v>
      </c>
      <c r="J385">
        <v>1</v>
      </c>
      <c r="K385">
        <f t="shared" si="10"/>
        <v>10.4</v>
      </c>
      <c r="L385">
        <f>K385+energy_grid_portfolio_dataset!H385</f>
        <v>4010.4</v>
      </c>
      <c r="M385">
        <f t="shared" si="11"/>
        <v>23</v>
      </c>
    </row>
    <row r="386" spans="1:13" x14ac:dyDescent="0.3">
      <c r="A386" s="1">
        <v>46268</v>
      </c>
      <c r="B386" t="s">
        <v>11</v>
      </c>
      <c r="C386">
        <v>19.5</v>
      </c>
      <c r="D386">
        <v>15.8</v>
      </c>
      <c r="E386">
        <v>0</v>
      </c>
      <c r="F386">
        <v>0</v>
      </c>
      <c r="G386">
        <v>0</v>
      </c>
      <c r="H386">
        <v>4000</v>
      </c>
      <c r="I386">
        <v>5027</v>
      </c>
      <c r="J386">
        <v>1</v>
      </c>
      <c r="K386">
        <f t="shared" si="10"/>
        <v>0</v>
      </c>
      <c r="L386">
        <f>K386+energy_grid_portfolio_dataset!H386</f>
        <v>4000</v>
      </c>
      <c r="M386">
        <f t="shared" si="11"/>
        <v>0</v>
      </c>
    </row>
    <row r="387" spans="1:13" x14ac:dyDescent="0.3">
      <c r="A387" s="1">
        <v>46268.041666666664</v>
      </c>
      <c r="B387" t="s">
        <v>11</v>
      </c>
      <c r="C387">
        <v>21.9</v>
      </c>
      <c r="D387">
        <v>86.5</v>
      </c>
      <c r="E387">
        <v>9.6999999999999993</v>
      </c>
      <c r="F387">
        <v>0</v>
      </c>
      <c r="G387">
        <v>146.69999999999999</v>
      </c>
      <c r="H387">
        <v>4000</v>
      </c>
      <c r="I387">
        <v>4945.8999999999996</v>
      </c>
      <c r="J387">
        <v>1</v>
      </c>
      <c r="K387">
        <f t="shared" ref="K387:K450" si="12">F387+G387</f>
        <v>146.69999999999999</v>
      </c>
      <c r="L387">
        <f>K387+energy_grid_portfolio_dataset!H387</f>
        <v>4146.7</v>
      </c>
      <c r="M387">
        <f t="shared" ref="M387:M450" si="13">HOUR(A387)</f>
        <v>1</v>
      </c>
    </row>
    <row r="388" spans="1:13" x14ac:dyDescent="0.3">
      <c r="A388" s="1">
        <v>46268.083333333336</v>
      </c>
      <c r="B388" t="s">
        <v>11</v>
      </c>
      <c r="C388">
        <v>21</v>
      </c>
      <c r="D388">
        <v>20</v>
      </c>
      <c r="E388">
        <v>13.5</v>
      </c>
      <c r="F388">
        <v>0</v>
      </c>
      <c r="G388">
        <v>394.4</v>
      </c>
      <c r="H388">
        <v>4000</v>
      </c>
      <c r="I388">
        <v>4859.7</v>
      </c>
      <c r="J388">
        <v>1</v>
      </c>
      <c r="K388">
        <f t="shared" si="12"/>
        <v>394.4</v>
      </c>
      <c r="L388">
        <f>K388+energy_grid_portfolio_dataset!H388</f>
        <v>4394.3999999999996</v>
      </c>
      <c r="M388">
        <f t="shared" si="13"/>
        <v>2</v>
      </c>
    </row>
    <row r="389" spans="1:13" x14ac:dyDescent="0.3">
      <c r="A389" s="1">
        <v>46268.125</v>
      </c>
      <c r="B389" t="s">
        <v>11</v>
      </c>
      <c r="C389">
        <v>22.4</v>
      </c>
      <c r="D389">
        <v>42.5</v>
      </c>
      <c r="E389">
        <v>11</v>
      </c>
      <c r="F389">
        <v>0</v>
      </c>
      <c r="G389">
        <v>211.9</v>
      </c>
      <c r="H389">
        <v>4000</v>
      </c>
      <c r="I389">
        <v>5064.8999999999996</v>
      </c>
      <c r="J389">
        <v>1</v>
      </c>
      <c r="K389">
        <f t="shared" si="12"/>
        <v>211.9</v>
      </c>
      <c r="L389">
        <f>K389+energy_grid_portfolio_dataset!H389</f>
        <v>4211.8999999999996</v>
      </c>
      <c r="M389">
        <f t="shared" si="13"/>
        <v>3</v>
      </c>
    </row>
    <row r="390" spans="1:13" x14ac:dyDescent="0.3">
      <c r="A390" s="1">
        <v>46268.166666666664</v>
      </c>
      <c r="B390" t="s">
        <v>11</v>
      </c>
      <c r="C390">
        <v>21.2</v>
      </c>
      <c r="D390">
        <v>39.299999999999997</v>
      </c>
      <c r="E390">
        <v>13.8</v>
      </c>
      <c r="F390">
        <v>0</v>
      </c>
      <c r="G390">
        <v>423.9</v>
      </c>
      <c r="H390">
        <v>4000</v>
      </c>
      <c r="I390">
        <v>4818.3</v>
      </c>
      <c r="J390">
        <v>1</v>
      </c>
      <c r="K390">
        <f t="shared" si="12"/>
        <v>423.9</v>
      </c>
      <c r="L390">
        <f>K390+energy_grid_portfolio_dataset!H390</f>
        <v>4423.8999999999996</v>
      </c>
      <c r="M390">
        <f t="shared" si="13"/>
        <v>4</v>
      </c>
    </row>
    <row r="391" spans="1:13" x14ac:dyDescent="0.3">
      <c r="A391" s="1">
        <v>46268.208333333336</v>
      </c>
      <c r="B391" t="s">
        <v>11</v>
      </c>
      <c r="C391">
        <v>22.2</v>
      </c>
      <c r="D391">
        <v>82.3</v>
      </c>
      <c r="E391">
        <v>10.6</v>
      </c>
      <c r="F391">
        <v>0</v>
      </c>
      <c r="G391">
        <v>193</v>
      </c>
      <c r="H391">
        <v>4000</v>
      </c>
      <c r="I391">
        <v>5087</v>
      </c>
      <c r="J391">
        <v>1</v>
      </c>
      <c r="K391">
        <f t="shared" si="12"/>
        <v>193</v>
      </c>
      <c r="L391">
        <f>K391+energy_grid_portfolio_dataset!H391</f>
        <v>4193</v>
      </c>
      <c r="M391">
        <f t="shared" si="13"/>
        <v>5</v>
      </c>
    </row>
    <row r="392" spans="1:13" x14ac:dyDescent="0.3">
      <c r="A392" s="1">
        <v>46268.25</v>
      </c>
      <c r="B392" t="s">
        <v>11</v>
      </c>
      <c r="C392">
        <v>23.3</v>
      </c>
      <c r="D392">
        <v>0</v>
      </c>
      <c r="E392">
        <v>16.399999999999999</v>
      </c>
      <c r="F392">
        <v>333.8</v>
      </c>
      <c r="G392">
        <v>708.4</v>
      </c>
      <c r="H392">
        <v>3904.6</v>
      </c>
      <c r="I392">
        <v>4946.8</v>
      </c>
      <c r="J392">
        <v>0</v>
      </c>
      <c r="K392">
        <f t="shared" si="12"/>
        <v>1042.2</v>
      </c>
      <c r="L392">
        <f>K392+energy_grid_portfolio_dataset!H392</f>
        <v>4946.8</v>
      </c>
      <c r="M392">
        <f t="shared" si="13"/>
        <v>6</v>
      </c>
    </row>
    <row r="393" spans="1:13" x14ac:dyDescent="0.3">
      <c r="A393" s="1">
        <v>46268.291666666664</v>
      </c>
      <c r="B393" t="s">
        <v>11</v>
      </c>
      <c r="C393">
        <v>24.8</v>
      </c>
      <c r="D393">
        <v>46.7</v>
      </c>
      <c r="E393">
        <v>14.6</v>
      </c>
      <c r="F393">
        <v>468.6</v>
      </c>
      <c r="G393">
        <v>495.9</v>
      </c>
      <c r="H393">
        <v>4000</v>
      </c>
      <c r="I393">
        <v>5060.5</v>
      </c>
      <c r="J393">
        <v>1</v>
      </c>
      <c r="K393">
        <f t="shared" si="12"/>
        <v>964.5</v>
      </c>
      <c r="L393">
        <f>K393+energy_grid_portfolio_dataset!H393</f>
        <v>4964.5</v>
      </c>
      <c r="M393">
        <f t="shared" si="13"/>
        <v>7</v>
      </c>
    </row>
    <row r="394" spans="1:13" x14ac:dyDescent="0.3">
      <c r="A394" s="1">
        <v>46268.333333333336</v>
      </c>
      <c r="B394" t="s">
        <v>11</v>
      </c>
      <c r="C394">
        <v>25.5</v>
      </c>
      <c r="D394">
        <v>64.900000000000006</v>
      </c>
      <c r="E394">
        <v>5.7</v>
      </c>
      <c r="F394">
        <v>571.29999999999995</v>
      </c>
      <c r="G394">
        <v>30.1</v>
      </c>
      <c r="H394">
        <v>4000</v>
      </c>
      <c r="I394">
        <v>4715.6000000000004</v>
      </c>
      <c r="J394">
        <v>1</v>
      </c>
      <c r="K394">
        <f t="shared" si="12"/>
        <v>601.4</v>
      </c>
      <c r="L394">
        <f>K394+energy_grid_portfolio_dataset!H394</f>
        <v>4601.3999999999996</v>
      </c>
      <c r="M394">
        <f t="shared" si="13"/>
        <v>8</v>
      </c>
    </row>
    <row r="395" spans="1:13" x14ac:dyDescent="0.3">
      <c r="A395" s="1">
        <v>46268.375</v>
      </c>
      <c r="B395" t="s">
        <v>11</v>
      </c>
      <c r="C395">
        <v>25.5</v>
      </c>
      <c r="D395">
        <v>56.7</v>
      </c>
      <c r="E395">
        <v>11.8</v>
      </c>
      <c r="F395">
        <v>774.1</v>
      </c>
      <c r="G395">
        <v>264.3</v>
      </c>
      <c r="H395">
        <v>3955.6</v>
      </c>
      <c r="I395">
        <v>4994</v>
      </c>
      <c r="J395">
        <v>0</v>
      </c>
      <c r="K395">
        <f t="shared" si="12"/>
        <v>1038.4000000000001</v>
      </c>
      <c r="L395">
        <f>K395+energy_grid_portfolio_dataset!H395</f>
        <v>4994</v>
      </c>
      <c r="M395">
        <f t="shared" si="13"/>
        <v>9</v>
      </c>
    </row>
    <row r="396" spans="1:13" x14ac:dyDescent="0.3">
      <c r="A396" s="1">
        <v>46268.416666666664</v>
      </c>
      <c r="B396" t="s">
        <v>11</v>
      </c>
      <c r="C396">
        <v>28.6</v>
      </c>
      <c r="D396">
        <v>26.6</v>
      </c>
      <c r="E396">
        <v>7.9</v>
      </c>
      <c r="F396">
        <v>1135.5</v>
      </c>
      <c r="G396">
        <v>80.400000000000006</v>
      </c>
      <c r="H396">
        <v>4000</v>
      </c>
      <c r="I396">
        <v>6907.7</v>
      </c>
      <c r="J396">
        <v>1</v>
      </c>
      <c r="K396">
        <f t="shared" si="12"/>
        <v>1215.9000000000001</v>
      </c>
      <c r="L396">
        <f>K396+energy_grid_portfolio_dataset!H396</f>
        <v>5215.8999999999996</v>
      </c>
      <c r="M396">
        <f t="shared" si="13"/>
        <v>10</v>
      </c>
    </row>
    <row r="397" spans="1:13" x14ac:dyDescent="0.3">
      <c r="A397" s="1">
        <v>46268.458333333336</v>
      </c>
      <c r="B397" t="s">
        <v>11</v>
      </c>
      <c r="C397">
        <v>29</v>
      </c>
      <c r="D397">
        <v>19.600000000000001</v>
      </c>
      <c r="E397">
        <v>12.3</v>
      </c>
      <c r="F397">
        <v>1290.4000000000001</v>
      </c>
      <c r="G397">
        <v>298.3</v>
      </c>
      <c r="H397">
        <v>4000</v>
      </c>
      <c r="I397">
        <v>7180.1</v>
      </c>
      <c r="J397">
        <v>1</v>
      </c>
      <c r="K397">
        <f t="shared" si="12"/>
        <v>1588.7</v>
      </c>
      <c r="L397">
        <f>K397+energy_grid_portfolio_dataset!H397</f>
        <v>5588.7</v>
      </c>
      <c r="M397">
        <f t="shared" si="13"/>
        <v>11</v>
      </c>
    </row>
    <row r="398" spans="1:13" x14ac:dyDescent="0.3">
      <c r="A398" s="1">
        <v>46268.5</v>
      </c>
      <c r="B398" t="s">
        <v>11</v>
      </c>
      <c r="C398">
        <v>28.7</v>
      </c>
      <c r="D398">
        <v>49.4</v>
      </c>
      <c r="E398">
        <v>10.199999999999999</v>
      </c>
      <c r="F398">
        <v>1055.3</v>
      </c>
      <c r="G398">
        <v>168</v>
      </c>
      <c r="H398">
        <v>4000</v>
      </c>
      <c r="I398">
        <v>7214.3</v>
      </c>
      <c r="J398">
        <v>1</v>
      </c>
      <c r="K398">
        <f t="shared" si="12"/>
        <v>1223.3</v>
      </c>
      <c r="L398">
        <f>K398+energy_grid_portfolio_dataset!H398</f>
        <v>5223.3</v>
      </c>
      <c r="M398">
        <f t="shared" si="13"/>
        <v>12</v>
      </c>
    </row>
    <row r="399" spans="1:13" x14ac:dyDescent="0.3">
      <c r="A399" s="1">
        <v>46268.541666666664</v>
      </c>
      <c r="B399" t="s">
        <v>11</v>
      </c>
      <c r="C399">
        <v>27.9</v>
      </c>
      <c r="D399">
        <v>18.2</v>
      </c>
      <c r="E399">
        <v>0</v>
      </c>
      <c r="F399">
        <v>1302.7</v>
      </c>
      <c r="G399">
        <v>0</v>
      </c>
      <c r="H399">
        <v>4000</v>
      </c>
      <c r="I399">
        <v>7025.9</v>
      </c>
      <c r="J399">
        <v>1</v>
      </c>
      <c r="K399">
        <f t="shared" si="12"/>
        <v>1302.7</v>
      </c>
      <c r="L399">
        <f>K399+energy_grid_portfolio_dataset!H399</f>
        <v>5302.7</v>
      </c>
      <c r="M399">
        <f t="shared" si="13"/>
        <v>13</v>
      </c>
    </row>
    <row r="400" spans="1:13" x14ac:dyDescent="0.3">
      <c r="A400" s="1">
        <v>46268.583333333336</v>
      </c>
      <c r="B400" t="s">
        <v>11</v>
      </c>
      <c r="C400">
        <v>28.4</v>
      </c>
      <c r="D400">
        <v>0</v>
      </c>
      <c r="E400">
        <v>7</v>
      </c>
      <c r="F400">
        <v>1351.5</v>
      </c>
      <c r="G400">
        <v>53.7</v>
      </c>
      <c r="H400">
        <v>4000</v>
      </c>
      <c r="I400">
        <v>7215.5</v>
      </c>
      <c r="J400">
        <v>1</v>
      </c>
      <c r="K400">
        <f t="shared" si="12"/>
        <v>1405.2</v>
      </c>
      <c r="L400">
        <f>K400+energy_grid_portfolio_dataset!H400</f>
        <v>5405.2</v>
      </c>
      <c r="M400">
        <f t="shared" si="13"/>
        <v>14</v>
      </c>
    </row>
    <row r="401" spans="1:13" x14ac:dyDescent="0.3">
      <c r="A401" s="1">
        <v>46268.625</v>
      </c>
      <c r="B401" t="s">
        <v>11</v>
      </c>
      <c r="C401">
        <v>28.9</v>
      </c>
      <c r="D401">
        <v>45.5</v>
      </c>
      <c r="E401">
        <v>8.4</v>
      </c>
      <c r="F401">
        <v>852.4</v>
      </c>
      <c r="G401">
        <v>93.5</v>
      </c>
      <c r="H401">
        <v>4000</v>
      </c>
      <c r="I401">
        <v>5042.8999999999996</v>
      </c>
      <c r="J401">
        <v>1</v>
      </c>
      <c r="K401">
        <f t="shared" si="12"/>
        <v>945.9</v>
      </c>
      <c r="L401">
        <f>K401+energy_grid_portfolio_dataset!H401</f>
        <v>4945.8999999999996</v>
      </c>
      <c r="M401">
        <f t="shared" si="13"/>
        <v>15</v>
      </c>
    </row>
    <row r="402" spans="1:13" x14ac:dyDescent="0.3">
      <c r="A402" s="1">
        <v>46268.666666666664</v>
      </c>
      <c r="B402" t="s">
        <v>11</v>
      </c>
      <c r="C402">
        <v>27.4</v>
      </c>
      <c r="D402">
        <v>28.9</v>
      </c>
      <c r="E402">
        <v>8</v>
      </c>
      <c r="F402">
        <v>773.3</v>
      </c>
      <c r="G402">
        <v>82</v>
      </c>
      <c r="H402">
        <v>4000</v>
      </c>
      <c r="I402">
        <v>4922.6000000000004</v>
      </c>
      <c r="J402">
        <v>1</v>
      </c>
      <c r="K402">
        <f t="shared" si="12"/>
        <v>855.3</v>
      </c>
      <c r="L402">
        <f>K402+energy_grid_portfolio_dataset!H402</f>
        <v>4855.3</v>
      </c>
      <c r="M402">
        <f t="shared" si="13"/>
        <v>16</v>
      </c>
    </row>
    <row r="403" spans="1:13" x14ac:dyDescent="0.3">
      <c r="A403" s="1">
        <v>46268.708333333336</v>
      </c>
      <c r="B403" t="s">
        <v>11</v>
      </c>
      <c r="C403">
        <v>24.1</v>
      </c>
      <c r="D403">
        <v>48.1</v>
      </c>
      <c r="E403">
        <v>20.100000000000001</v>
      </c>
      <c r="F403">
        <v>463.1</v>
      </c>
      <c r="G403">
        <v>1303.8</v>
      </c>
      <c r="H403">
        <v>3110.7</v>
      </c>
      <c r="I403">
        <v>4877.6000000000004</v>
      </c>
      <c r="J403">
        <v>0</v>
      </c>
      <c r="K403">
        <f t="shared" si="12"/>
        <v>1766.9</v>
      </c>
      <c r="L403">
        <f>K403+energy_grid_portfolio_dataset!H403</f>
        <v>4877.6000000000004</v>
      </c>
      <c r="M403">
        <f t="shared" si="13"/>
        <v>17</v>
      </c>
    </row>
    <row r="404" spans="1:13" x14ac:dyDescent="0.3">
      <c r="A404" s="1">
        <v>46268.75</v>
      </c>
      <c r="B404" t="s">
        <v>11</v>
      </c>
      <c r="C404">
        <v>23.7</v>
      </c>
      <c r="D404">
        <v>37.700000000000003</v>
      </c>
      <c r="E404">
        <v>4.2</v>
      </c>
      <c r="F404">
        <v>258.3</v>
      </c>
      <c r="G404">
        <v>11.7</v>
      </c>
      <c r="H404">
        <v>4000</v>
      </c>
      <c r="I404">
        <v>7748.5</v>
      </c>
      <c r="J404">
        <v>1</v>
      </c>
      <c r="K404">
        <f t="shared" si="12"/>
        <v>270</v>
      </c>
      <c r="L404">
        <f>K404+energy_grid_portfolio_dataset!H404</f>
        <v>4270</v>
      </c>
      <c r="M404">
        <f t="shared" si="13"/>
        <v>18</v>
      </c>
    </row>
    <row r="405" spans="1:13" x14ac:dyDescent="0.3">
      <c r="A405" s="1">
        <v>46268.791666666664</v>
      </c>
      <c r="B405" t="s">
        <v>11</v>
      </c>
      <c r="C405">
        <v>22.9</v>
      </c>
      <c r="D405">
        <v>40.5</v>
      </c>
      <c r="E405">
        <v>28</v>
      </c>
      <c r="F405">
        <v>0</v>
      </c>
      <c r="G405">
        <v>0</v>
      </c>
      <c r="H405">
        <v>4000</v>
      </c>
      <c r="I405">
        <v>7832.5</v>
      </c>
      <c r="J405">
        <v>1</v>
      </c>
      <c r="K405">
        <f t="shared" si="12"/>
        <v>0</v>
      </c>
      <c r="L405">
        <f>K405+energy_grid_portfolio_dataset!H405</f>
        <v>4000</v>
      </c>
      <c r="M405">
        <f t="shared" si="13"/>
        <v>19</v>
      </c>
    </row>
    <row r="406" spans="1:13" x14ac:dyDescent="0.3">
      <c r="A406" s="1">
        <v>46268.833333333336</v>
      </c>
      <c r="B406" t="s">
        <v>11</v>
      </c>
      <c r="C406">
        <v>21.2</v>
      </c>
      <c r="D406">
        <v>34.299999999999997</v>
      </c>
      <c r="E406">
        <v>17.7</v>
      </c>
      <c r="F406">
        <v>0</v>
      </c>
      <c r="G406">
        <v>893.6</v>
      </c>
      <c r="H406">
        <v>4000</v>
      </c>
      <c r="I406">
        <v>7744.8</v>
      </c>
      <c r="J406">
        <v>1</v>
      </c>
      <c r="K406">
        <f t="shared" si="12"/>
        <v>893.6</v>
      </c>
      <c r="L406">
        <f>K406+energy_grid_portfolio_dataset!H406</f>
        <v>4893.6000000000004</v>
      </c>
      <c r="M406">
        <f t="shared" si="13"/>
        <v>20</v>
      </c>
    </row>
    <row r="407" spans="1:13" x14ac:dyDescent="0.3">
      <c r="A407" s="1">
        <v>46268.875</v>
      </c>
      <c r="B407" t="s">
        <v>11</v>
      </c>
      <c r="C407">
        <v>19.7</v>
      </c>
      <c r="D407">
        <v>68</v>
      </c>
      <c r="E407">
        <v>8.6999999999999993</v>
      </c>
      <c r="F407">
        <v>0</v>
      </c>
      <c r="G407">
        <v>103.9</v>
      </c>
      <c r="H407">
        <v>4000</v>
      </c>
      <c r="I407">
        <v>7717</v>
      </c>
      <c r="J407">
        <v>1</v>
      </c>
      <c r="K407">
        <f t="shared" si="12"/>
        <v>103.9</v>
      </c>
      <c r="L407">
        <f>K407+energy_grid_portfolio_dataset!H407</f>
        <v>4103.8999999999996</v>
      </c>
      <c r="M407">
        <f t="shared" si="13"/>
        <v>21</v>
      </c>
    </row>
    <row r="408" spans="1:13" x14ac:dyDescent="0.3">
      <c r="A408" s="1">
        <v>46268.916666666664</v>
      </c>
      <c r="B408" t="s">
        <v>11</v>
      </c>
      <c r="C408">
        <v>21.6</v>
      </c>
      <c r="D408">
        <v>33.799999999999997</v>
      </c>
      <c r="E408">
        <v>18.399999999999999</v>
      </c>
      <c r="F408">
        <v>0</v>
      </c>
      <c r="G408">
        <v>997.5</v>
      </c>
      <c r="H408">
        <v>4000</v>
      </c>
      <c r="I408">
        <v>5231</v>
      </c>
      <c r="J408">
        <v>1</v>
      </c>
      <c r="K408">
        <f t="shared" si="12"/>
        <v>997.5</v>
      </c>
      <c r="L408">
        <f>K408+energy_grid_portfolio_dataset!H408</f>
        <v>4997.5</v>
      </c>
      <c r="M408">
        <f t="shared" si="13"/>
        <v>22</v>
      </c>
    </row>
    <row r="409" spans="1:13" x14ac:dyDescent="0.3">
      <c r="A409" s="1">
        <v>46268.958333333336</v>
      </c>
      <c r="B409" t="s">
        <v>11</v>
      </c>
      <c r="C409">
        <v>21</v>
      </c>
      <c r="D409">
        <v>57.1</v>
      </c>
      <c r="E409">
        <v>7.8</v>
      </c>
      <c r="F409">
        <v>0</v>
      </c>
      <c r="G409">
        <v>75</v>
      </c>
      <c r="H409">
        <v>4000</v>
      </c>
      <c r="I409">
        <v>4960.2</v>
      </c>
      <c r="J409">
        <v>1</v>
      </c>
      <c r="K409">
        <f t="shared" si="12"/>
        <v>75</v>
      </c>
      <c r="L409">
        <f>K409+energy_grid_portfolio_dataset!H409</f>
        <v>4075</v>
      </c>
      <c r="M409">
        <f t="shared" si="13"/>
        <v>23</v>
      </c>
    </row>
    <row r="410" spans="1:13" x14ac:dyDescent="0.3">
      <c r="A410" s="1">
        <v>46269</v>
      </c>
      <c r="B410" t="s">
        <v>11</v>
      </c>
      <c r="C410">
        <v>21</v>
      </c>
      <c r="D410">
        <v>36.6</v>
      </c>
      <c r="E410">
        <v>10</v>
      </c>
      <c r="F410">
        <v>0</v>
      </c>
      <c r="G410">
        <v>159.1</v>
      </c>
      <c r="H410">
        <v>4000</v>
      </c>
      <c r="I410">
        <v>4853.5</v>
      </c>
      <c r="J410">
        <v>1</v>
      </c>
      <c r="K410">
        <f t="shared" si="12"/>
        <v>159.1</v>
      </c>
      <c r="L410">
        <f>K410+energy_grid_portfolio_dataset!H410</f>
        <v>4159.1000000000004</v>
      </c>
      <c r="M410">
        <f t="shared" si="13"/>
        <v>0</v>
      </c>
    </row>
    <row r="411" spans="1:13" x14ac:dyDescent="0.3">
      <c r="A411" s="1">
        <v>46269.041666666664</v>
      </c>
      <c r="B411" t="s">
        <v>11</v>
      </c>
      <c r="C411">
        <v>20.6</v>
      </c>
      <c r="D411">
        <v>96.6</v>
      </c>
      <c r="E411">
        <v>6.7</v>
      </c>
      <c r="F411">
        <v>0</v>
      </c>
      <c r="G411">
        <v>47.3</v>
      </c>
      <c r="H411">
        <v>4000</v>
      </c>
      <c r="I411">
        <v>4806.7</v>
      </c>
      <c r="J411">
        <v>1</v>
      </c>
      <c r="K411">
        <f t="shared" si="12"/>
        <v>47.3</v>
      </c>
      <c r="L411">
        <f>K411+energy_grid_portfolio_dataset!H411</f>
        <v>4047.3</v>
      </c>
      <c r="M411">
        <f t="shared" si="13"/>
        <v>1</v>
      </c>
    </row>
    <row r="412" spans="1:13" x14ac:dyDescent="0.3">
      <c r="A412" s="1">
        <v>46269.083333333336</v>
      </c>
      <c r="B412" t="s">
        <v>11</v>
      </c>
      <c r="C412">
        <v>21.9</v>
      </c>
      <c r="D412">
        <v>43</v>
      </c>
      <c r="E412">
        <v>14.3</v>
      </c>
      <c r="F412">
        <v>0</v>
      </c>
      <c r="G412">
        <v>464.1</v>
      </c>
      <c r="H412">
        <v>4000</v>
      </c>
      <c r="I412">
        <v>4953.6000000000004</v>
      </c>
      <c r="J412">
        <v>1</v>
      </c>
      <c r="K412">
        <f t="shared" si="12"/>
        <v>464.1</v>
      </c>
      <c r="L412">
        <f>K412+energy_grid_portfolio_dataset!H412</f>
        <v>4464.1000000000004</v>
      </c>
      <c r="M412">
        <f t="shared" si="13"/>
        <v>2</v>
      </c>
    </row>
    <row r="413" spans="1:13" x14ac:dyDescent="0.3">
      <c r="A413" s="1">
        <v>46269.125</v>
      </c>
      <c r="B413" t="s">
        <v>11</v>
      </c>
      <c r="C413">
        <v>21.6</v>
      </c>
      <c r="D413">
        <v>40.299999999999997</v>
      </c>
      <c r="E413">
        <v>16.899999999999999</v>
      </c>
      <c r="F413">
        <v>0</v>
      </c>
      <c r="G413">
        <v>776.2</v>
      </c>
      <c r="H413">
        <v>4000</v>
      </c>
      <c r="I413">
        <v>4790.6000000000004</v>
      </c>
      <c r="J413">
        <v>1</v>
      </c>
      <c r="K413">
        <f t="shared" si="12"/>
        <v>776.2</v>
      </c>
      <c r="L413">
        <f>K413+energy_grid_portfolio_dataset!H413</f>
        <v>4776.2</v>
      </c>
      <c r="M413">
        <f t="shared" si="13"/>
        <v>3</v>
      </c>
    </row>
    <row r="414" spans="1:13" x14ac:dyDescent="0.3">
      <c r="A414" s="1">
        <v>46269.166666666664</v>
      </c>
      <c r="B414" t="s">
        <v>11</v>
      </c>
      <c r="C414">
        <v>24.6</v>
      </c>
      <c r="D414">
        <v>59.5</v>
      </c>
      <c r="E414">
        <v>13.6</v>
      </c>
      <c r="F414">
        <v>0</v>
      </c>
      <c r="G414">
        <v>405.1</v>
      </c>
      <c r="H414">
        <v>4000</v>
      </c>
      <c r="I414">
        <v>5128.1000000000004</v>
      </c>
      <c r="J414">
        <v>1</v>
      </c>
      <c r="K414">
        <f t="shared" si="12"/>
        <v>405.1</v>
      </c>
      <c r="L414">
        <f>K414+energy_grid_portfolio_dataset!H414</f>
        <v>4405.1000000000004</v>
      </c>
      <c r="M414">
        <f t="shared" si="13"/>
        <v>4</v>
      </c>
    </row>
    <row r="415" spans="1:13" x14ac:dyDescent="0.3">
      <c r="A415" s="1">
        <v>46269.208333333336</v>
      </c>
      <c r="B415" t="s">
        <v>11</v>
      </c>
      <c r="C415">
        <v>22.6</v>
      </c>
      <c r="D415">
        <v>53.5</v>
      </c>
      <c r="E415">
        <v>10.5</v>
      </c>
      <c r="F415">
        <v>0</v>
      </c>
      <c r="G415">
        <v>186.4</v>
      </c>
      <c r="H415">
        <v>4000</v>
      </c>
      <c r="I415">
        <v>4979.2</v>
      </c>
      <c r="J415">
        <v>1</v>
      </c>
      <c r="K415">
        <f t="shared" si="12"/>
        <v>186.4</v>
      </c>
      <c r="L415">
        <f>K415+energy_grid_portfolio_dataset!H415</f>
        <v>4186.3999999999996</v>
      </c>
      <c r="M415">
        <f t="shared" si="13"/>
        <v>5</v>
      </c>
    </row>
    <row r="416" spans="1:13" x14ac:dyDescent="0.3">
      <c r="A416" s="1">
        <v>46269.25</v>
      </c>
      <c r="B416" t="s">
        <v>11</v>
      </c>
      <c r="C416">
        <v>25.3</v>
      </c>
      <c r="D416">
        <v>19.8</v>
      </c>
      <c r="E416">
        <v>17.7</v>
      </c>
      <c r="F416">
        <v>294.10000000000002</v>
      </c>
      <c r="G416">
        <v>887.1</v>
      </c>
      <c r="H416">
        <v>3794.1</v>
      </c>
      <c r="I416">
        <v>4975.3</v>
      </c>
      <c r="J416">
        <v>0</v>
      </c>
      <c r="K416">
        <f t="shared" si="12"/>
        <v>1181.2</v>
      </c>
      <c r="L416">
        <f>K416+energy_grid_portfolio_dataset!H416</f>
        <v>4975.3</v>
      </c>
      <c r="M416">
        <f t="shared" si="13"/>
        <v>6</v>
      </c>
    </row>
    <row r="417" spans="1:13" x14ac:dyDescent="0.3">
      <c r="A417" s="1">
        <v>46269.291666666664</v>
      </c>
      <c r="B417" t="s">
        <v>11</v>
      </c>
      <c r="C417">
        <v>24.9</v>
      </c>
      <c r="D417">
        <v>0</v>
      </c>
      <c r="E417">
        <v>9</v>
      </c>
      <c r="F417">
        <v>650.79999999999995</v>
      </c>
      <c r="G417">
        <v>115.1</v>
      </c>
      <c r="H417">
        <v>4000</v>
      </c>
      <c r="I417">
        <v>5147.6000000000004</v>
      </c>
      <c r="J417">
        <v>1</v>
      </c>
      <c r="K417">
        <f t="shared" si="12"/>
        <v>765.9</v>
      </c>
      <c r="L417">
        <f>K417+energy_grid_portfolio_dataset!H417</f>
        <v>4765.8999999999996</v>
      </c>
      <c r="M417">
        <f t="shared" si="13"/>
        <v>7</v>
      </c>
    </row>
    <row r="418" spans="1:13" x14ac:dyDescent="0.3">
      <c r="A418" s="1">
        <v>46269.333333333336</v>
      </c>
      <c r="B418" t="s">
        <v>11</v>
      </c>
      <c r="C418">
        <v>26</v>
      </c>
      <c r="D418">
        <v>20</v>
      </c>
      <c r="E418">
        <v>9.5</v>
      </c>
      <c r="F418">
        <v>822.9</v>
      </c>
      <c r="G418">
        <v>136.1</v>
      </c>
      <c r="H418">
        <v>4000</v>
      </c>
      <c r="I418">
        <v>5144.5</v>
      </c>
      <c r="J418">
        <v>1</v>
      </c>
      <c r="K418">
        <f t="shared" si="12"/>
        <v>959</v>
      </c>
      <c r="L418">
        <f>K418+energy_grid_portfolio_dataset!H418</f>
        <v>4959</v>
      </c>
      <c r="M418">
        <f t="shared" si="13"/>
        <v>8</v>
      </c>
    </row>
    <row r="419" spans="1:13" x14ac:dyDescent="0.3">
      <c r="A419" s="1">
        <v>46269.375</v>
      </c>
      <c r="B419" t="s">
        <v>11</v>
      </c>
      <c r="C419">
        <v>27.4</v>
      </c>
      <c r="D419">
        <v>39</v>
      </c>
      <c r="E419">
        <v>10.199999999999999</v>
      </c>
      <c r="F419">
        <v>898.1</v>
      </c>
      <c r="G419">
        <v>168.1</v>
      </c>
      <c r="H419">
        <v>4000</v>
      </c>
      <c r="I419">
        <v>5076.1000000000004</v>
      </c>
      <c r="J419">
        <v>1</v>
      </c>
      <c r="K419">
        <f t="shared" si="12"/>
        <v>1066.2</v>
      </c>
      <c r="L419">
        <f>K419+energy_grid_portfolio_dataset!H419</f>
        <v>5066.2</v>
      </c>
      <c r="M419">
        <f t="shared" si="13"/>
        <v>9</v>
      </c>
    </row>
    <row r="420" spans="1:13" x14ac:dyDescent="0.3">
      <c r="A420" s="1">
        <v>46269.416666666664</v>
      </c>
      <c r="B420" t="s">
        <v>11</v>
      </c>
      <c r="C420">
        <v>26.5</v>
      </c>
      <c r="D420">
        <v>85.4</v>
      </c>
      <c r="E420">
        <v>10.4</v>
      </c>
      <c r="F420">
        <v>659.1</v>
      </c>
      <c r="G420">
        <v>179.4</v>
      </c>
      <c r="H420">
        <v>4000</v>
      </c>
      <c r="I420">
        <v>7091.2</v>
      </c>
      <c r="J420">
        <v>1</v>
      </c>
      <c r="K420">
        <f t="shared" si="12"/>
        <v>838.5</v>
      </c>
      <c r="L420">
        <f>K420+energy_grid_portfolio_dataset!H420</f>
        <v>4838.5</v>
      </c>
      <c r="M420">
        <f t="shared" si="13"/>
        <v>10</v>
      </c>
    </row>
    <row r="421" spans="1:13" x14ac:dyDescent="0.3">
      <c r="A421" s="1">
        <v>46269.458333333336</v>
      </c>
      <c r="B421" t="s">
        <v>11</v>
      </c>
      <c r="C421">
        <v>29.4</v>
      </c>
      <c r="D421">
        <v>70</v>
      </c>
      <c r="E421">
        <v>9.8000000000000007</v>
      </c>
      <c r="F421">
        <v>848.6</v>
      </c>
      <c r="G421">
        <v>152.5</v>
      </c>
      <c r="H421">
        <v>4000</v>
      </c>
      <c r="I421">
        <v>7332.6</v>
      </c>
      <c r="J421">
        <v>1</v>
      </c>
      <c r="K421">
        <f t="shared" si="12"/>
        <v>1001.1</v>
      </c>
      <c r="L421">
        <f>K421+energy_grid_portfolio_dataset!H421</f>
        <v>5001.1000000000004</v>
      </c>
      <c r="M421">
        <f t="shared" si="13"/>
        <v>11</v>
      </c>
    </row>
    <row r="422" spans="1:13" x14ac:dyDescent="0.3">
      <c r="A422" s="1">
        <v>46269.5</v>
      </c>
      <c r="B422" t="s">
        <v>11</v>
      </c>
      <c r="C422">
        <v>28</v>
      </c>
      <c r="D422">
        <v>22.4</v>
      </c>
      <c r="E422">
        <v>13.6</v>
      </c>
      <c r="F422">
        <v>1298.3</v>
      </c>
      <c r="G422">
        <v>404.4</v>
      </c>
      <c r="H422">
        <v>4000</v>
      </c>
      <c r="I422">
        <v>7210.6</v>
      </c>
      <c r="J422">
        <v>1</v>
      </c>
      <c r="K422">
        <f t="shared" si="12"/>
        <v>1702.6999999999998</v>
      </c>
      <c r="L422">
        <f>K422+energy_grid_portfolio_dataset!H422</f>
        <v>5702.7</v>
      </c>
      <c r="M422">
        <f t="shared" si="13"/>
        <v>12</v>
      </c>
    </row>
    <row r="423" spans="1:13" x14ac:dyDescent="0.3">
      <c r="A423" s="1">
        <v>46269.541666666664</v>
      </c>
      <c r="B423" t="s">
        <v>11</v>
      </c>
      <c r="C423">
        <v>29.1</v>
      </c>
      <c r="D423">
        <v>33.4</v>
      </c>
      <c r="E423">
        <v>13</v>
      </c>
      <c r="F423">
        <v>1169.5</v>
      </c>
      <c r="G423">
        <v>352</v>
      </c>
      <c r="H423">
        <v>4000</v>
      </c>
      <c r="I423">
        <v>6973.1</v>
      </c>
      <c r="J423">
        <v>1</v>
      </c>
      <c r="K423">
        <f t="shared" si="12"/>
        <v>1521.5</v>
      </c>
      <c r="L423">
        <f>K423+energy_grid_portfolio_dataset!H423</f>
        <v>5521.5</v>
      </c>
      <c r="M423">
        <f t="shared" si="13"/>
        <v>13</v>
      </c>
    </row>
    <row r="424" spans="1:13" x14ac:dyDescent="0.3">
      <c r="A424" s="1">
        <v>46269.583333333336</v>
      </c>
      <c r="B424" t="s">
        <v>11</v>
      </c>
      <c r="C424">
        <v>27.2</v>
      </c>
      <c r="D424">
        <v>59.7</v>
      </c>
      <c r="E424">
        <v>9.6</v>
      </c>
      <c r="F424">
        <v>867.6</v>
      </c>
      <c r="G424">
        <v>142.69999999999999</v>
      </c>
      <c r="H424">
        <v>4000</v>
      </c>
      <c r="I424">
        <v>7192.5</v>
      </c>
      <c r="J424">
        <v>1</v>
      </c>
      <c r="K424">
        <f t="shared" si="12"/>
        <v>1010.3</v>
      </c>
      <c r="L424">
        <f>K424+energy_grid_portfolio_dataset!H424</f>
        <v>5010.3</v>
      </c>
      <c r="M424">
        <f t="shared" si="13"/>
        <v>14</v>
      </c>
    </row>
    <row r="425" spans="1:13" x14ac:dyDescent="0.3">
      <c r="A425" s="1">
        <v>46269.625</v>
      </c>
      <c r="B425" t="s">
        <v>11</v>
      </c>
      <c r="C425">
        <v>25.5</v>
      </c>
      <c r="D425">
        <v>48.2</v>
      </c>
      <c r="E425">
        <v>21.7</v>
      </c>
      <c r="F425">
        <v>833.9</v>
      </c>
      <c r="G425">
        <v>1633.7</v>
      </c>
      <c r="H425">
        <v>2613.1</v>
      </c>
      <c r="I425">
        <v>5080.7</v>
      </c>
      <c r="J425">
        <v>0</v>
      </c>
      <c r="K425">
        <f t="shared" si="12"/>
        <v>2467.6</v>
      </c>
      <c r="L425">
        <f>K425+energy_grid_portfolio_dataset!H425</f>
        <v>5080.7</v>
      </c>
      <c r="M425">
        <f t="shared" si="13"/>
        <v>15</v>
      </c>
    </row>
    <row r="426" spans="1:13" x14ac:dyDescent="0.3">
      <c r="A426" s="1">
        <v>46269.666666666664</v>
      </c>
      <c r="B426" t="s">
        <v>11</v>
      </c>
      <c r="C426">
        <v>25.3</v>
      </c>
      <c r="D426">
        <v>57.8</v>
      </c>
      <c r="E426">
        <v>12.9</v>
      </c>
      <c r="F426">
        <v>610.6</v>
      </c>
      <c r="G426">
        <v>343.3</v>
      </c>
      <c r="H426">
        <v>3846.1</v>
      </c>
      <c r="I426">
        <v>4800</v>
      </c>
      <c r="J426">
        <v>0</v>
      </c>
      <c r="K426">
        <f t="shared" si="12"/>
        <v>953.90000000000009</v>
      </c>
      <c r="L426">
        <f>K426+energy_grid_portfolio_dataset!H426</f>
        <v>4800</v>
      </c>
      <c r="M426">
        <f t="shared" si="13"/>
        <v>16</v>
      </c>
    </row>
    <row r="427" spans="1:13" x14ac:dyDescent="0.3">
      <c r="A427" s="1">
        <v>46269.708333333336</v>
      </c>
      <c r="B427" t="s">
        <v>11</v>
      </c>
      <c r="C427">
        <v>25.5</v>
      </c>
      <c r="D427">
        <v>60.9</v>
      </c>
      <c r="E427">
        <v>17.5</v>
      </c>
      <c r="F427">
        <v>413.1</v>
      </c>
      <c r="G427">
        <v>864.6</v>
      </c>
      <c r="H427">
        <v>3724.9</v>
      </c>
      <c r="I427">
        <v>5002.6000000000004</v>
      </c>
      <c r="J427">
        <v>0</v>
      </c>
      <c r="K427">
        <f t="shared" si="12"/>
        <v>1277.7</v>
      </c>
      <c r="L427">
        <f>K427+energy_grid_portfolio_dataset!H427</f>
        <v>5002.6000000000004</v>
      </c>
      <c r="M427">
        <f t="shared" si="13"/>
        <v>17</v>
      </c>
    </row>
    <row r="428" spans="1:13" x14ac:dyDescent="0.3">
      <c r="A428" s="1">
        <v>46269.75</v>
      </c>
      <c r="B428" t="s">
        <v>11</v>
      </c>
      <c r="C428">
        <v>23.8</v>
      </c>
      <c r="D428">
        <v>61.8</v>
      </c>
      <c r="E428">
        <v>21.5</v>
      </c>
      <c r="F428">
        <v>210</v>
      </c>
      <c r="G428">
        <v>1590</v>
      </c>
      <c r="H428">
        <v>4000</v>
      </c>
      <c r="I428">
        <v>7761.5</v>
      </c>
      <c r="J428">
        <v>1</v>
      </c>
      <c r="K428">
        <f t="shared" si="12"/>
        <v>1800</v>
      </c>
      <c r="L428">
        <f>K428+energy_grid_portfolio_dataset!H428</f>
        <v>5800</v>
      </c>
      <c r="M428">
        <f t="shared" si="13"/>
        <v>18</v>
      </c>
    </row>
    <row r="429" spans="1:13" x14ac:dyDescent="0.3">
      <c r="A429" s="1">
        <v>46269.791666666664</v>
      </c>
      <c r="B429" t="s">
        <v>11</v>
      </c>
      <c r="C429">
        <v>22</v>
      </c>
      <c r="D429">
        <v>72.7</v>
      </c>
      <c r="E429">
        <v>11.4</v>
      </c>
      <c r="F429">
        <v>0</v>
      </c>
      <c r="G429">
        <v>236.9</v>
      </c>
      <c r="H429">
        <v>4000</v>
      </c>
      <c r="I429">
        <v>7680.1</v>
      </c>
      <c r="J429">
        <v>1</v>
      </c>
      <c r="K429">
        <f t="shared" si="12"/>
        <v>236.9</v>
      </c>
      <c r="L429">
        <f>K429+energy_grid_portfolio_dataset!H429</f>
        <v>4236.8999999999996</v>
      </c>
      <c r="M429">
        <f t="shared" si="13"/>
        <v>19</v>
      </c>
    </row>
    <row r="430" spans="1:13" x14ac:dyDescent="0.3">
      <c r="A430" s="1">
        <v>46269.833333333336</v>
      </c>
      <c r="B430" t="s">
        <v>11</v>
      </c>
      <c r="C430">
        <v>22.8</v>
      </c>
      <c r="D430">
        <v>31.6</v>
      </c>
      <c r="E430">
        <v>11.5</v>
      </c>
      <c r="F430">
        <v>0</v>
      </c>
      <c r="G430">
        <v>246.4</v>
      </c>
      <c r="H430">
        <v>4000</v>
      </c>
      <c r="I430">
        <v>7374.1</v>
      </c>
      <c r="J430">
        <v>1</v>
      </c>
      <c r="K430">
        <f t="shared" si="12"/>
        <v>246.4</v>
      </c>
      <c r="L430">
        <f>K430+energy_grid_portfolio_dataset!H430</f>
        <v>4246.3999999999996</v>
      </c>
      <c r="M430">
        <f t="shared" si="13"/>
        <v>20</v>
      </c>
    </row>
    <row r="431" spans="1:13" x14ac:dyDescent="0.3">
      <c r="A431" s="1">
        <v>46269.875</v>
      </c>
      <c r="B431" t="s">
        <v>11</v>
      </c>
      <c r="C431">
        <v>21.4</v>
      </c>
      <c r="D431">
        <v>62.7</v>
      </c>
      <c r="E431">
        <v>9.8000000000000007</v>
      </c>
      <c r="F431">
        <v>0</v>
      </c>
      <c r="G431">
        <v>151.6</v>
      </c>
      <c r="H431">
        <v>4000</v>
      </c>
      <c r="I431">
        <v>7749.8</v>
      </c>
      <c r="J431">
        <v>1</v>
      </c>
      <c r="K431">
        <f t="shared" si="12"/>
        <v>151.6</v>
      </c>
      <c r="L431">
        <f>K431+energy_grid_portfolio_dataset!H431</f>
        <v>4151.6000000000004</v>
      </c>
      <c r="M431">
        <f t="shared" si="13"/>
        <v>21</v>
      </c>
    </row>
    <row r="432" spans="1:13" x14ac:dyDescent="0.3">
      <c r="A432" s="1">
        <v>46269.916666666664</v>
      </c>
      <c r="B432" t="s">
        <v>11</v>
      </c>
      <c r="C432">
        <v>20.3</v>
      </c>
      <c r="D432">
        <v>63.5</v>
      </c>
      <c r="E432">
        <v>15.1</v>
      </c>
      <c r="F432">
        <v>0</v>
      </c>
      <c r="G432">
        <v>548.29999999999995</v>
      </c>
      <c r="H432">
        <v>4000</v>
      </c>
      <c r="I432">
        <v>5027</v>
      </c>
      <c r="J432">
        <v>1</v>
      </c>
      <c r="K432">
        <f t="shared" si="12"/>
        <v>548.29999999999995</v>
      </c>
      <c r="L432">
        <f>K432+energy_grid_portfolio_dataset!H432</f>
        <v>4548.3</v>
      </c>
      <c r="M432">
        <f t="shared" si="13"/>
        <v>22</v>
      </c>
    </row>
    <row r="433" spans="1:13" x14ac:dyDescent="0.3">
      <c r="A433" s="1">
        <v>46269.958333333336</v>
      </c>
      <c r="B433" t="s">
        <v>11</v>
      </c>
      <c r="C433">
        <v>21.2</v>
      </c>
      <c r="D433">
        <v>31.6</v>
      </c>
      <c r="E433">
        <v>16</v>
      </c>
      <c r="F433">
        <v>0</v>
      </c>
      <c r="G433">
        <v>660.3</v>
      </c>
      <c r="H433">
        <v>4000</v>
      </c>
      <c r="I433">
        <v>4809.7</v>
      </c>
      <c r="J433">
        <v>1</v>
      </c>
      <c r="K433">
        <f t="shared" si="12"/>
        <v>660.3</v>
      </c>
      <c r="L433">
        <f>K433+energy_grid_portfolio_dataset!H433</f>
        <v>4660.3</v>
      </c>
      <c r="M433">
        <f t="shared" si="13"/>
        <v>23</v>
      </c>
    </row>
    <row r="434" spans="1:13" x14ac:dyDescent="0.3">
      <c r="A434" s="1">
        <v>46270</v>
      </c>
      <c r="B434" t="s">
        <v>11</v>
      </c>
      <c r="C434">
        <v>21.8</v>
      </c>
      <c r="D434">
        <v>39.4</v>
      </c>
      <c r="E434">
        <v>10.3</v>
      </c>
      <c r="F434">
        <v>0</v>
      </c>
      <c r="G434">
        <v>172.5</v>
      </c>
      <c r="H434">
        <v>4000</v>
      </c>
      <c r="I434">
        <v>4375.1000000000004</v>
      </c>
      <c r="J434">
        <v>1</v>
      </c>
      <c r="K434">
        <f t="shared" si="12"/>
        <v>172.5</v>
      </c>
      <c r="L434">
        <f>K434+energy_grid_portfolio_dataset!H434</f>
        <v>4172.5</v>
      </c>
      <c r="M434">
        <f t="shared" si="13"/>
        <v>0</v>
      </c>
    </row>
    <row r="435" spans="1:13" x14ac:dyDescent="0.3">
      <c r="A435" s="1">
        <v>46270.041666666664</v>
      </c>
      <c r="B435" t="s">
        <v>11</v>
      </c>
      <c r="C435">
        <v>19.8</v>
      </c>
      <c r="D435">
        <v>65</v>
      </c>
      <c r="E435">
        <v>3.9</v>
      </c>
      <c r="F435">
        <v>0</v>
      </c>
      <c r="G435">
        <v>9.6</v>
      </c>
      <c r="H435">
        <v>4000</v>
      </c>
      <c r="I435">
        <v>4317.1000000000004</v>
      </c>
      <c r="J435">
        <v>1</v>
      </c>
      <c r="K435">
        <f t="shared" si="12"/>
        <v>9.6</v>
      </c>
      <c r="L435">
        <f>K435+energy_grid_portfolio_dataset!H435</f>
        <v>4009.6</v>
      </c>
      <c r="M435">
        <f t="shared" si="13"/>
        <v>1</v>
      </c>
    </row>
    <row r="436" spans="1:13" x14ac:dyDescent="0.3">
      <c r="A436" s="1">
        <v>46270.083333333336</v>
      </c>
      <c r="B436" t="s">
        <v>11</v>
      </c>
      <c r="C436">
        <v>19.5</v>
      </c>
      <c r="D436">
        <v>68.8</v>
      </c>
      <c r="E436">
        <v>20.6</v>
      </c>
      <c r="F436">
        <v>0</v>
      </c>
      <c r="G436">
        <v>1389.2</v>
      </c>
      <c r="H436">
        <v>2772.7</v>
      </c>
      <c r="I436">
        <v>4161.8999999999996</v>
      </c>
      <c r="J436">
        <v>0</v>
      </c>
      <c r="K436">
        <f t="shared" si="12"/>
        <v>1389.2</v>
      </c>
      <c r="L436">
        <f>K436+energy_grid_portfolio_dataset!H436</f>
        <v>4161.8999999999996</v>
      </c>
      <c r="M436">
        <f t="shared" si="13"/>
        <v>2</v>
      </c>
    </row>
    <row r="437" spans="1:13" x14ac:dyDescent="0.3">
      <c r="A437" s="1">
        <v>46270.125</v>
      </c>
      <c r="B437" t="s">
        <v>11</v>
      </c>
      <c r="C437">
        <v>21</v>
      </c>
      <c r="D437">
        <v>46.8</v>
      </c>
      <c r="E437">
        <v>17.8</v>
      </c>
      <c r="F437">
        <v>0</v>
      </c>
      <c r="G437">
        <v>903.8</v>
      </c>
      <c r="H437">
        <v>3400.5</v>
      </c>
      <c r="I437">
        <v>4304.3</v>
      </c>
      <c r="J437">
        <v>0</v>
      </c>
      <c r="K437">
        <f t="shared" si="12"/>
        <v>903.8</v>
      </c>
      <c r="L437">
        <f>K437+energy_grid_portfolio_dataset!H437</f>
        <v>4304.3</v>
      </c>
      <c r="M437">
        <f t="shared" si="13"/>
        <v>3</v>
      </c>
    </row>
    <row r="438" spans="1:13" x14ac:dyDescent="0.3">
      <c r="A438" s="1">
        <v>46270.166666666664</v>
      </c>
      <c r="B438" t="s">
        <v>11</v>
      </c>
      <c r="C438">
        <v>22.2</v>
      </c>
      <c r="D438">
        <v>69.400000000000006</v>
      </c>
      <c r="E438">
        <v>14.5</v>
      </c>
      <c r="F438">
        <v>0</v>
      </c>
      <c r="G438">
        <v>488.3</v>
      </c>
      <c r="H438">
        <v>3692.6</v>
      </c>
      <c r="I438">
        <v>4180.8999999999996</v>
      </c>
      <c r="J438">
        <v>0</v>
      </c>
      <c r="K438">
        <f t="shared" si="12"/>
        <v>488.3</v>
      </c>
      <c r="L438">
        <f>K438+energy_grid_portfolio_dataset!H438</f>
        <v>4180.8999999999996</v>
      </c>
      <c r="M438">
        <f t="shared" si="13"/>
        <v>4</v>
      </c>
    </row>
    <row r="439" spans="1:13" x14ac:dyDescent="0.3">
      <c r="A439" s="1">
        <v>46270.208333333336</v>
      </c>
      <c r="B439" t="s">
        <v>11</v>
      </c>
      <c r="C439">
        <v>24</v>
      </c>
      <c r="D439">
        <v>0</v>
      </c>
      <c r="E439">
        <v>15.4</v>
      </c>
      <c r="F439">
        <v>0</v>
      </c>
      <c r="G439">
        <v>583.20000000000005</v>
      </c>
      <c r="H439">
        <v>3765.2</v>
      </c>
      <c r="I439">
        <v>4348.3999999999996</v>
      </c>
      <c r="J439">
        <v>0</v>
      </c>
      <c r="K439">
        <f t="shared" si="12"/>
        <v>583.20000000000005</v>
      </c>
      <c r="L439">
        <f>K439+energy_grid_portfolio_dataset!H439</f>
        <v>4348.3999999999996</v>
      </c>
      <c r="M439">
        <f t="shared" si="13"/>
        <v>5</v>
      </c>
    </row>
    <row r="440" spans="1:13" x14ac:dyDescent="0.3">
      <c r="A440" s="1">
        <v>46270.25</v>
      </c>
      <c r="B440" t="s">
        <v>11</v>
      </c>
      <c r="C440">
        <v>22.2</v>
      </c>
      <c r="D440">
        <v>57.8</v>
      </c>
      <c r="E440">
        <v>18.899999999999999</v>
      </c>
      <c r="F440">
        <v>218.1</v>
      </c>
      <c r="G440">
        <v>1074.8</v>
      </c>
      <c r="H440">
        <v>2929</v>
      </c>
      <c r="I440">
        <v>4221.8999999999996</v>
      </c>
      <c r="J440">
        <v>0</v>
      </c>
      <c r="K440">
        <f t="shared" si="12"/>
        <v>1292.8999999999999</v>
      </c>
      <c r="L440">
        <f>K440+energy_grid_portfolio_dataset!H440</f>
        <v>4221.8999999999996</v>
      </c>
      <c r="M440">
        <f t="shared" si="13"/>
        <v>6</v>
      </c>
    </row>
    <row r="441" spans="1:13" x14ac:dyDescent="0.3">
      <c r="A441" s="1">
        <v>46270.291666666664</v>
      </c>
      <c r="B441" t="s">
        <v>11</v>
      </c>
      <c r="C441">
        <v>26</v>
      </c>
      <c r="D441">
        <v>85.3</v>
      </c>
      <c r="E441">
        <v>18.600000000000001</v>
      </c>
      <c r="F441">
        <v>317.7</v>
      </c>
      <c r="G441">
        <v>1025.4000000000001</v>
      </c>
      <c r="H441">
        <v>2956.3</v>
      </c>
      <c r="I441">
        <v>4299.3999999999996</v>
      </c>
      <c r="J441">
        <v>0</v>
      </c>
      <c r="K441">
        <f t="shared" si="12"/>
        <v>1343.1000000000001</v>
      </c>
      <c r="L441">
        <f>K441+energy_grid_portfolio_dataset!H441</f>
        <v>4299.4000000000005</v>
      </c>
      <c r="M441">
        <f t="shared" si="13"/>
        <v>7</v>
      </c>
    </row>
    <row r="442" spans="1:13" x14ac:dyDescent="0.3">
      <c r="A442" s="1">
        <v>46270.333333333336</v>
      </c>
      <c r="B442" t="s">
        <v>11</v>
      </c>
      <c r="C442">
        <v>26.7</v>
      </c>
      <c r="D442">
        <v>46.9</v>
      </c>
      <c r="E442">
        <v>4</v>
      </c>
      <c r="F442">
        <v>672.1</v>
      </c>
      <c r="G442">
        <v>10.199999999999999</v>
      </c>
      <c r="H442">
        <v>3883.7</v>
      </c>
      <c r="I442">
        <v>4566</v>
      </c>
      <c r="J442">
        <v>0</v>
      </c>
      <c r="K442">
        <f t="shared" si="12"/>
        <v>682.30000000000007</v>
      </c>
      <c r="L442">
        <f>K442+energy_grid_portfolio_dataset!H442</f>
        <v>4566</v>
      </c>
      <c r="M442">
        <f t="shared" si="13"/>
        <v>8</v>
      </c>
    </row>
    <row r="443" spans="1:13" x14ac:dyDescent="0.3">
      <c r="A443" s="1">
        <v>46270.375</v>
      </c>
      <c r="B443" t="s">
        <v>11</v>
      </c>
      <c r="C443">
        <v>26</v>
      </c>
      <c r="D443">
        <v>99.3</v>
      </c>
      <c r="E443">
        <v>11.1</v>
      </c>
      <c r="F443">
        <v>474.2</v>
      </c>
      <c r="G443">
        <v>220</v>
      </c>
      <c r="H443">
        <v>3588.9</v>
      </c>
      <c r="I443">
        <v>4283.1000000000004</v>
      </c>
      <c r="J443">
        <v>0</v>
      </c>
      <c r="K443">
        <f t="shared" si="12"/>
        <v>694.2</v>
      </c>
      <c r="L443">
        <f>K443+energy_grid_portfolio_dataset!H443</f>
        <v>4283.1000000000004</v>
      </c>
      <c r="M443">
        <f t="shared" si="13"/>
        <v>9</v>
      </c>
    </row>
    <row r="444" spans="1:13" x14ac:dyDescent="0.3">
      <c r="A444" s="1">
        <v>46270.416666666664</v>
      </c>
      <c r="B444" t="s">
        <v>11</v>
      </c>
      <c r="C444">
        <v>28</v>
      </c>
      <c r="D444">
        <v>46.1</v>
      </c>
      <c r="E444">
        <v>20.5</v>
      </c>
      <c r="F444">
        <v>977.7</v>
      </c>
      <c r="G444">
        <v>1373.4</v>
      </c>
      <c r="H444">
        <v>3907.4</v>
      </c>
      <c r="I444">
        <v>6258.5</v>
      </c>
      <c r="J444">
        <v>0</v>
      </c>
      <c r="K444">
        <f t="shared" si="12"/>
        <v>2351.1000000000004</v>
      </c>
      <c r="L444">
        <f>K444+energy_grid_portfolio_dataset!H444</f>
        <v>6258.5</v>
      </c>
      <c r="M444">
        <f t="shared" si="13"/>
        <v>10</v>
      </c>
    </row>
    <row r="445" spans="1:13" x14ac:dyDescent="0.3">
      <c r="A445" s="1">
        <v>46270.458333333336</v>
      </c>
      <c r="B445" t="s">
        <v>11</v>
      </c>
      <c r="C445">
        <v>28.1</v>
      </c>
      <c r="D445">
        <v>26.4</v>
      </c>
      <c r="E445">
        <v>5.4</v>
      </c>
      <c r="F445">
        <v>1230.4000000000001</v>
      </c>
      <c r="G445">
        <v>25.2</v>
      </c>
      <c r="H445">
        <v>4000</v>
      </c>
      <c r="I445">
        <v>6146.6</v>
      </c>
      <c r="J445">
        <v>1</v>
      </c>
      <c r="K445">
        <f t="shared" si="12"/>
        <v>1255.6000000000001</v>
      </c>
      <c r="L445">
        <f>K445+energy_grid_portfolio_dataset!H445</f>
        <v>5255.6</v>
      </c>
      <c r="M445">
        <f t="shared" si="13"/>
        <v>11</v>
      </c>
    </row>
    <row r="446" spans="1:13" x14ac:dyDescent="0.3">
      <c r="A446" s="1">
        <v>46270.5</v>
      </c>
      <c r="B446" t="s">
        <v>11</v>
      </c>
      <c r="C446">
        <v>28</v>
      </c>
      <c r="D446">
        <v>34.299999999999997</v>
      </c>
      <c r="E446">
        <v>8.5</v>
      </c>
      <c r="F446">
        <v>1191.5999999999999</v>
      </c>
      <c r="G446">
        <v>99.6</v>
      </c>
      <c r="H446">
        <v>4000</v>
      </c>
      <c r="I446">
        <v>6148.2</v>
      </c>
      <c r="J446">
        <v>1</v>
      </c>
      <c r="K446">
        <f t="shared" si="12"/>
        <v>1291.1999999999998</v>
      </c>
      <c r="L446">
        <f>K446+energy_grid_portfolio_dataset!H446</f>
        <v>5291.2</v>
      </c>
      <c r="M446">
        <f t="shared" si="13"/>
        <v>12</v>
      </c>
    </row>
    <row r="447" spans="1:13" x14ac:dyDescent="0.3">
      <c r="A447" s="1">
        <v>46270.541666666664</v>
      </c>
      <c r="B447" t="s">
        <v>11</v>
      </c>
      <c r="C447">
        <v>27.8</v>
      </c>
      <c r="D447">
        <v>7.4</v>
      </c>
      <c r="E447">
        <v>15.8</v>
      </c>
      <c r="F447">
        <v>1397.6</v>
      </c>
      <c r="G447">
        <v>631.1</v>
      </c>
      <c r="H447">
        <v>4000</v>
      </c>
      <c r="I447">
        <v>6029.1</v>
      </c>
      <c r="J447">
        <v>1</v>
      </c>
      <c r="K447">
        <f t="shared" si="12"/>
        <v>2028.6999999999998</v>
      </c>
      <c r="L447">
        <f>K447+energy_grid_portfolio_dataset!H447</f>
        <v>6028.7</v>
      </c>
      <c r="M447">
        <f t="shared" si="13"/>
        <v>13</v>
      </c>
    </row>
    <row r="448" spans="1:13" x14ac:dyDescent="0.3">
      <c r="A448" s="1">
        <v>46270.583333333336</v>
      </c>
      <c r="B448" t="s">
        <v>11</v>
      </c>
      <c r="C448">
        <v>26</v>
      </c>
      <c r="D448">
        <v>37.299999999999997</v>
      </c>
      <c r="E448">
        <v>8.1999999999999993</v>
      </c>
      <c r="F448">
        <v>1049.2</v>
      </c>
      <c r="G448">
        <v>89.5</v>
      </c>
      <c r="H448">
        <v>4000</v>
      </c>
      <c r="I448">
        <v>6252.4</v>
      </c>
      <c r="J448">
        <v>1</v>
      </c>
      <c r="K448">
        <f t="shared" si="12"/>
        <v>1138.7</v>
      </c>
      <c r="L448">
        <f>K448+energy_grid_portfolio_dataset!H448</f>
        <v>5138.7</v>
      </c>
      <c r="M448">
        <f t="shared" si="13"/>
        <v>14</v>
      </c>
    </row>
    <row r="449" spans="1:13" x14ac:dyDescent="0.3">
      <c r="A449" s="1">
        <v>46270.625</v>
      </c>
      <c r="B449" t="s">
        <v>11</v>
      </c>
      <c r="C449">
        <v>28.2</v>
      </c>
      <c r="D449">
        <v>0</v>
      </c>
      <c r="E449">
        <v>12.6</v>
      </c>
      <c r="F449">
        <v>1172.7</v>
      </c>
      <c r="G449">
        <v>318.2</v>
      </c>
      <c r="H449">
        <v>2877</v>
      </c>
      <c r="I449">
        <v>4367.8999999999996</v>
      </c>
      <c r="J449">
        <v>0</v>
      </c>
      <c r="K449">
        <f t="shared" si="12"/>
        <v>1490.9</v>
      </c>
      <c r="L449">
        <f>K449+energy_grid_portfolio_dataset!H449</f>
        <v>4367.8999999999996</v>
      </c>
      <c r="M449">
        <f t="shared" si="13"/>
        <v>15</v>
      </c>
    </row>
    <row r="450" spans="1:13" x14ac:dyDescent="0.3">
      <c r="A450" s="1">
        <v>46270.666666666664</v>
      </c>
      <c r="B450" t="s">
        <v>11</v>
      </c>
      <c r="C450">
        <v>26.7</v>
      </c>
      <c r="D450">
        <v>50.3</v>
      </c>
      <c r="E450">
        <v>8.1999999999999993</v>
      </c>
      <c r="F450">
        <v>652.79999999999995</v>
      </c>
      <c r="G450">
        <v>89.5</v>
      </c>
      <c r="H450">
        <v>3553.7</v>
      </c>
      <c r="I450">
        <v>4296</v>
      </c>
      <c r="J450">
        <v>0</v>
      </c>
      <c r="K450">
        <f t="shared" si="12"/>
        <v>742.3</v>
      </c>
      <c r="L450">
        <f>K450+energy_grid_portfolio_dataset!H450</f>
        <v>4296</v>
      </c>
      <c r="M450">
        <f t="shared" si="13"/>
        <v>16</v>
      </c>
    </row>
    <row r="451" spans="1:13" x14ac:dyDescent="0.3">
      <c r="A451" s="1">
        <v>46270.708333333336</v>
      </c>
      <c r="B451" t="s">
        <v>11</v>
      </c>
      <c r="C451">
        <v>24.2</v>
      </c>
      <c r="D451">
        <v>71.900000000000006</v>
      </c>
      <c r="E451">
        <v>12.1</v>
      </c>
      <c r="F451">
        <v>370.1</v>
      </c>
      <c r="G451">
        <v>283.89999999999998</v>
      </c>
      <c r="H451">
        <v>3618.1</v>
      </c>
      <c r="I451">
        <v>4272.1000000000004</v>
      </c>
      <c r="J451">
        <v>0</v>
      </c>
      <c r="K451">
        <f t="shared" ref="K451:K514" si="14">F451+G451</f>
        <v>654</v>
      </c>
      <c r="L451">
        <f>K451+energy_grid_portfolio_dataset!H451</f>
        <v>4272.1000000000004</v>
      </c>
      <c r="M451">
        <f t="shared" ref="M451:M514" si="15">HOUR(A451)</f>
        <v>17</v>
      </c>
    </row>
    <row r="452" spans="1:13" x14ac:dyDescent="0.3">
      <c r="A452" s="1">
        <v>46270.75</v>
      </c>
      <c r="B452" t="s">
        <v>11</v>
      </c>
      <c r="C452">
        <v>23.9</v>
      </c>
      <c r="D452">
        <v>27.3</v>
      </c>
      <c r="E452">
        <v>4.4000000000000004</v>
      </c>
      <c r="F452">
        <v>279.10000000000002</v>
      </c>
      <c r="G452">
        <v>13.9</v>
      </c>
      <c r="H452">
        <v>4000</v>
      </c>
      <c r="I452">
        <v>7005.2</v>
      </c>
      <c r="J452">
        <v>1</v>
      </c>
      <c r="K452">
        <f t="shared" si="14"/>
        <v>293</v>
      </c>
      <c r="L452">
        <f>K452+energy_grid_portfolio_dataset!H452</f>
        <v>4293</v>
      </c>
      <c r="M452">
        <f t="shared" si="15"/>
        <v>18</v>
      </c>
    </row>
    <row r="453" spans="1:13" x14ac:dyDescent="0.3">
      <c r="A453" s="1">
        <v>46270.791666666664</v>
      </c>
      <c r="B453" t="s">
        <v>11</v>
      </c>
      <c r="C453">
        <v>21.4</v>
      </c>
      <c r="D453">
        <v>51.7</v>
      </c>
      <c r="E453">
        <v>14.5</v>
      </c>
      <c r="F453">
        <v>0</v>
      </c>
      <c r="G453">
        <v>492.2</v>
      </c>
      <c r="H453">
        <v>4000</v>
      </c>
      <c r="I453">
        <v>6449.5</v>
      </c>
      <c r="J453">
        <v>1</v>
      </c>
      <c r="K453">
        <f t="shared" si="14"/>
        <v>492.2</v>
      </c>
      <c r="L453">
        <f>K453+energy_grid_portfolio_dataset!H453</f>
        <v>4492.2</v>
      </c>
      <c r="M453">
        <f t="shared" si="15"/>
        <v>19</v>
      </c>
    </row>
    <row r="454" spans="1:13" x14ac:dyDescent="0.3">
      <c r="A454" s="1">
        <v>46270.833333333336</v>
      </c>
      <c r="B454" t="s">
        <v>11</v>
      </c>
      <c r="C454">
        <v>22.9</v>
      </c>
      <c r="D454">
        <v>32.9</v>
      </c>
      <c r="E454">
        <v>12.7</v>
      </c>
      <c r="F454">
        <v>0</v>
      </c>
      <c r="G454">
        <v>330.4</v>
      </c>
      <c r="H454">
        <v>4000</v>
      </c>
      <c r="I454">
        <v>6482.8</v>
      </c>
      <c r="J454">
        <v>1</v>
      </c>
      <c r="K454">
        <f t="shared" si="14"/>
        <v>330.4</v>
      </c>
      <c r="L454">
        <f>K454+energy_grid_portfolio_dataset!H454</f>
        <v>4330.3999999999996</v>
      </c>
      <c r="M454">
        <f t="shared" si="15"/>
        <v>20</v>
      </c>
    </row>
    <row r="455" spans="1:13" x14ac:dyDescent="0.3">
      <c r="A455" s="1">
        <v>46270.875</v>
      </c>
      <c r="B455" t="s">
        <v>11</v>
      </c>
      <c r="C455">
        <v>22.1</v>
      </c>
      <c r="D455">
        <v>38.299999999999997</v>
      </c>
      <c r="E455">
        <v>7.5</v>
      </c>
      <c r="F455">
        <v>0</v>
      </c>
      <c r="G455">
        <v>68.7</v>
      </c>
      <c r="H455">
        <v>4000</v>
      </c>
      <c r="I455">
        <v>6961.8</v>
      </c>
      <c r="J455">
        <v>1</v>
      </c>
      <c r="K455">
        <f t="shared" si="14"/>
        <v>68.7</v>
      </c>
      <c r="L455">
        <f>K455+energy_grid_portfolio_dataset!H455</f>
        <v>4068.7</v>
      </c>
      <c r="M455">
        <f t="shared" si="15"/>
        <v>21</v>
      </c>
    </row>
    <row r="456" spans="1:13" x14ac:dyDescent="0.3">
      <c r="A456" s="1">
        <v>46270.916666666664</v>
      </c>
      <c r="B456" t="s">
        <v>11</v>
      </c>
      <c r="C456">
        <v>19.8</v>
      </c>
      <c r="D456">
        <v>39.700000000000003</v>
      </c>
      <c r="E456">
        <v>7.1</v>
      </c>
      <c r="F456">
        <v>0</v>
      </c>
      <c r="G456">
        <v>56.4</v>
      </c>
      <c r="H456">
        <v>3940.8</v>
      </c>
      <c r="I456">
        <v>3997.2</v>
      </c>
      <c r="J456">
        <v>0</v>
      </c>
      <c r="K456">
        <f t="shared" si="14"/>
        <v>56.4</v>
      </c>
      <c r="L456">
        <f>K456+energy_grid_portfolio_dataset!H456</f>
        <v>3997.2000000000003</v>
      </c>
      <c r="M456">
        <f t="shared" si="15"/>
        <v>22</v>
      </c>
    </row>
    <row r="457" spans="1:13" x14ac:dyDescent="0.3">
      <c r="A457" s="1">
        <v>46270.958333333336</v>
      </c>
      <c r="B457" t="s">
        <v>11</v>
      </c>
      <c r="C457">
        <v>20.2</v>
      </c>
      <c r="D457">
        <v>39.4</v>
      </c>
      <c r="E457">
        <v>8.6999999999999993</v>
      </c>
      <c r="F457">
        <v>0</v>
      </c>
      <c r="G457">
        <v>107.2</v>
      </c>
      <c r="H457">
        <v>4000</v>
      </c>
      <c r="I457">
        <v>4300.3</v>
      </c>
      <c r="J457">
        <v>1</v>
      </c>
      <c r="K457">
        <f t="shared" si="14"/>
        <v>107.2</v>
      </c>
      <c r="L457">
        <f>K457+energy_grid_portfolio_dataset!H457</f>
        <v>4107.2</v>
      </c>
      <c r="M457">
        <f t="shared" si="15"/>
        <v>23</v>
      </c>
    </row>
    <row r="458" spans="1:13" x14ac:dyDescent="0.3">
      <c r="A458" s="1">
        <v>46271</v>
      </c>
      <c r="B458" t="s">
        <v>11</v>
      </c>
      <c r="C458">
        <v>20.399999999999999</v>
      </c>
      <c r="D458">
        <v>17.7</v>
      </c>
      <c r="E458">
        <v>19.100000000000001</v>
      </c>
      <c r="F458">
        <v>0</v>
      </c>
      <c r="G458">
        <v>1106.9000000000001</v>
      </c>
      <c r="H458">
        <v>3238.4</v>
      </c>
      <c r="I458">
        <v>4345.3</v>
      </c>
      <c r="J458">
        <v>0</v>
      </c>
      <c r="K458">
        <f t="shared" si="14"/>
        <v>1106.9000000000001</v>
      </c>
      <c r="L458">
        <f>K458+energy_grid_portfolio_dataset!H458</f>
        <v>4345.3</v>
      </c>
      <c r="M458">
        <f t="shared" si="15"/>
        <v>0</v>
      </c>
    </row>
    <row r="459" spans="1:13" x14ac:dyDescent="0.3">
      <c r="A459" s="1">
        <v>46271.041666666664</v>
      </c>
      <c r="B459" t="s">
        <v>11</v>
      </c>
      <c r="C459">
        <v>20.2</v>
      </c>
      <c r="D459">
        <v>62.7</v>
      </c>
      <c r="E459">
        <v>13.2</v>
      </c>
      <c r="F459">
        <v>0</v>
      </c>
      <c r="G459">
        <v>365.2</v>
      </c>
      <c r="H459">
        <v>3940</v>
      </c>
      <c r="I459">
        <v>4305.2</v>
      </c>
      <c r="J459">
        <v>0</v>
      </c>
      <c r="K459">
        <f t="shared" si="14"/>
        <v>365.2</v>
      </c>
      <c r="L459">
        <f>K459+energy_grid_portfolio_dataset!H459</f>
        <v>4305.2</v>
      </c>
      <c r="M459">
        <f t="shared" si="15"/>
        <v>1</v>
      </c>
    </row>
    <row r="460" spans="1:13" x14ac:dyDescent="0.3">
      <c r="A460" s="1">
        <v>46271.083333333336</v>
      </c>
      <c r="B460" t="s">
        <v>11</v>
      </c>
      <c r="C460">
        <v>20.8</v>
      </c>
      <c r="D460">
        <v>29.7</v>
      </c>
      <c r="E460">
        <v>13.8</v>
      </c>
      <c r="F460">
        <v>0</v>
      </c>
      <c r="G460">
        <v>421.2</v>
      </c>
      <c r="H460">
        <v>4000</v>
      </c>
      <c r="I460">
        <v>4463</v>
      </c>
      <c r="J460">
        <v>1</v>
      </c>
      <c r="K460">
        <f t="shared" si="14"/>
        <v>421.2</v>
      </c>
      <c r="L460">
        <f>K460+energy_grid_portfolio_dataset!H460</f>
        <v>4421.2</v>
      </c>
      <c r="M460">
        <f t="shared" si="15"/>
        <v>2</v>
      </c>
    </row>
    <row r="461" spans="1:13" x14ac:dyDescent="0.3">
      <c r="A461" s="1">
        <v>46271.125</v>
      </c>
      <c r="B461" t="s">
        <v>11</v>
      </c>
      <c r="C461">
        <v>21.3</v>
      </c>
      <c r="D461">
        <v>44.2</v>
      </c>
      <c r="E461">
        <v>11</v>
      </c>
      <c r="F461">
        <v>0</v>
      </c>
      <c r="G461">
        <v>210.6</v>
      </c>
      <c r="H461">
        <v>3937.8</v>
      </c>
      <c r="I461">
        <v>4148.3999999999996</v>
      </c>
      <c r="J461">
        <v>0</v>
      </c>
      <c r="K461">
        <f t="shared" si="14"/>
        <v>210.6</v>
      </c>
      <c r="L461">
        <f>K461+energy_grid_portfolio_dataset!H461</f>
        <v>4148.4000000000005</v>
      </c>
      <c r="M461">
        <f t="shared" si="15"/>
        <v>3</v>
      </c>
    </row>
    <row r="462" spans="1:13" x14ac:dyDescent="0.3">
      <c r="A462" s="1">
        <v>46271.166666666664</v>
      </c>
      <c r="B462" t="s">
        <v>11</v>
      </c>
      <c r="C462">
        <v>20.100000000000001</v>
      </c>
      <c r="D462">
        <v>31.3</v>
      </c>
      <c r="E462">
        <v>12.5</v>
      </c>
      <c r="F462">
        <v>0</v>
      </c>
      <c r="G462">
        <v>309.8</v>
      </c>
      <c r="H462">
        <v>3990.9</v>
      </c>
      <c r="I462">
        <v>4300.7</v>
      </c>
      <c r="J462">
        <v>0</v>
      </c>
      <c r="K462">
        <f t="shared" si="14"/>
        <v>309.8</v>
      </c>
      <c r="L462">
        <f>K462+energy_grid_portfolio_dataset!H462</f>
        <v>4300.7</v>
      </c>
      <c r="M462">
        <f t="shared" si="15"/>
        <v>4</v>
      </c>
    </row>
    <row r="463" spans="1:13" x14ac:dyDescent="0.3">
      <c r="A463" s="1">
        <v>46271.208333333336</v>
      </c>
      <c r="B463" t="s">
        <v>11</v>
      </c>
      <c r="C463">
        <v>21.9</v>
      </c>
      <c r="D463">
        <v>76.599999999999994</v>
      </c>
      <c r="E463">
        <v>7.7</v>
      </c>
      <c r="F463">
        <v>0</v>
      </c>
      <c r="G463">
        <v>72.2</v>
      </c>
      <c r="H463">
        <v>4000</v>
      </c>
      <c r="I463">
        <v>4344</v>
      </c>
      <c r="J463">
        <v>1</v>
      </c>
      <c r="K463">
        <f t="shared" si="14"/>
        <v>72.2</v>
      </c>
      <c r="L463">
        <f>K463+energy_grid_portfolio_dataset!H463</f>
        <v>4072.2</v>
      </c>
      <c r="M463">
        <f t="shared" si="15"/>
        <v>5</v>
      </c>
    </row>
    <row r="464" spans="1:13" x14ac:dyDescent="0.3">
      <c r="A464" s="1">
        <v>46271.25</v>
      </c>
      <c r="B464" t="s">
        <v>11</v>
      </c>
      <c r="C464">
        <v>24.4</v>
      </c>
      <c r="D464">
        <v>28.8</v>
      </c>
      <c r="E464">
        <v>20.9</v>
      </c>
      <c r="F464">
        <v>276</v>
      </c>
      <c r="G464">
        <v>1455.8</v>
      </c>
      <c r="H464">
        <v>2733.6</v>
      </c>
      <c r="I464">
        <v>4465.3999999999996</v>
      </c>
      <c r="J464">
        <v>0</v>
      </c>
      <c r="K464">
        <f t="shared" si="14"/>
        <v>1731.8</v>
      </c>
      <c r="L464">
        <f>K464+energy_grid_portfolio_dataset!H464</f>
        <v>4465.3999999999996</v>
      </c>
      <c r="M464">
        <f t="shared" si="15"/>
        <v>6</v>
      </c>
    </row>
    <row r="465" spans="1:13" x14ac:dyDescent="0.3">
      <c r="A465" s="1">
        <v>46271.291666666664</v>
      </c>
      <c r="B465" t="s">
        <v>11</v>
      </c>
      <c r="C465">
        <v>26</v>
      </c>
      <c r="D465">
        <v>70</v>
      </c>
      <c r="E465">
        <v>8.6</v>
      </c>
      <c r="F465">
        <v>377.4</v>
      </c>
      <c r="G465">
        <v>103.4</v>
      </c>
      <c r="H465">
        <v>3660.2</v>
      </c>
      <c r="I465">
        <v>4141</v>
      </c>
      <c r="J465">
        <v>0</v>
      </c>
      <c r="K465">
        <f t="shared" si="14"/>
        <v>480.79999999999995</v>
      </c>
      <c r="L465">
        <f>K465+energy_grid_portfolio_dataset!H465</f>
        <v>4141</v>
      </c>
      <c r="M465">
        <f t="shared" si="15"/>
        <v>7</v>
      </c>
    </row>
    <row r="466" spans="1:13" x14ac:dyDescent="0.3">
      <c r="A466" s="1">
        <v>46271.333333333336</v>
      </c>
      <c r="B466" t="s">
        <v>11</v>
      </c>
      <c r="C466">
        <v>25.7</v>
      </c>
      <c r="D466">
        <v>52.2</v>
      </c>
      <c r="E466">
        <v>13.3</v>
      </c>
      <c r="F466">
        <v>642.20000000000005</v>
      </c>
      <c r="G466">
        <v>376.6</v>
      </c>
      <c r="H466">
        <v>3510.1</v>
      </c>
      <c r="I466">
        <v>4528.8999999999996</v>
      </c>
      <c r="J466">
        <v>0</v>
      </c>
      <c r="K466">
        <f t="shared" si="14"/>
        <v>1018.8000000000001</v>
      </c>
      <c r="L466">
        <f>K466+energy_grid_portfolio_dataset!H466</f>
        <v>4528.8999999999996</v>
      </c>
      <c r="M466">
        <f t="shared" si="15"/>
        <v>8</v>
      </c>
    </row>
    <row r="467" spans="1:13" x14ac:dyDescent="0.3">
      <c r="A467" s="1">
        <v>46271.375</v>
      </c>
      <c r="B467" t="s">
        <v>11</v>
      </c>
      <c r="C467">
        <v>27.6</v>
      </c>
      <c r="D467">
        <v>64.8</v>
      </c>
      <c r="E467">
        <v>3.3</v>
      </c>
      <c r="F467">
        <v>716.5</v>
      </c>
      <c r="G467">
        <v>5.5</v>
      </c>
      <c r="H467">
        <v>3577.9</v>
      </c>
      <c r="I467">
        <v>4299.8999999999996</v>
      </c>
      <c r="J467">
        <v>0</v>
      </c>
      <c r="K467">
        <f t="shared" si="14"/>
        <v>722</v>
      </c>
      <c r="L467">
        <f>K467+energy_grid_portfolio_dataset!H467</f>
        <v>4299.8999999999996</v>
      </c>
      <c r="M467">
        <f t="shared" si="15"/>
        <v>9</v>
      </c>
    </row>
    <row r="468" spans="1:13" x14ac:dyDescent="0.3">
      <c r="A468" s="1">
        <v>46271.416666666664</v>
      </c>
      <c r="B468" t="s">
        <v>11</v>
      </c>
      <c r="C468">
        <v>25.8</v>
      </c>
      <c r="D468">
        <v>70.8</v>
      </c>
      <c r="E468">
        <v>17.600000000000001</v>
      </c>
      <c r="F468">
        <v>777.2</v>
      </c>
      <c r="G468">
        <v>877.3</v>
      </c>
      <c r="H468">
        <v>4000</v>
      </c>
      <c r="I468">
        <v>6435.7</v>
      </c>
      <c r="J468">
        <v>1</v>
      </c>
      <c r="K468">
        <f t="shared" si="14"/>
        <v>1654.5</v>
      </c>
      <c r="L468">
        <f>K468+energy_grid_portfolio_dataset!H468</f>
        <v>5654.5</v>
      </c>
      <c r="M468">
        <f t="shared" si="15"/>
        <v>10</v>
      </c>
    </row>
    <row r="469" spans="1:13" x14ac:dyDescent="0.3">
      <c r="A469" s="1">
        <v>46271.458333333336</v>
      </c>
      <c r="B469" t="s">
        <v>11</v>
      </c>
      <c r="C469">
        <v>27.5</v>
      </c>
      <c r="D469">
        <v>17.399999999999999</v>
      </c>
      <c r="E469">
        <v>10.9</v>
      </c>
      <c r="F469">
        <v>1310.0999999999999</v>
      </c>
      <c r="G469">
        <v>208.7</v>
      </c>
      <c r="H469">
        <v>4000</v>
      </c>
      <c r="I469">
        <v>6076.4</v>
      </c>
      <c r="J469">
        <v>1</v>
      </c>
      <c r="K469">
        <f t="shared" si="14"/>
        <v>1518.8</v>
      </c>
      <c r="L469">
        <f>K469+energy_grid_portfolio_dataset!H469</f>
        <v>5518.8</v>
      </c>
      <c r="M469">
        <f t="shared" si="15"/>
        <v>11</v>
      </c>
    </row>
    <row r="470" spans="1:13" x14ac:dyDescent="0.3">
      <c r="A470" s="1">
        <v>46271.5</v>
      </c>
      <c r="B470" t="s">
        <v>11</v>
      </c>
      <c r="C470">
        <v>28.8</v>
      </c>
      <c r="D470">
        <v>77.8</v>
      </c>
      <c r="E470">
        <v>19</v>
      </c>
      <c r="F470">
        <v>800.2</v>
      </c>
      <c r="G470">
        <v>1093.7</v>
      </c>
      <c r="H470">
        <v>4000</v>
      </c>
      <c r="I470">
        <v>6193.8</v>
      </c>
      <c r="J470">
        <v>1</v>
      </c>
      <c r="K470">
        <f t="shared" si="14"/>
        <v>1893.9</v>
      </c>
      <c r="L470">
        <f>K470+energy_grid_portfolio_dataset!H470</f>
        <v>5893.9</v>
      </c>
      <c r="M470">
        <f t="shared" si="15"/>
        <v>12</v>
      </c>
    </row>
    <row r="471" spans="1:13" x14ac:dyDescent="0.3">
      <c r="A471" s="1">
        <v>46271.541666666664</v>
      </c>
      <c r="B471" t="s">
        <v>11</v>
      </c>
      <c r="C471">
        <v>27.7</v>
      </c>
      <c r="D471">
        <v>2.9</v>
      </c>
      <c r="E471">
        <v>8</v>
      </c>
      <c r="F471">
        <v>1436.8</v>
      </c>
      <c r="G471">
        <v>81</v>
      </c>
      <c r="H471">
        <v>4000</v>
      </c>
      <c r="I471">
        <v>6155.7</v>
      </c>
      <c r="J471">
        <v>1</v>
      </c>
      <c r="K471">
        <f t="shared" si="14"/>
        <v>1517.8</v>
      </c>
      <c r="L471">
        <f>K471+energy_grid_portfolio_dataset!H471</f>
        <v>5517.8</v>
      </c>
      <c r="M471">
        <f t="shared" si="15"/>
        <v>13</v>
      </c>
    </row>
    <row r="472" spans="1:13" x14ac:dyDescent="0.3">
      <c r="A472" s="1">
        <v>46271.583333333336</v>
      </c>
      <c r="B472" t="s">
        <v>11</v>
      </c>
      <c r="C472">
        <v>29.1</v>
      </c>
      <c r="D472">
        <v>14.1</v>
      </c>
      <c r="E472">
        <v>9</v>
      </c>
      <c r="F472">
        <v>1236.8</v>
      </c>
      <c r="G472">
        <v>118.1</v>
      </c>
      <c r="H472">
        <v>4000</v>
      </c>
      <c r="I472">
        <v>6384.7</v>
      </c>
      <c r="J472">
        <v>1</v>
      </c>
      <c r="K472">
        <f t="shared" si="14"/>
        <v>1354.8999999999999</v>
      </c>
      <c r="L472">
        <f>K472+energy_grid_portfolio_dataset!H472</f>
        <v>5354.9</v>
      </c>
      <c r="M472">
        <f t="shared" si="15"/>
        <v>14</v>
      </c>
    </row>
    <row r="473" spans="1:13" x14ac:dyDescent="0.3">
      <c r="A473" s="1">
        <v>46271.625</v>
      </c>
      <c r="B473" t="s">
        <v>11</v>
      </c>
      <c r="C473">
        <v>27.1</v>
      </c>
      <c r="D473">
        <v>24.8</v>
      </c>
      <c r="E473">
        <v>14.1</v>
      </c>
      <c r="F473">
        <v>998.5</v>
      </c>
      <c r="G473">
        <v>450.5</v>
      </c>
      <c r="H473">
        <v>2867</v>
      </c>
      <c r="I473">
        <v>4316</v>
      </c>
      <c r="J473">
        <v>0</v>
      </c>
      <c r="K473">
        <f t="shared" si="14"/>
        <v>1449</v>
      </c>
      <c r="L473">
        <f>K473+energy_grid_portfolio_dataset!H473</f>
        <v>4316</v>
      </c>
      <c r="M473">
        <f t="shared" si="15"/>
        <v>15</v>
      </c>
    </row>
    <row r="474" spans="1:13" x14ac:dyDescent="0.3">
      <c r="A474" s="1">
        <v>46271.666666666664</v>
      </c>
      <c r="B474" t="s">
        <v>11</v>
      </c>
      <c r="C474">
        <v>26</v>
      </c>
      <c r="D474">
        <v>58.7</v>
      </c>
      <c r="E474">
        <v>12</v>
      </c>
      <c r="F474">
        <v>606.1</v>
      </c>
      <c r="G474">
        <v>278.7</v>
      </c>
      <c r="H474">
        <v>3364.1</v>
      </c>
      <c r="I474">
        <v>4248.8999999999996</v>
      </c>
      <c r="J474">
        <v>0</v>
      </c>
      <c r="K474">
        <f t="shared" si="14"/>
        <v>884.8</v>
      </c>
      <c r="L474">
        <f>K474+energy_grid_portfolio_dataset!H474</f>
        <v>4248.8999999999996</v>
      </c>
      <c r="M474">
        <f t="shared" si="15"/>
        <v>16</v>
      </c>
    </row>
    <row r="475" spans="1:13" x14ac:dyDescent="0.3">
      <c r="A475" s="1">
        <v>46271.708333333336</v>
      </c>
      <c r="B475" t="s">
        <v>11</v>
      </c>
      <c r="C475">
        <v>24.9</v>
      </c>
      <c r="D475">
        <v>42.8</v>
      </c>
      <c r="E475">
        <v>10.1</v>
      </c>
      <c r="F475">
        <v>483.7</v>
      </c>
      <c r="G475">
        <v>167.3</v>
      </c>
      <c r="H475">
        <v>3603.5</v>
      </c>
      <c r="I475">
        <v>4254.5</v>
      </c>
      <c r="J475">
        <v>0</v>
      </c>
      <c r="K475">
        <f t="shared" si="14"/>
        <v>651</v>
      </c>
      <c r="L475">
        <f>K475+energy_grid_portfolio_dataset!H475</f>
        <v>4254.5</v>
      </c>
      <c r="M475">
        <f t="shared" si="15"/>
        <v>17</v>
      </c>
    </row>
    <row r="476" spans="1:13" x14ac:dyDescent="0.3">
      <c r="A476" s="1">
        <v>46271.75</v>
      </c>
      <c r="B476" t="s">
        <v>11</v>
      </c>
      <c r="C476">
        <v>25.6</v>
      </c>
      <c r="D476">
        <v>59</v>
      </c>
      <c r="E476">
        <v>10.5</v>
      </c>
      <c r="F476">
        <v>215.6</v>
      </c>
      <c r="G476">
        <v>186.4</v>
      </c>
      <c r="H476">
        <v>4000</v>
      </c>
      <c r="I476">
        <v>6681.2</v>
      </c>
      <c r="J476">
        <v>1</v>
      </c>
      <c r="K476">
        <f t="shared" si="14"/>
        <v>402</v>
      </c>
      <c r="L476">
        <f>K476+energy_grid_portfolio_dataset!H476</f>
        <v>4402</v>
      </c>
      <c r="M476">
        <f t="shared" si="15"/>
        <v>18</v>
      </c>
    </row>
    <row r="477" spans="1:13" x14ac:dyDescent="0.3">
      <c r="A477" s="1">
        <v>46271.791666666664</v>
      </c>
      <c r="B477" t="s">
        <v>11</v>
      </c>
      <c r="C477">
        <v>22.6</v>
      </c>
      <c r="D477">
        <v>74.3</v>
      </c>
      <c r="E477">
        <v>13.8</v>
      </c>
      <c r="F477">
        <v>0</v>
      </c>
      <c r="G477">
        <v>424.9</v>
      </c>
      <c r="H477">
        <v>4000</v>
      </c>
      <c r="I477">
        <v>6824.5</v>
      </c>
      <c r="J477">
        <v>1</v>
      </c>
      <c r="K477">
        <f t="shared" si="14"/>
        <v>424.9</v>
      </c>
      <c r="L477">
        <f>K477+energy_grid_portfolio_dataset!H477</f>
        <v>4424.8999999999996</v>
      </c>
      <c r="M477">
        <f t="shared" si="15"/>
        <v>19</v>
      </c>
    </row>
    <row r="478" spans="1:13" x14ac:dyDescent="0.3">
      <c r="A478" s="1">
        <v>46271.833333333336</v>
      </c>
      <c r="B478" t="s">
        <v>11</v>
      </c>
      <c r="C478">
        <v>22.4</v>
      </c>
      <c r="D478">
        <v>5.7</v>
      </c>
      <c r="E478">
        <v>6.4</v>
      </c>
      <c r="F478">
        <v>0</v>
      </c>
      <c r="G478">
        <v>41.3</v>
      </c>
      <c r="H478">
        <v>4000</v>
      </c>
      <c r="I478">
        <v>6703.9</v>
      </c>
      <c r="J478">
        <v>1</v>
      </c>
      <c r="K478">
        <f t="shared" si="14"/>
        <v>41.3</v>
      </c>
      <c r="L478">
        <f>K478+energy_grid_portfolio_dataset!H478</f>
        <v>4041.3</v>
      </c>
      <c r="M478">
        <f t="shared" si="15"/>
        <v>20</v>
      </c>
    </row>
    <row r="479" spans="1:13" x14ac:dyDescent="0.3">
      <c r="A479" s="1">
        <v>46271.875</v>
      </c>
      <c r="B479" t="s">
        <v>11</v>
      </c>
      <c r="C479">
        <v>21.3</v>
      </c>
      <c r="D479">
        <v>88.3</v>
      </c>
      <c r="E479">
        <v>23.2</v>
      </c>
      <c r="F479">
        <v>0</v>
      </c>
      <c r="G479">
        <v>1986.7</v>
      </c>
      <c r="H479">
        <v>4000</v>
      </c>
      <c r="I479">
        <v>6540.9</v>
      </c>
      <c r="J479">
        <v>1</v>
      </c>
      <c r="K479">
        <f t="shared" si="14"/>
        <v>1986.7</v>
      </c>
      <c r="L479">
        <f>K479+energy_grid_portfolio_dataset!H479</f>
        <v>5986.7</v>
      </c>
      <c r="M479">
        <f t="shared" si="15"/>
        <v>21</v>
      </c>
    </row>
    <row r="480" spans="1:13" x14ac:dyDescent="0.3">
      <c r="A480" s="1">
        <v>46271.916666666664</v>
      </c>
      <c r="B480" t="s">
        <v>11</v>
      </c>
      <c r="C480">
        <v>21</v>
      </c>
      <c r="D480">
        <v>0</v>
      </c>
      <c r="E480">
        <v>9.3000000000000007</v>
      </c>
      <c r="F480">
        <v>0</v>
      </c>
      <c r="G480">
        <v>128.1</v>
      </c>
      <c r="H480">
        <v>4000</v>
      </c>
      <c r="I480">
        <v>4415.7</v>
      </c>
      <c r="J480">
        <v>1</v>
      </c>
      <c r="K480">
        <f t="shared" si="14"/>
        <v>128.1</v>
      </c>
      <c r="L480">
        <f>K480+energy_grid_portfolio_dataset!H480</f>
        <v>4128.1000000000004</v>
      </c>
      <c r="M480">
        <f t="shared" si="15"/>
        <v>22</v>
      </c>
    </row>
    <row r="481" spans="1:13" x14ac:dyDescent="0.3">
      <c r="A481" s="1">
        <v>46271.958333333336</v>
      </c>
      <c r="B481" t="s">
        <v>11</v>
      </c>
      <c r="C481">
        <v>19.5</v>
      </c>
      <c r="D481">
        <v>40.799999999999997</v>
      </c>
      <c r="E481">
        <v>9.6</v>
      </c>
      <c r="F481">
        <v>0</v>
      </c>
      <c r="G481">
        <v>143.30000000000001</v>
      </c>
      <c r="H481">
        <v>4000</v>
      </c>
      <c r="I481">
        <v>4201.8</v>
      </c>
      <c r="J481">
        <v>1</v>
      </c>
      <c r="K481">
        <f t="shared" si="14"/>
        <v>143.30000000000001</v>
      </c>
      <c r="L481">
        <f>K481+energy_grid_portfolio_dataset!H481</f>
        <v>4143.3</v>
      </c>
      <c r="M481">
        <f t="shared" si="15"/>
        <v>23</v>
      </c>
    </row>
    <row r="482" spans="1:13" x14ac:dyDescent="0.3">
      <c r="A482" s="1">
        <v>46272</v>
      </c>
      <c r="B482" t="s">
        <v>11</v>
      </c>
      <c r="C482">
        <v>20.7</v>
      </c>
      <c r="D482">
        <v>18.2</v>
      </c>
      <c r="E482">
        <v>13.2</v>
      </c>
      <c r="F482">
        <v>0</v>
      </c>
      <c r="G482">
        <v>367.7</v>
      </c>
      <c r="H482">
        <v>4000</v>
      </c>
      <c r="I482">
        <v>4653.1000000000004</v>
      </c>
      <c r="J482">
        <v>1</v>
      </c>
      <c r="K482">
        <f t="shared" si="14"/>
        <v>367.7</v>
      </c>
      <c r="L482">
        <f>K482+energy_grid_portfolio_dataset!H482</f>
        <v>4367.7</v>
      </c>
      <c r="M482">
        <f t="shared" si="15"/>
        <v>0</v>
      </c>
    </row>
    <row r="483" spans="1:13" x14ac:dyDescent="0.3">
      <c r="A483" s="1">
        <v>46272.041666666664</v>
      </c>
      <c r="B483" t="s">
        <v>11</v>
      </c>
      <c r="C483">
        <v>19.2</v>
      </c>
      <c r="D483">
        <v>0</v>
      </c>
      <c r="E483">
        <v>10.6</v>
      </c>
      <c r="F483">
        <v>0</v>
      </c>
      <c r="G483">
        <v>188.9</v>
      </c>
      <c r="H483">
        <v>4000</v>
      </c>
      <c r="I483">
        <v>5261.1</v>
      </c>
      <c r="J483">
        <v>1</v>
      </c>
      <c r="K483">
        <f t="shared" si="14"/>
        <v>188.9</v>
      </c>
      <c r="L483">
        <f>K483+energy_grid_portfolio_dataset!H483</f>
        <v>4188.8999999999996</v>
      </c>
      <c r="M483">
        <f t="shared" si="15"/>
        <v>1</v>
      </c>
    </row>
    <row r="484" spans="1:13" x14ac:dyDescent="0.3">
      <c r="A484" s="1">
        <v>46272.083333333336</v>
      </c>
      <c r="B484" t="s">
        <v>11</v>
      </c>
      <c r="C484">
        <v>22.5</v>
      </c>
      <c r="D484">
        <v>14.3</v>
      </c>
      <c r="E484">
        <v>14.5</v>
      </c>
      <c r="F484">
        <v>0</v>
      </c>
      <c r="G484">
        <v>486.1</v>
      </c>
      <c r="H484">
        <v>4000</v>
      </c>
      <c r="I484">
        <v>5115.1000000000004</v>
      </c>
      <c r="J484">
        <v>1</v>
      </c>
      <c r="K484">
        <f t="shared" si="14"/>
        <v>486.1</v>
      </c>
      <c r="L484">
        <f>K484+energy_grid_portfolio_dataset!H484</f>
        <v>4486.1000000000004</v>
      </c>
      <c r="M484">
        <f t="shared" si="15"/>
        <v>2</v>
      </c>
    </row>
    <row r="485" spans="1:13" x14ac:dyDescent="0.3">
      <c r="A485" s="1">
        <v>46272.125</v>
      </c>
      <c r="B485" t="s">
        <v>11</v>
      </c>
      <c r="C485">
        <v>21.1</v>
      </c>
      <c r="D485">
        <v>100</v>
      </c>
      <c r="E485">
        <v>4.5</v>
      </c>
      <c r="F485">
        <v>0</v>
      </c>
      <c r="G485">
        <v>14.4</v>
      </c>
      <c r="H485">
        <v>4000</v>
      </c>
      <c r="I485">
        <v>4880.2</v>
      </c>
      <c r="J485">
        <v>1</v>
      </c>
      <c r="K485">
        <f t="shared" si="14"/>
        <v>14.4</v>
      </c>
      <c r="L485">
        <f>K485+energy_grid_portfolio_dataset!H485</f>
        <v>4014.4</v>
      </c>
      <c r="M485">
        <f t="shared" si="15"/>
        <v>3</v>
      </c>
    </row>
    <row r="486" spans="1:13" x14ac:dyDescent="0.3">
      <c r="A486" s="1">
        <v>46272.166666666664</v>
      </c>
      <c r="B486" t="s">
        <v>11</v>
      </c>
      <c r="C486">
        <v>22.5</v>
      </c>
      <c r="D486">
        <v>72.099999999999994</v>
      </c>
      <c r="E486">
        <v>12.5</v>
      </c>
      <c r="F486">
        <v>0</v>
      </c>
      <c r="G486">
        <v>311.7</v>
      </c>
      <c r="H486">
        <v>4000</v>
      </c>
      <c r="I486">
        <v>4988.1000000000004</v>
      </c>
      <c r="J486">
        <v>1</v>
      </c>
      <c r="K486">
        <f t="shared" si="14"/>
        <v>311.7</v>
      </c>
      <c r="L486">
        <f>K486+energy_grid_portfolio_dataset!H486</f>
        <v>4311.7</v>
      </c>
      <c r="M486">
        <f t="shared" si="15"/>
        <v>4</v>
      </c>
    </row>
    <row r="487" spans="1:13" x14ac:dyDescent="0.3">
      <c r="A487" s="1">
        <v>46272.208333333336</v>
      </c>
      <c r="B487" t="s">
        <v>11</v>
      </c>
      <c r="C487">
        <v>22.6</v>
      </c>
      <c r="D487">
        <v>51.7</v>
      </c>
      <c r="E487">
        <v>10.3</v>
      </c>
      <c r="F487">
        <v>0</v>
      </c>
      <c r="G487">
        <v>174</v>
      </c>
      <c r="H487">
        <v>4000</v>
      </c>
      <c r="I487">
        <v>4996.2</v>
      </c>
      <c r="J487">
        <v>1</v>
      </c>
      <c r="K487">
        <f t="shared" si="14"/>
        <v>174</v>
      </c>
      <c r="L487">
        <f>K487+energy_grid_portfolio_dataset!H487</f>
        <v>4174</v>
      </c>
      <c r="M487">
        <f t="shared" si="15"/>
        <v>5</v>
      </c>
    </row>
    <row r="488" spans="1:13" x14ac:dyDescent="0.3">
      <c r="A488" s="1">
        <v>46272.25</v>
      </c>
      <c r="B488" t="s">
        <v>11</v>
      </c>
      <c r="C488">
        <v>23.6</v>
      </c>
      <c r="D488">
        <v>54.4</v>
      </c>
      <c r="E488">
        <v>11.9</v>
      </c>
      <c r="F488">
        <v>224.8</v>
      </c>
      <c r="G488">
        <v>266.5</v>
      </c>
      <c r="H488">
        <v>4000</v>
      </c>
      <c r="I488">
        <v>5043.2</v>
      </c>
      <c r="J488">
        <v>1</v>
      </c>
      <c r="K488">
        <f t="shared" si="14"/>
        <v>491.3</v>
      </c>
      <c r="L488">
        <f>K488+energy_grid_portfolio_dataset!H488</f>
        <v>4491.3</v>
      </c>
      <c r="M488">
        <f t="shared" si="15"/>
        <v>6</v>
      </c>
    </row>
    <row r="489" spans="1:13" x14ac:dyDescent="0.3">
      <c r="A489" s="1">
        <v>46272.291666666664</v>
      </c>
      <c r="B489" t="s">
        <v>11</v>
      </c>
      <c r="C489">
        <v>25</v>
      </c>
      <c r="D489">
        <v>0.7</v>
      </c>
      <c r="E489">
        <v>18.3</v>
      </c>
      <c r="F489">
        <v>648.20000000000005</v>
      </c>
      <c r="G489">
        <v>982.1</v>
      </c>
      <c r="H489">
        <v>3488.6</v>
      </c>
      <c r="I489">
        <v>5118.8999999999996</v>
      </c>
      <c r="J489">
        <v>0</v>
      </c>
      <c r="K489">
        <f t="shared" si="14"/>
        <v>1630.3000000000002</v>
      </c>
      <c r="L489">
        <f>K489+energy_grid_portfolio_dataset!H489</f>
        <v>5118.8999999999996</v>
      </c>
      <c r="M489">
        <f t="shared" si="15"/>
        <v>7</v>
      </c>
    </row>
    <row r="490" spans="1:13" x14ac:dyDescent="0.3">
      <c r="A490" s="1">
        <v>46272.333333333336</v>
      </c>
      <c r="B490" t="s">
        <v>11</v>
      </c>
      <c r="C490">
        <v>25.3</v>
      </c>
      <c r="D490">
        <v>30.1</v>
      </c>
      <c r="E490">
        <v>18.899999999999999</v>
      </c>
      <c r="F490">
        <v>766.3</v>
      </c>
      <c r="G490">
        <v>1075.4000000000001</v>
      </c>
      <c r="H490">
        <v>2972.4</v>
      </c>
      <c r="I490">
        <v>4814.1000000000004</v>
      </c>
      <c r="J490">
        <v>0</v>
      </c>
      <c r="K490">
        <f t="shared" si="14"/>
        <v>1841.7</v>
      </c>
      <c r="L490">
        <f>K490+energy_grid_portfolio_dataset!H490</f>
        <v>4814.1000000000004</v>
      </c>
      <c r="M490">
        <f t="shared" si="15"/>
        <v>8</v>
      </c>
    </row>
    <row r="491" spans="1:13" x14ac:dyDescent="0.3">
      <c r="A491" s="1">
        <v>46272.375</v>
      </c>
      <c r="B491" t="s">
        <v>11</v>
      </c>
      <c r="C491">
        <v>30</v>
      </c>
      <c r="D491">
        <v>71.400000000000006</v>
      </c>
      <c r="E491">
        <v>13.1</v>
      </c>
      <c r="F491">
        <v>670.3</v>
      </c>
      <c r="G491">
        <v>361</v>
      </c>
      <c r="H491">
        <v>3598.3</v>
      </c>
      <c r="I491">
        <v>4629.6000000000004</v>
      </c>
      <c r="J491">
        <v>0</v>
      </c>
      <c r="K491">
        <f t="shared" si="14"/>
        <v>1031.3</v>
      </c>
      <c r="L491">
        <f>K491+energy_grid_portfolio_dataset!H491</f>
        <v>4629.6000000000004</v>
      </c>
      <c r="M491">
        <f t="shared" si="15"/>
        <v>9</v>
      </c>
    </row>
    <row r="492" spans="1:13" x14ac:dyDescent="0.3">
      <c r="A492" s="1">
        <v>46272.416666666664</v>
      </c>
      <c r="B492" t="s">
        <v>11</v>
      </c>
      <c r="C492">
        <v>27.7</v>
      </c>
      <c r="D492">
        <v>58</v>
      </c>
      <c r="E492">
        <v>15.2</v>
      </c>
      <c r="F492">
        <v>880.9</v>
      </c>
      <c r="G492">
        <v>564.79999999999995</v>
      </c>
      <c r="H492">
        <v>4000</v>
      </c>
      <c r="I492">
        <v>7141.8</v>
      </c>
      <c r="J492">
        <v>1</v>
      </c>
      <c r="K492">
        <f t="shared" si="14"/>
        <v>1445.6999999999998</v>
      </c>
      <c r="L492">
        <f>K492+energy_grid_portfolio_dataset!H492</f>
        <v>5445.7</v>
      </c>
      <c r="M492">
        <f t="shared" si="15"/>
        <v>10</v>
      </c>
    </row>
    <row r="493" spans="1:13" x14ac:dyDescent="0.3">
      <c r="A493" s="1">
        <v>46272.458333333336</v>
      </c>
      <c r="B493" t="s">
        <v>11</v>
      </c>
      <c r="C493">
        <v>28</v>
      </c>
      <c r="D493">
        <v>40.1</v>
      </c>
      <c r="E493">
        <v>11.2</v>
      </c>
      <c r="F493">
        <v>1110.8</v>
      </c>
      <c r="G493">
        <v>227.4</v>
      </c>
      <c r="H493">
        <v>4000</v>
      </c>
      <c r="I493">
        <v>7233.3</v>
      </c>
      <c r="J493">
        <v>1</v>
      </c>
      <c r="K493">
        <f t="shared" si="14"/>
        <v>1338.2</v>
      </c>
      <c r="L493">
        <f>K493+energy_grid_portfolio_dataset!H493</f>
        <v>5338.2</v>
      </c>
      <c r="M493">
        <f t="shared" si="15"/>
        <v>11</v>
      </c>
    </row>
    <row r="494" spans="1:13" x14ac:dyDescent="0.3">
      <c r="A494" s="1">
        <v>46272.5</v>
      </c>
      <c r="B494" t="s">
        <v>11</v>
      </c>
      <c r="C494">
        <v>29.1</v>
      </c>
      <c r="D494">
        <v>59.8</v>
      </c>
      <c r="E494">
        <v>0</v>
      </c>
      <c r="F494">
        <v>961.4</v>
      </c>
      <c r="G494">
        <v>0</v>
      </c>
      <c r="H494">
        <v>4000</v>
      </c>
      <c r="I494">
        <v>7120.8</v>
      </c>
      <c r="J494">
        <v>1</v>
      </c>
      <c r="K494">
        <f t="shared" si="14"/>
        <v>961.4</v>
      </c>
      <c r="L494">
        <f>K494+energy_grid_portfolio_dataset!H494</f>
        <v>4961.3999999999996</v>
      </c>
      <c r="M494">
        <f t="shared" si="15"/>
        <v>12</v>
      </c>
    </row>
    <row r="495" spans="1:13" x14ac:dyDescent="0.3">
      <c r="A495" s="1">
        <v>46272.541666666664</v>
      </c>
      <c r="B495" t="s">
        <v>11</v>
      </c>
      <c r="C495">
        <v>28.1</v>
      </c>
      <c r="D495">
        <v>44.5</v>
      </c>
      <c r="E495">
        <v>10.1</v>
      </c>
      <c r="F495">
        <v>1071.5999999999999</v>
      </c>
      <c r="G495">
        <v>162.80000000000001</v>
      </c>
      <c r="H495">
        <v>4000</v>
      </c>
      <c r="I495">
        <v>7248.4</v>
      </c>
      <c r="J495">
        <v>1</v>
      </c>
      <c r="K495">
        <f t="shared" si="14"/>
        <v>1234.3999999999999</v>
      </c>
      <c r="L495">
        <f>K495+energy_grid_portfolio_dataset!H495</f>
        <v>5234.3999999999996</v>
      </c>
      <c r="M495">
        <f t="shared" si="15"/>
        <v>13</v>
      </c>
    </row>
    <row r="496" spans="1:13" x14ac:dyDescent="0.3">
      <c r="A496" s="1">
        <v>46272.583333333336</v>
      </c>
      <c r="B496" t="s">
        <v>11</v>
      </c>
      <c r="C496">
        <v>28.4</v>
      </c>
      <c r="D496">
        <v>25.7</v>
      </c>
      <c r="E496">
        <v>14</v>
      </c>
      <c r="F496">
        <v>1143.2</v>
      </c>
      <c r="G496">
        <v>442.4</v>
      </c>
      <c r="H496">
        <v>4000</v>
      </c>
      <c r="I496">
        <v>7318.6</v>
      </c>
      <c r="J496">
        <v>1</v>
      </c>
      <c r="K496">
        <f t="shared" si="14"/>
        <v>1585.6</v>
      </c>
      <c r="L496">
        <f>K496+energy_grid_portfolio_dataset!H496</f>
        <v>5585.6</v>
      </c>
      <c r="M496">
        <f t="shared" si="15"/>
        <v>14</v>
      </c>
    </row>
    <row r="497" spans="1:13" x14ac:dyDescent="0.3">
      <c r="A497" s="1">
        <v>46272.625</v>
      </c>
      <c r="B497" t="s">
        <v>11</v>
      </c>
      <c r="C497">
        <v>25.4</v>
      </c>
      <c r="D497">
        <v>29.3</v>
      </c>
      <c r="E497">
        <v>16.3</v>
      </c>
      <c r="F497">
        <v>966.4</v>
      </c>
      <c r="G497">
        <v>694.4</v>
      </c>
      <c r="H497">
        <v>3143.5</v>
      </c>
      <c r="I497">
        <v>4804.3</v>
      </c>
      <c r="J497">
        <v>0</v>
      </c>
      <c r="K497">
        <f t="shared" si="14"/>
        <v>1660.8</v>
      </c>
      <c r="L497">
        <f>K497+energy_grid_portfolio_dataset!H497</f>
        <v>4804.3</v>
      </c>
      <c r="M497">
        <f t="shared" si="15"/>
        <v>15</v>
      </c>
    </row>
    <row r="498" spans="1:13" x14ac:dyDescent="0.3">
      <c r="A498" s="1">
        <v>46272.666666666664</v>
      </c>
      <c r="B498" t="s">
        <v>11</v>
      </c>
      <c r="C498">
        <v>26.5</v>
      </c>
      <c r="D498">
        <v>63.1</v>
      </c>
      <c r="E498">
        <v>14.6</v>
      </c>
      <c r="F498">
        <v>581</v>
      </c>
      <c r="G498">
        <v>496</v>
      </c>
      <c r="H498">
        <v>4000</v>
      </c>
      <c r="I498">
        <v>5093</v>
      </c>
      <c r="J498">
        <v>1</v>
      </c>
      <c r="K498">
        <f t="shared" si="14"/>
        <v>1077</v>
      </c>
      <c r="L498">
        <f>K498+energy_grid_portfolio_dataset!H498</f>
        <v>5077</v>
      </c>
      <c r="M498">
        <f t="shared" si="15"/>
        <v>16</v>
      </c>
    </row>
    <row r="499" spans="1:13" x14ac:dyDescent="0.3">
      <c r="A499" s="1">
        <v>46272.708333333336</v>
      </c>
      <c r="B499" t="s">
        <v>11</v>
      </c>
      <c r="C499">
        <v>25.5</v>
      </c>
      <c r="D499">
        <v>65</v>
      </c>
      <c r="E499">
        <v>15.8</v>
      </c>
      <c r="F499">
        <v>397</v>
      </c>
      <c r="G499">
        <v>627.70000000000005</v>
      </c>
      <c r="H499">
        <v>3829.1</v>
      </c>
      <c r="I499">
        <v>4853.8</v>
      </c>
      <c r="J499">
        <v>0</v>
      </c>
      <c r="K499">
        <f t="shared" si="14"/>
        <v>1024.7</v>
      </c>
      <c r="L499">
        <f>K499+energy_grid_portfolio_dataset!H499</f>
        <v>4853.8</v>
      </c>
      <c r="M499">
        <f t="shared" si="15"/>
        <v>17</v>
      </c>
    </row>
    <row r="500" spans="1:13" x14ac:dyDescent="0.3">
      <c r="A500" s="1">
        <v>46272.75</v>
      </c>
      <c r="B500" t="s">
        <v>11</v>
      </c>
      <c r="C500">
        <v>24.7</v>
      </c>
      <c r="D500">
        <v>53.8</v>
      </c>
      <c r="E500">
        <v>17.399999999999999</v>
      </c>
      <c r="F500">
        <v>226.1</v>
      </c>
      <c r="G500">
        <v>835.7</v>
      </c>
      <c r="H500">
        <v>4000</v>
      </c>
      <c r="I500">
        <v>7878.3</v>
      </c>
      <c r="J500">
        <v>1</v>
      </c>
      <c r="K500">
        <f t="shared" si="14"/>
        <v>1061.8</v>
      </c>
      <c r="L500">
        <f>K500+energy_grid_portfolio_dataset!H500</f>
        <v>5061.8</v>
      </c>
      <c r="M500">
        <f t="shared" si="15"/>
        <v>18</v>
      </c>
    </row>
    <row r="501" spans="1:13" x14ac:dyDescent="0.3">
      <c r="A501" s="1">
        <v>46272.791666666664</v>
      </c>
      <c r="B501" t="s">
        <v>11</v>
      </c>
      <c r="C501">
        <v>22.1</v>
      </c>
      <c r="D501">
        <v>40.9</v>
      </c>
      <c r="E501">
        <v>8.3000000000000007</v>
      </c>
      <c r="F501">
        <v>0</v>
      </c>
      <c r="G501">
        <v>90.7</v>
      </c>
      <c r="H501">
        <v>4000</v>
      </c>
      <c r="I501">
        <v>7696</v>
      </c>
      <c r="J501">
        <v>1</v>
      </c>
      <c r="K501">
        <f t="shared" si="14"/>
        <v>90.7</v>
      </c>
      <c r="L501">
        <f>K501+energy_grid_portfolio_dataset!H501</f>
        <v>4090.7</v>
      </c>
      <c r="M501">
        <f t="shared" si="15"/>
        <v>19</v>
      </c>
    </row>
    <row r="502" spans="1:13" x14ac:dyDescent="0.3">
      <c r="A502" s="1">
        <v>46272.833333333336</v>
      </c>
      <c r="B502" t="s">
        <v>11</v>
      </c>
      <c r="C502">
        <v>21.9</v>
      </c>
      <c r="D502">
        <v>25.2</v>
      </c>
      <c r="E502">
        <v>10.5</v>
      </c>
      <c r="F502">
        <v>0</v>
      </c>
      <c r="G502">
        <v>183.1</v>
      </c>
      <c r="H502">
        <v>4000</v>
      </c>
      <c r="I502">
        <v>7598.7</v>
      </c>
      <c r="J502">
        <v>1</v>
      </c>
      <c r="K502">
        <f t="shared" si="14"/>
        <v>183.1</v>
      </c>
      <c r="L502">
        <f>K502+energy_grid_portfolio_dataset!H502</f>
        <v>4183.1000000000004</v>
      </c>
      <c r="M502">
        <f t="shared" si="15"/>
        <v>20</v>
      </c>
    </row>
    <row r="503" spans="1:13" x14ac:dyDescent="0.3">
      <c r="A503" s="1">
        <v>46272.875</v>
      </c>
      <c r="B503" t="s">
        <v>11</v>
      </c>
      <c r="C503">
        <v>21.4</v>
      </c>
      <c r="D503">
        <v>45</v>
      </c>
      <c r="E503">
        <v>7.9</v>
      </c>
      <c r="F503">
        <v>0</v>
      </c>
      <c r="G503">
        <v>79.3</v>
      </c>
      <c r="H503">
        <v>4000</v>
      </c>
      <c r="I503">
        <v>7416</v>
      </c>
      <c r="J503">
        <v>1</v>
      </c>
      <c r="K503">
        <f t="shared" si="14"/>
        <v>79.3</v>
      </c>
      <c r="L503">
        <f>K503+energy_grid_portfolio_dataset!H503</f>
        <v>4079.3</v>
      </c>
      <c r="M503">
        <f t="shared" si="15"/>
        <v>21</v>
      </c>
    </row>
    <row r="504" spans="1:13" x14ac:dyDescent="0.3">
      <c r="A504" s="1">
        <v>46272.916666666664</v>
      </c>
      <c r="B504" t="s">
        <v>11</v>
      </c>
      <c r="C504">
        <v>21.5</v>
      </c>
      <c r="D504">
        <v>4.8</v>
      </c>
      <c r="E504">
        <v>8.1999999999999993</v>
      </c>
      <c r="F504">
        <v>0</v>
      </c>
      <c r="G504">
        <v>87.8</v>
      </c>
      <c r="H504">
        <v>4000</v>
      </c>
      <c r="I504">
        <v>5048.8999999999996</v>
      </c>
      <c r="J504">
        <v>1</v>
      </c>
      <c r="K504">
        <f t="shared" si="14"/>
        <v>87.8</v>
      </c>
      <c r="L504">
        <f>K504+energy_grid_portfolio_dataset!H504</f>
        <v>4087.8</v>
      </c>
      <c r="M504">
        <f t="shared" si="15"/>
        <v>22</v>
      </c>
    </row>
    <row r="505" spans="1:13" x14ac:dyDescent="0.3">
      <c r="A505" s="1">
        <v>46272.958333333336</v>
      </c>
      <c r="B505" t="s">
        <v>11</v>
      </c>
      <c r="C505">
        <v>19.2</v>
      </c>
      <c r="D505">
        <v>65.7</v>
      </c>
      <c r="E505">
        <v>11</v>
      </c>
      <c r="F505">
        <v>0</v>
      </c>
      <c r="G505">
        <v>214.8</v>
      </c>
      <c r="H505">
        <v>4000</v>
      </c>
      <c r="I505">
        <v>4834.6000000000004</v>
      </c>
      <c r="J505">
        <v>1</v>
      </c>
      <c r="K505">
        <f t="shared" si="14"/>
        <v>214.8</v>
      </c>
      <c r="L505">
        <f>K505+energy_grid_portfolio_dataset!H505</f>
        <v>4214.8</v>
      </c>
      <c r="M505">
        <f t="shared" si="15"/>
        <v>23</v>
      </c>
    </row>
    <row r="506" spans="1:13" x14ac:dyDescent="0.3">
      <c r="A506" s="1">
        <v>46273</v>
      </c>
      <c r="B506" t="s">
        <v>11</v>
      </c>
      <c r="C506">
        <v>18</v>
      </c>
      <c r="D506">
        <v>60.9</v>
      </c>
      <c r="E506">
        <v>5.8</v>
      </c>
      <c r="F506">
        <v>0</v>
      </c>
      <c r="G506">
        <v>31.3</v>
      </c>
      <c r="H506">
        <v>4000</v>
      </c>
      <c r="I506">
        <v>4910.3</v>
      </c>
      <c r="J506">
        <v>1</v>
      </c>
      <c r="K506">
        <f t="shared" si="14"/>
        <v>31.3</v>
      </c>
      <c r="L506">
        <f>K506+energy_grid_portfolio_dataset!H506</f>
        <v>4031.3</v>
      </c>
      <c r="M506">
        <f t="shared" si="15"/>
        <v>0</v>
      </c>
    </row>
    <row r="507" spans="1:13" x14ac:dyDescent="0.3">
      <c r="A507" s="1">
        <v>46273.041666666664</v>
      </c>
      <c r="B507" t="s">
        <v>11</v>
      </c>
      <c r="C507">
        <v>20.399999999999999</v>
      </c>
      <c r="D507">
        <v>79</v>
      </c>
      <c r="E507">
        <v>5.5</v>
      </c>
      <c r="F507">
        <v>0</v>
      </c>
      <c r="G507">
        <v>26</v>
      </c>
      <c r="H507">
        <v>4000</v>
      </c>
      <c r="I507">
        <v>4959</v>
      </c>
      <c r="J507">
        <v>1</v>
      </c>
      <c r="K507">
        <f t="shared" si="14"/>
        <v>26</v>
      </c>
      <c r="L507">
        <f>K507+energy_grid_portfolio_dataset!H507</f>
        <v>4026</v>
      </c>
      <c r="M507">
        <f t="shared" si="15"/>
        <v>1</v>
      </c>
    </row>
    <row r="508" spans="1:13" x14ac:dyDescent="0.3">
      <c r="A508" s="1">
        <v>46273.083333333336</v>
      </c>
      <c r="B508" t="s">
        <v>11</v>
      </c>
      <c r="C508">
        <v>20.7</v>
      </c>
      <c r="D508">
        <v>90</v>
      </c>
      <c r="E508">
        <v>18.2</v>
      </c>
      <c r="F508">
        <v>0</v>
      </c>
      <c r="G508">
        <v>963.7</v>
      </c>
      <c r="H508">
        <v>3533.4</v>
      </c>
      <c r="I508">
        <v>4497.1000000000004</v>
      </c>
      <c r="J508">
        <v>0</v>
      </c>
      <c r="K508">
        <f t="shared" si="14"/>
        <v>963.7</v>
      </c>
      <c r="L508">
        <f>K508+energy_grid_portfolio_dataset!H508</f>
        <v>4497.1000000000004</v>
      </c>
      <c r="M508">
        <f t="shared" si="15"/>
        <v>2</v>
      </c>
    </row>
    <row r="509" spans="1:13" x14ac:dyDescent="0.3">
      <c r="A509" s="1">
        <v>46273.125</v>
      </c>
      <c r="B509" t="s">
        <v>11</v>
      </c>
      <c r="C509">
        <v>20.7</v>
      </c>
      <c r="D509">
        <v>65.2</v>
      </c>
      <c r="E509">
        <v>7.1</v>
      </c>
      <c r="F509">
        <v>0</v>
      </c>
      <c r="G509">
        <v>58.1</v>
      </c>
      <c r="H509">
        <v>4000</v>
      </c>
      <c r="I509">
        <v>4981.3999999999996</v>
      </c>
      <c r="J509">
        <v>1</v>
      </c>
      <c r="K509">
        <f t="shared" si="14"/>
        <v>58.1</v>
      </c>
      <c r="L509">
        <f>K509+energy_grid_portfolio_dataset!H509</f>
        <v>4058.1</v>
      </c>
      <c r="M509">
        <f t="shared" si="15"/>
        <v>3</v>
      </c>
    </row>
    <row r="510" spans="1:13" x14ac:dyDescent="0.3">
      <c r="A510" s="1">
        <v>46273.166666666664</v>
      </c>
      <c r="B510" t="s">
        <v>11</v>
      </c>
      <c r="C510">
        <v>22.5</v>
      </c>
      <c r="D510">
        <v>71.5</v>
      </c>
      <c r="E510">
        <v>25.8</v>
      </c>
      <c r="F510">
        <v>0</v>
      </c>
      <c r="G510">
        <v>0</v>
      </c>
      <c r="H510">
        <v>4000</v>
      </c>
      <c r="I510">
        <v>5021.5</v>
      </c>
      <c r="J510">
        <v>1</v>
      </c>
      <c r="K510">
        <f t="shared" si="14"/>
        <v>0</v>
      </c>
      <c r="L510">
        <f>K510+energy_grid_portfolio_dataset!H510</f>
        <v>4000</v>
      </c>
      <c r="M510">
        <f t="shared" si="15"/>
        <v>4</v>
      </c>
    </row>
    <row r="511" spans="1:13" x14ac:dyDescent="0.3">
      <c r="A511" s="1">
        <v>46273.208333333336</v>
      </c>
      <c r="B511" t="s">
        <v>11</v>
      </c>
      <c r="C511">
        <v>22.5</v>
      </c>
      <c r="D511">
        <v>44.4</v>
      </c>
      <c r="E511">
        <v>3.2</v>
      </c>
      <c r="F511">
        <v>0</v>
      </c>
      <c r="G511">
        <v>5</v>
      </c>
      <c r="H511">
        <v>4000</v>
      </c>
      <c r="I511">
        <v>5008.8999999999996</v>
      </c>
      <c r="J511">
        <v>1</v>
      </c>
      <c r="K511">
        <f t="shared" si="14"/>
        <v>5</v>
      </c>
      <c r="L511">
        <f>K511+energy_grid_portfolio_dataset!H511</f>
        <v>4005</v>
      </c>
      <c r="M511">
        <f t="shared" si="15"/>
        <v>5</v>
      </c>
    </row>
    <row r="512" spans="1:13" x14ac:dyDescent="0.3">
      <c r="A512" s="1">
        <v>46273.25</v>
      </c>
      <c r="B512" t="s">
        <v>11</v>
      </c>
      <c r="C512">
        <v>23.6</v>
      </c>
      <c r="D512">
        <v>31.9</v>
      </c>
      <c r="E512">
        <v>12.8</v>
      </c>
      <c r="F512">
        <v>269.89999999999998</v>
      </c>
      <c r="G512">
        <v>332.5</v>
      </c>
      <c r="H512">
        <v>4000</v>
      </c>
      <c r="I512">
        <v>4845.8</v>
      </c>
      <c r="J512">
        <v>1</v>
      </c>
      <c r="K512">
        <f t="shared" si="14"/>
        <v>602.4</v>
      </c>
      <c r="L512">
        <f>K512+energy_grid_portfolio_dataset!H512</f>
        <v>4602.3999999999996</v>
      </c>
      <c r="M512">
        <f t="shared" si="15"/>
        <v>6</v>
      </c>
    </row>
    <row r="513" spans="1:13" x14ac:dyDescent="0.3">
      <c r="A513" s="1">
        <v>46273.291666666664</v>
      </c>
      <c r="B513" t="s">
        <v>11</v>
      </c>
      <c r="C513">
        <v>26.2</v>
      </c>
      <c r="D513">
        <v>45</v>
      </c>
      <c r="E513">
        <v>12</v>
      </c>
      <c r="F513">
        <v>475.1</v>
      </c>
      <c r="G513">
        <v>273.3</v>
      </c>
      <c r="H513">
        <v>4000</v>
      </c>
      <c r="I513">
        <v>4826.6000000000004</v>
      </c>
      <c r="J513">
        <v>1</v>
      </c>
      <c r="K513">
        <f t="shared" si="14"/>
        <v>748.40000000000009</v>
      </c>
      <c r="L513">
        <f>K513+energy_grid_portfolio_dataset!H513</f>
        <v>4748.3999999999996</v>
      </c>
      <c r="M513">
        <f t="shared" si="15"/>
        <v>7</v>
      </c>
    </row>
    <row r="514" spans="1:13" x14ac:dyDescent="0.3">
      <c r="A514" s="1">
        <v>46273.333333333336</v>
      </c>
      <c r="B514" t="s">
        <v>11</v>
      </c>
      <c r="C514">
        <v>26.2</v>
      </c>
      <c r="D514">
        <v>65.599999999999994</v>
      </c>
      <c r="E514">
        <v>7.7</v>
      </c>
      <c r="F514">
        <v>567</v>
      </c>
      <c r="G514">
        <v>72</v>
      </c>
      <c r="H514">
        <v>4000</v>
      </c>
      <c r="I514">
        <v>4900.8</v>
      </c>
      <c r="J514">
        <v>1</v>
      </c>
      <c r="K514">
        <f t="shared" si="14"/>
        <v>639</v>
      </c>
      <c r="L514">
        <f>K514+energy_grid_portfolio_dataset!H514</f>
        <v>4639</v>
      </c>
      <c r="M514">
        <f t="shared" si="15"/>
        <v>8</v>
      </c>
    </row>
    <row r="515" spans="1:13" x14ac:dyDescent="0.3">
      <c r="A515" s="1">
        <v>46273.375</v>
      </c>
      <c r="B515" t="s">
        <v>11</v>
      </c>
      <c r="C515">
        <v>26.5</v>
      </c>
      <c r="D515">
        <v>11.4</v>
      </c>
      <c r="E515">
        <v>7.9</v>
      </c>
      <c r="F515">
        <v>1092.9000000000001</v>
      </c>
      <c r="G515">
        <v>79</v>
      </c>
      <c r="H515">
        <v>3679.4</v>
      </c>
      <c r="I515">
        <v>4851.3</v>
      </c>
      <c r="J515">
        <v>0</v>
      </c>
      <c r="K515">
        <f t="shared" ref="K515:K578" si="16">F515+G515</f>
        <v>1171.9000000000001</v>
      </c>
      <c r="L515">
        <f>K515+energy_grid_portfolio_dataset!H515</f>
        <v>4851.3</v>
      </c>
      <c r="M515">
        <f t="shared" ref="M515:M578" si="17">HOUR(A515)</f>
        <v>9</v>
      </c>
    </row>
    <row r="516" spans="1:13" x14ac:dyDescent="0.3">
      <c r="A516" s="1">
        <v>46273.416666666664</v>
      </c>
      <c r="B516" t="s">
        <v>11</v>
      </c>
      <c r="C516">
        <v>28.3</v>
      </c>
      <c r="D516">
        <v>51.6</v>
      </c>
      <c r="E516">
        <v>13</v>
      </c>
      <c r="F516">
        <v>933.3</v>
      </c>
      <c r="G516">
        <v>348.9</v>
      </c>
      <c r="H516">
        <v>4000</v>
      </c>
      <c r="I516">
        <v>7078.6</v>
      </c>
      <c r="J516">
        <v>1</v>
      </c>
      <c r="K516">
        <f t="shared" si="16"/>
        <v>1282.1999999999998</v>
      </c>
      <c r="L516">
        <f>K516+energy_grid_portfolio_dataset!H516</f>
        <v>5282.2</v>
      </c>
      <c r="M516">
        <f t="shared" si="17"/>
        <v>10</v>
      </c>
    </row>
    <row r="517" spans="1:13" x14ac:dyDescent="0.3">
      <c r="A517" s="1">
        <v>46273.458333333336</v>
      </c>
      <c r="B517" t="s">
        <v>11</v>
      </c>
      <c r="C517">
        <v>27.7</v>
      </c>
      <c r="D517">
        <v>54.8</v>
      </c>
      <c r="E517">
        <v>11.5</v>
      </c>
      <c r="F517">
        <v>981.9</v>
      </c>
      <c r="G517">
        <v>242.3</v>
      </c>
      <c r="H517">
        <v>4000</v>
      </c>
      <c r="I517">
        <v>7277.6</v>
      </c>
      <c r="J517">
        <v>1</v>
      </c>
      <c r="K517">
        <f t="shared" si="16"/>
        <v>1224.2</v>
      </c>
      <c r="L517">
        <f>K517+energy_grid_portfolio_dataset!H517</f>
        <v>5224.2</v>
      </c>
      <c r="M517">
        <f t="shared" si="17"/>
        <v>11</v>
      </c>
    </row>
    <row r="518" spans="1:13" x14ac:dyDescent="0.3">
      <c r="A518" s="1">
        <v>46273.5</v>
      </c>
      <c r="B518" t="s">
        <v>11</v>
      </c>
      <c r="C518">
        <v>27.4</v>
      </c>
      <c r="D518">
        <v>0</v>
      </c>
      <c r="E518">
        <v>11.3</v>
      </c>
      <c r="F518">
        <v>1500</v>
      </c>
      <c r="G518">
        <v>232.6</v>
      </c>
      <c r="H518">
        <v>4000</v>
      </c>
      <c r="I518">
        <v>7189.8</v>
      </c>
      <c r="J518">
        <v>1</v>
      </c>
      <c r="K518">
        <f t="shared" si="16"/>
        <v>1732.6</v>
      </c>
      <c r="L518">
        <f>K518+energy_grid_portfolio_dataset!H518</f>
        <v>5732.6</v>
      </c>
      <c r="M518">
        <f t="shared" si="17"/>
        <v>12</v>
      </c>
    </row>
    <row r="519" spans="1:13" x14ac:dyDescent="0.3">
      <c r="A519" s="1">
        <v>46273.541666666664</v>
      </c>
      <c r="B519" t="s">
        <v>11</v>
      </c>
      <c r="C519">
        <v>28.8</v>
      </c>
      <c r="D519">
        <v>69.099999999999994</v>
      </c>
      <c r="E519">
        <v>18.2</v>
      </c>
      <c r="F519">
        <v>855.8</v>
      </c>
      <c r="G519">
        <v>961.5</v>
      </c>
      <c r="H519">
        <v>4000</v>
      </c>
      <c r="I519">
        <v>7363.4</v>
      </c>
      <c r="J519">
        <v>1</v>
      </c>
      <c r="K519">
        <f t="shared" si="16"/>
        <v>1817.3</v>
      </c>
      <c r="L519">
        <f>K519+energy_grid_portfolio_dataset!H519</f>
        <v>5817.3</v>
      </c>
      <c r="M519">
        <f t="shared" si="17"/>
        <v>13</v>
      </c>
    </row>
    <row r="520" spans="1:13" x14ac:dyDescent="0.3">
      <c r="A520" s="1">
        <v>46273.583333333336</v>
      </c>
      <c r="B520" t="s">
        <v>11</v>
      </c>
      <c r="C520">
        <v>27.7</v>
      </c>
      <c r="D520">
        <v>29.6</v>
      </c>
      <c r="E520">
        <v>10.4</v>
      </c>
      <c r="F520">
        <v>1111.8</v>
      </c>
      <c r="G520">
        <v>181</v>
      </c>
      <c r="H520">
        <v>4000</v>
      </c>
      <c r="I520">
        <v>7163.3</v>
      </c>
      <c r="J520">
        <v>1</v>
      </c>
      <c r="K520">
        <f t="shared" si="16"/>
        <v>1292.8</v>
      </c>
      <c r="L520">
        <f>K520+energy_grid_portfolio_dataset!H520</f>
        <v>5292.8</v>
      </c>
      <c r="M520">
        <f t="shared" si="17"/>
        <v>14</v>
      </c>
    </row>
    <row r="521" spans="1:13" x14ac:dyDescent="0.3">
      <c r="A521" s="1">
        <v>46273.625</v>
      </c>
      <c r="B521" t="s">
        <v>11</v>
      </c>
      <c r="C521">
        <v>28</v>
      </c>
      <c r="D521">
        <v>41.5</v>
      </c>
      <c r="E521">
        <v>9.6999999999999993</v>
      </c>
      <c r="F521">
        <v>880.6</v>
      </c>
      <c r="G521">
        <v>148.30000000000001</v>
      </c>
      <c r="H521">
        <v>4000</v>
      </c>
      <c r="I521">
        <v>5042.3999999999996</v>
      </c>
      <c r="J521">
        <v>1</v>
      </c>
      <c r="K521">
        <f t="shared" si="16"/>
        <v>1028.9000000000001</v>
      </c>
      <c r="L521">
        <f>K521+energy_grid_portfolio_dataset!H521</f>
        <v>5028.8999999999996</v>
      </c>
      <c r="M521">
        <f t="shared" si="17"/>
        <v>15</v>
      </c>
    </row>
    <row r="522" spans="1:13" x14ac:dyDescent="0.3">
      <c r="A522" s="1">
        <v>46273.666666666664</v>
      </c>
      <c r="B522" t="s">
        <v>11</v>
      </c>
      <c r="C522">
        <v>26.6</v>
      </c>
      <c r="D522">
        <v>8.9</v>
      </c>
      <c r="E522">
        <v>0.5</v>
      </c>
      <c r="F522">
        <v>885.3</v>
      </c>
      <c r="G522">
        <v>0</v>
      </c>
      <c r="H522">
        <v>4000</v>
      </c>
      <c r="I522">
        <v>4950.1000000000004</v>
      </c>
      <c r="J522">
        <v>1</v>
      </c>
      <c r="K522">
        <f t="shared" si="16"/>
        <v>885.3</v>
      </c>
      <c r="L522">
        <f>K522+energy_grid_portfolio_dataset!H522</f>
        <v>4885.3</v>
      </c>
      <c r="M522">
        <f t="shared" si="17"/>
        <v>16</v>
      </c>
    </row>
    <row r="523" spans="1:13" x14ac:dyDescent="0.3">
      <c r="A523" s="1">
        <v>46273.708333333336</v>
      </c>
      <c r="B523" t="s">
        <v>11</v>
      </c>
      <c r="C523">
        <v>23.8</v>
      </c>
      <c r="D523">
        <v>32.299999999999997</v>
      </c>
      <c r="E523">
        <v>11.3</v>
      </c>
      <c r="F523">
        <v>524.70000000000005</v>
      </c>
      <c r="G523">
        <v>228.5</v>
      </c>
      <c r="H523">
        <v>4000</v>
      </c>
      <c r="I523">
        <v>4867.3999999999996</v>
      </c>
      <c r="J523">
        <v>1</v>
      </c>
      <c r="K523">
        <f t="shared" si="16"/>
        <v>753.2</v>
      </c>
      <c r="L523">
        <f>K523+energy_grid_portfolio_dataset!H523</f>
        <v>4753.2</v>
      </c>
      <c r="M523">
        <f t="shared" si="17"/>
        <v>17</v>
      </c>
    </row>
    <row r="524" spans="1:13" x14ac:dyDescent="0.3">
      <c r="A524" s="1">
        <v>46273.75</v>
      </c>
      <c r="B524" t="s">
        <v>11</v>
      </c>
      <c r="C524">
        <v>25.5</v>
      </c>
      <c r="D524">
        <v>53.2</v>
      </c>
      <c r="E524">
        <v>13.5</v>
      </c>
      <c r="F524">
        <v>227.3</v>
      </c>
      <c r="G524">
        <v>393.9</v>
      </c>
      <c r="H524">
        <v>4000</v>
      </c>
      <c r="I524">
        <v>7632</v>
      </c>
      <c r="J524">
        <v>1</v>
      </c>
      <c r="K524">
        <f t="shared" si="16"/>
        <v>621.20000000000005</v>
      </c>
      <c r="L524">
        <f>K524+energy_grid_portfolio_dataset!H524</f>
        <v>4621.2</v>
      </c>
      <c r="M524">
        <f t="shared" si="17"/>
        <v>18</v>
      </c>
    </row>
    <row r="525" spans="1:13" x14ac:dyDescent="0.3">
      <c r="A525" s="1">
        <v>46273.791666666664</v>
      </c>
      <c r="B525" t="s">
        <v>11</v>
      </c>
      <c r="C525">
        <v>21.8</v>
      </c>
      <c r="D525">
        <v>71</v>
      </c>
      <c r="E525">
        <v>11.6</v>
      </c>
      <c r="F525">
        <v>0</v>
      </c>
      <c r="G525">
        <v>251.1</v>
      </c>
      <c r="H525">
        <v>4000</v>
      </c>
      <c r="I525">
        <v>7793.3</v>
      </c>
      <c r="J525">
        <v>1</v>
      </c>
      <c r="K525">
        <f t="shared" si="16"/>
        <v>251.1</v>
      </c>
      <c r="L525">
        <f>K525+energy_grid_portfolio_dataset!H525</f>
        <v>4251.1000000000004</v>
      </c>
      <c r="M525">
        <f t="shared" si="17"/>
        <v>19</v>
      </c>
    </row>
    <row r="526" spans="1:13" x14ac:dyDescent="0.3">
      <c r="A526" s="1">
        <v>46273.833333333336</v>
      </c>
      <c r="B526" t="s">
        <v>11</v>
      </c>
      <c r="C526">
        <v>20.9</v>
      </c>
      <c r="D526">
        <v>6.2</v>
      </c>
      <c r="E526">
        <v>16.100000000000001</v>
      </c>
      <c r="F526">
        <v>0</v>
      </c>
      <c r="G526">
        <v>666.4</v>
      </c>
      <c r="H526">
        <v>4000</v>
      </c>
      <c r="I526">
        <v>7800.6</v>
      </c>
      <c r="J526">
        <v>1</v>
      </c>
      <c r="K526">
        <f t="shared" si="16"/>
        <v>666.4</v>
      </c>
      <c r="L526">
        <f>K526+energy_grid_portfolio_dataset!H526</f>
        <v>4666.3999999999996</v>
      </c>
      <c r="M526">
        <f t="shared" si="17"/>
        <v>20</v>
      </c>
    </row>
    <row r="527" spans="1:13" x14ac:dyDescent="0.3">
      <c r="A527" s="1">
        <v>46273.875</v>
      </c>
      <c r="B527" t="s">
        <v>11</v>
      </c>
      <c r="C527">
        <v>20.3</v>
      </c>
      <c r="D527">
        <v>23.3</v>
      </c>
      <c r="E527">
        <v>17.600000000000001</v>
      </c>
      <c r="F527">
        <v>0</v>
      </c>
      <c r="G527">
        <v>876.3</v>
      </c>
      <c r="H527">
        <v>4000</v>
      </c>
      <c r="I527">
        <v>7756.5</v>
      </c>
      <c r="J527">
        <v>1</v>
      </c>
      <c r="K527">
        <f t="shared" si="16"/>
        <v>876.3</v>
      </c>
      <c r="L527">
        <f>K527+energy_grid_portfolio_dataset!H527</f>
        <v>4876.3</v>
      </c>
      <c r="M527">
        <f t="shared" si="17"/>
        <v>21</v>
      </c>
    </row>
    <row r="528" spans="1:13" x14ac:dyDescent="0.3">
      <c r="A528" s="1">
        <v>46273.916666666664</v>
      </c>
      <c r="B528" t="s">
        <v>11</v>
      </c>
      <c r="C528">
        <v>22.2</v>
      </c>
      <c r="D528">
        <v>22.5</v>
      </c>
      <c r="E528">
        <v>15.2</v>
      </c>
      <c r="F528">
        <v>0</v>
      </c>
      <c r="G528">
        <v>561</v>
      </c>
      <c r="H528">
        <v>4000</v>
      </c>
      <c r="I528">
        <v>4771.6000000000004</v>
      </c>
      <c r="J528">
        <v>1</v>
      </c>
      <c r="K528">
        <f t="shared" si="16"/>
        <v>561</v>
      </c>
      <c r="L528">
        <f>K528+energy_grid_portfolio_dataset!H528</f>
        <v>4561</v>
      </c>
      <c r="M528">
        <f t="shared" si="17"/>
        <v>22</v>
      </c>
    </row>
    <row r="529" spans="1:13" x14ac:dyDescent="0.3">
      <c r="A529" s="1">
        <v>46273.958333333336</v>
      </c>
      <c r="B529" t="s">
        <v>11</v>
      </c>
      <c r="C529">
        <v>20.7</v>
      </c>
      <c r="D529">
        <v>31.4</v>
      </c>
      <c r="E529">
        <v>11.2</v>
      </c>
      <c r="F529">
        <v>0</v>
      </c>
      <c r="G529">
        <v>223.9</v>
      </c>
      <c r="H529">
        <v>4000</v>
      </c>
      <c r="I529">
        <v>4900.7</v>
      </c>
      <c r="J529">
        <v>1</v>
      </c>
      <c r="K529">
        <f t="shared" si="16"/>
        <v>223.9</v>
      </c>
      <c r="L529">
        <f>K529+energy_grid_portfolio_dataset!H529</f>
        <v>4223.8999999999996</v>
      </c>
      <c r="M529">
        <f t="shared" si="17"/>
        <v>23</v>
      </c>
    </row>
    <row r="530" spans="1:13" x14ac:dyDescent="0.3">
      <c r="A530" s="1">
        <v>46274</v>
      </c>
      <c r="B530" t="s">
        <v>11</v>
      </c>
      <c r="C530">
        <v>19</v>
      </c>
      <c r="D530">
        <v>63.5</v>
      </c>
      <c r="E530">
        <v>9.4</v>
      </c>
      <c r="F530">
        <v>0</v>
      </c>
      <c r="G530">
        <v>134.30000000000001</v>
      </c>
      <c r="H530">
        <v>4000</v>
      </c>
      <c r="I530">
        <v>4956.1000000000004</v>
      </c>
      <c r="J530">
        <v>1</v>
      </c>
      <c r="K530">
        <f t="shared" si="16"/>
        <v>134.30000000000001</v>
      </c>
      <c r="L530">
        <f>K530+energy_grid_portfolio_dataset!H530</f>
        <v>4134.3</v>
      </c>
      <c r="M530">
        <f t="shared" si="17"/>
        <v>0</v>
      </c>
    </row>
    <row r="531" spans="1:13" x14ac:dyDescent="0.3">
      <c r="A531" s="1">
        <v>46274.041666666664</v>
      </c>
      <c r="B531" t="s">
        <v>11</v>
      </c>
      <c r="C531">
        <v>19.100000000000001</v>
      </c>
      <c r="D531">
        <v>0</v>
      </c>
      <c r="E531">
        <v>11</v>
      </c>
      <c r="F531">
        <v>0</v>
      </c>
      <c r="G531">
        <v>215.6</v>
      </c>
      <c r="H531">
        <v>4000</v>
      </c>
      <c r="I531">
        <v>4915.7</v>
      </c>
      <c r="J531">
        <v>1</v>
      </c>
      <c r="K531">
        <f t="shared" si="16"/>
        <v>215.6</v>
      </c>
      <c r="L531">
        <f>K531+energy_grid_portfolio_dataset!H531</f>
        <v>4215.6000000000004</v>
      </c>
      <c r="M531">
        <f t="shared" si="17"/>
        <v>1</v>
      </c>
    </row>
    <row r="532" spans="1:13" x14ac:dyDescent="0.3">
      <c r="A532" s="1">
        <v>46274.083333333336</v>
      </c>
      <c r="B532" t="s">
        <v>11</v>
      </c>
      <c r="C532">
        <v>21.3</v>
      </c>
      <c r="D532">
        <v>44.5</v>
      </c>
      <c r="E532">
        <v>10.7</v>
      </c>
      <c r="F532">
        <v>0</v>
      </c>
      <c r="G532">
        <v>195.2</v>
      </c>
      <c r="H532">
        <v>4000</v>
      </c>
      <c r="I532">
        <v>5311.9</v>
      </c>
      <c r="J532">
        <v>1</v>
      </c>
      <c r="K532">
        <f t="shared" si="16"/>
        <v>195.2</v>
      </c>
      <c r="L532">
        <f>K532+energy_grid_portfolio_dataset!H532</f>
        <v>4195.2</v>
      </c>
      <c r="M532">
        <f t="shared" si="17"/>
        <v>2</v>
      </c>
    </row>
    <row r="533" spans="1:13" x14ac:dyDescent="0.3">
      <c r="A533" s="1">
        <v>46274.125</v>
      </c>
      <c r="B533" t="s">
        <v>11</v>
      </c>
      <c r="C533">
        <v>21.7</v>
      </c>
      <c r="D533">
        <v>15.5</v>
      </c>
      <c r="E533">
        <v>17.600000000000001</v>
      </c>
      <c r="F533">
        <v>0</v>
      </c>
      <c r="G533">
        <v>868.1</v>
      </c>
      <c r="H533">
        <v>4000</v>
      </c>
      <c r="I533">
        <v>4953.3999999999996</v>
      </c>
      <c r="J533">
        <v>1</v>
      </c>
      <c r="K533">
        <f t="shared" si="16"/>
        <v>868.1</v>
      </c>
      <c r="L533">
        <f>K533+energy_grid_portfolio_dataset!H533</f>
        <v>4868.1000000000004</v>
      </c>
      <c r="M533">
        <f t="shared" si="17"/>
        <v>3</v>
      </c>
    </row>
    <row r="534" spans="1:13" x14ac:dyDescent="0.3">
      <c r="A534" s="1">
        <v>46274.166666666664</v>
      </c>
      <c r="B534" t="s">
        <v>11</v>
      </c>
      <c r="C534">
        <v>22.7</v>
      </c>
      <c r="D534">
        <v>56</v>
      </c>
      <c r="E534">
        <v>12.1</v>
      </c>
      <c r="F534">
        <v>0</v>
      </c>
      <c r="G534">
        <v>283.3</v>
      </c>
      <c r="H534">
        <v>4000</v>
      </c>
      <c r="I534">
        <v>5057.3</v>
      </c>
      <c r="J534">
        <v>1</v>
      </c>
      <c r="K534">
        <f t="shared" si="16"/>
        <v>283.3</v>
      </c>
      <c r="L534">
        <f>K534+energy_grid_portfolio_dataset!H534</f>
        <v>4283.3</v>
      </c>
      <c r="M534">
        <f t="shared" si="17"/>
        <v>4</v>
      </c>
    </row>
    <row r="535" spans="1:13" x14ac:dyDescent="0.3">
      <c r="A535" s="1">
        <v>46274.208333333336</v>
      </c>
      <c r="B535" t="s">
        <v>11</v>
      </c>
      <c r="C535">
        <v>23.6</v>
      </c>
      <c r="D535">
        <v>36.1</v>
      </c>
      <c r="E535">
        <v>9.1</v>
      </c>
      <c r="F535">
        <v>0</v>
      </c>
      <c r="G535">
        <v>121.8</v>
      </c>
      <c r="H535">
        <v>4000</v>
      </c>
      <c r="I535">
        <v>5050.8999999999996</v>
      </c>
      <c r="J535">
        <v>1</v>
      </c>
      <c r="K535">
        <f t="shared" si="16"/>
        <v>121.8</v>
      </c>
      <c r="L535">
        <f>K535+energy_grid_portfolio_dataset!H535</f>
        <v>4121.8</v>
      </c>
      <c r="M535">
        <f t="shared" si="17"/>
        <v>5</v>
      </c>
    </row>
    <row r="536" spans="1:13" x14ac:dyDescent="0.3">
      <c r="A536" s="1">
        <v>46274.25</v>
      </c>
      <c r="B536" t="s">
        <v>11</v>
      </c>
      <c r="C536">
        <v>25.5</v>
      </c>
      <c r="D536">
        <v>14</v>
      </c>
      <c r="E536">
        <v>4.7</v>
      </c>
      <c r="F536">
        <v>305.7</v>
      </c>
      <c r="G536">
        <v>16.2</v>
      </c>
      <c r="H536">
        <v>4000</v>
      </c>
      <c r="I536">
        <v>4965.3</v>
      </c>
      <c r="J536">
        <v>1</v>
      </c>
      <c r="K536">
        <f t="shared" si="16"/>
        <v>321.89999999999998</v>
      </c>
      <c r="L536">
        <f>K536+energy_grid_portfolio_dataset!H536</f>
        <v>4321.8999999999996</v>
      </c>
      <c r="M536">
        <f t="shared" si="17"/>
        <v>6</v>
      </c>
    </row>
    <row r="537" spans="1:13" x14ac:dyDescent="0.3">
      <c r="A537" s="1">
        <v>46274.291666666664</v>
      </c>
      <c r="B537" t="s">
        <v>11</v>
      </c>
      <c r="C537">
        <v>25.1</v>
      </c>
      <c r="D537">
        <v>49.3</v>
      </c>
      <c r="E537">
        <v>13.2</v>
      </c>
      <c r="F537">
        <v>458.2</v>
      </c>
      <c r="G537">
        <v>369.7</v>
      </c>
      <c r="H537">
        <v>4000</v>
      </c>
      <c r="I537">
        <v>4974.7</v>
      </c>
      <c r="J537">
        <v>1</v>
      </c>
      <c r="K537">
        <f t="shared" si="16"/>
        <v>827.9</v>
      </c>
      <c r="L537">
        <f>K537+energy_grid_portfolio_dataset!H537</f>
        <v>4827.8999999999996</v>
      </c>
      <c r="M537">
        <f t="shared" si="17"/>
        <v>7</v>
      </c>
    </row>
    <row r="538" spans="1:13" x14ac:dyDescent="0.3">
      <c r="A538" s="1">
        <v>46274.333333333336</v>
      </c>
      <c r="B538" t="s">
        <v>11</v>
      </c>
      <c r="C538">
        <v>27.5</v>
      </c>
      <c r="D538">
        <v>5</v>
      </c>
      <c r="E538">
        <v>7.9</v>
      </c>
      <c r="F538">
        <v>907.3</v>
      </c>
      <c r="G538">
        <v>77.599999999999994</v>
      </c>
      <c r="H538">
        <v>3931.6</v>
      </c>
      <c r="I538">
        <v>4916.5</v>
      </c>
      <c r="J538">
        <v>0</v>
      </c>
      <c r="K538">
        <f t="shared" si="16"/>
        <v>984.9</v>
      </c>
      <c r="L538">
        <f>K538+energy_grid_portfolio_dataset!H538</f>
        <v>4916.5</v>
      </c>
      <c r="M538">
        <f t="shared" si="17"/>
        <v>8</v>
      </c>
    </row>
    <row r="539" spans="1:13" x14ac:dyDescent="0.3">
      <c r="A539" s="1">
        <v>46274.375</v>
      </c>
      <c r="B539" t="s">
        <v>11</v>
      </c>
      <c r="C539">
        <v>25.2</v>
      </c>
      <c r="D539">
        <v>40.6</v>
      </c>
      <c r="E539">
        <v>20.3</v>
      </c>
      <c r="F539">
        <v>887</v>
      </c>
      <c r="G539">
        <v>1339.9</v>
      </c>
      <c r="H539">
        <v>2707.6</v>
      </c>
      <c r="I539">
        <v>4934.5</v>
      </c>
      <c r="J539">
        <v>0</v>
      </c>
      <c r="K539">
        <f t="shared" si="16"/>
        <v>2226.9</v>
      </c>
      <c r="L539">
        <f>K539+energy_grid_portfolio_dataset!H539</f>
        <v>4934.5</v>
      </c>
      <c r="M539">
        <f t="shared" si="17"/>
        <v>9</v>
      </c>
    </row>
    <row r="540" spans="1:13" x14ac:dyDescent="0.3">
      <c r="A540" s="1">
        <v>46274.416666666664</v>
      </c>
      <c r="B540" t="s">
        <v>11</v>
      </c>
      <c r="C540">
        <v>27.7</v>
      </c>
      <c r="D540">
        <v>13.5</v>
      </c>
      <c r="E540">
        <v>8.9</v>
      </c>
      <c r="F540">
        <v>1242</v>
      </c>
      <c r="G540">
        <v>113.5</v>
      </c>
      <c r="H540">
        <v>4000</v>
      </c>
      <c r="I540">
        <v>7153.1</v>
      </c>
      <c r="J540">
        <v>1</v>
      </c>
      <c r="K540">
        <f t="shared" si="16"/>
        <v>1355.5</v>
      </c>
      <c r="L540">
        <f>K540+energy_grid_portfolio_dataset!H540</f>
        <v>5355.5</v>
      </c>
      <c r="M540">
        <f t="shared" si="17"/>
        <v>10</v>
      </c>
    </row>
    <row r="541" spans="1:13" x14ac:dyDescent="0.3">
      <c r="A541" s="1">
        <v>46274.458333333336</v>
      </c>
      <c r="B541" t="s">
        <v>11</v>
      </c>
      <c r="C541">
        <v>27.5</v>
      </c>
      <c r="D541">
        <v>77</v>
      </c>
      <c r="E541">
        <v>14.8</v>
      </c>
      <c r="F541">
        <v>786.4</v>
      </c>
      <c r="G541">
        <v>517.5</v>
      </c>
      <c r="H541">
        <v>4000</v>
      </c>
      <c r="I541">
        <v>7093.7</v>
      </c>
      <c r="J541">
        <v>1</v>
      </c>
      <c r="K541">
        <f t="shared" si="16"/>
        <v>1303.9000000000001</v>
      </c>
      <c r="L541">
        <f>K541+energy_grid_portfolio_dataset!H541</f>
        <v>5303.9</v>
      </c>
      <c r="M541">
        <f t="shared" si="17"/>
        <v>11</v>
      </c>
    </row>
    <row r="542" spans="1:13" x14ac:dyDescent="0.3">
      <c r="A542" s="1">
        <v>46274.5</v>
      </c>
      <c r="B542" t="s">
        <v>11</v>
      </c>
      <c r="C542">
        <v>28.2</v>
      </c>
      <c r="D542">
        <v>57.5</v>
      </c>
      <c r="E542">
        <v>17.7</v>
      </c>
      <c r="F542">
        <v>982.9</v>
      </c>
      <c r="G542">
        <v>887.3</v>
      </c>
      <c r="H542">
        <v>4000</v>
      </c>
      <c r="I542">
        <v>6983.3</v>
      </c>
      <c r="J542">
        <v>1</v>
      </c>
      <c r="K542">
        <f t="shared" si="16"/>
        <v>1870.1999999999998</v>
      </c>
      <c r="L542">
        <f>K542+energy_grid_portfolio_dataset!H542</f>
        <v>5870.2</v>
      </c>
      <c r="M542">
        <f t="shared" si="17"/>
        <v>12</v>
      </c>
    </row>
    <row r="543" spans="1:13" x14ac:dyDescent="0.3">
      <c r="A543" s="1">
        <v>46274.541666666664</v>
      </c>
      <c r="B543" t="s">
        <v>11</v>
      </c>
      <c r="C543">
        <v>26.8</v>
      </c>
      <c r="D543">
        <v>24.7</v>
      </c>
      <c r="E543">
        <v>5.7</v>
      </c>
      <c r="F543">
        <v>1245.4000000000001</v>
      </c>
      <c r="G543">
        <v>29.8</v>
      </c>
      <c r="H543">
        <v>4000</v>
      </c>
      <c r="I543">
        <v>7387.1</v>
      </c>
      <c r="J543">
        <v>1</v>
      </c>
      <c r="K543">
        <f t="shared" si="16"/>
        <v>1275.2</v>
      </c>
      <c r="L543">
        <f>K543+energy_grid_portfolio_dataset!H543</f>
        <v>5275.2</v>
      </c>
      <c r="M543">
        <f t="shared" si="17"/>
        <v>13</v>
      </c>
    </row>
    <row r="544" spans="1:13" x14ac:dyDescent="0.3">
      <c r="A544" s="1">
        <v>46274.583333333336</v>
      </c>
      <c r="B544" t="s">
        <v>11</v>
      </c>
      <c r="C544">
        <v>27.9</v>
      </c>
      <c r="D544">
        <v>69.7</v>
      </c>
      <c r="E544">
        <v>11.6</v>
      </c>
      <c r="F544">
        <v>786.4</v>
      </c>
      <c r="G544">
        <v>251.1</v>
      </c>
      <c r="H544">
        <v>4000</v>
      </c>
      <c r="I544">
        <v>7114.9</v>
      </c>
      <c r="J544">
        <v>1</v>
      </c>
      <c r="K544">
        <f t="shared" si="16"/>
        <v>1037.5</v>
      </c>
      <c r="L544">
        <f>K544+energy_grid_portfolio_dataset!H544</f>
        <v>5037.5</v>
      </c>
      <c r="M544">
        <f t="shared" si="17"/>
        <v>14</v>
      </c>
    </row>
    <row r="545" spans="1:13" x14ac:dyDescent="0.3">
      <c r="A545" s="1">
        <v>46274.625</v>
      </c>
      <c r="B545" t="s">
        <v>11</v>
      </c>
      <c r="C545">
        <v>27</v>
      </c>
      <c r="D545">
        <v>24.1</v>
      </c>
      <c r="E545">
        <v>22.4</v>
      </c>
      <c r="F545">
        <v>1003</v>
      </c>
      <c r="G545">
        <v>1809.8</v>
      </c>
      <c r="H545">
        <v>2089.1999999999998</v>
      </c>
      <c r="I545">
        <v>4902</v>
      </c>
      <c r="J545">
        <v>0</v>
      </c>
      <c r="K545">
        <f t="shared" si="16"/>
        <v>2812.8</v>
      </c>
      <c r="L545">
        <f>K545+energy_grid_portfolio_dataset!H545</f>
        <v>4902</v>
      </c>
      <c r="M545">
        <f t="shared" si="17"/>
        <v>15</v>
      </c>
    </row>
    <row r="546" spans="1:13" x14ac:dyDescent="0.3">
      <c r="A546" s="1">
        <v>46274.666666666664</v>
      </c>
      <c r="B546" t="s">
        <v>11</v>
      </c>
      <c r="C546">
        <v>26.2</v>
      </c>
      <c r="D546">
        <v>95.6</v>
      </c>
      <c r="E546">
        <v>12</v>
      </c>
      <c r="F546">
        <v>398.8</v>
      </c>
      <c r="G546">
        <v>278.8</v>
      </c>
      <c r="H546">
        <v>4000</v>
      </c>
      <c r="I546">
        <v>4708.8999999999996</v>
      </c>
      <c r="J546">
        <v>1</v>
      </c>
      <c r="K546">
        <f t="shared" si="16"/>
        <v>677.6</v>
      </c>
      <c r="L546">
        <f>K546+energy_grid_portfolio_dataset!H546</f>
        <v>4677.6000000000004</v>
      </c>
      <c r="M546">
        <f t="shared" si="17"/>
        <v>16</v>
      </c>
    </row>
    <row r="547" spans="1:13" x14ac:dyDescent="0.3">
      <c r="A547" s="1">
        <v>46274.708333333336</v>
      </c>
      <c r="B547" t="s">
        <v>11</v>
      </c>
      <c r="C547">
        <v>24.7</v>
      </c>
      <c r="D547">
        <v>40.5</v>
      </c>
      <c r="E547">
        <v>18.899999999999999</v>
      </c>
      <c r="F547">
        <v>492.7</v>
      </c>
      <c r="G547">
        <v>1074.0999999999999</v>
      </c>
      <c r="H547">
        <v>3354.7</v>
      </c>
      <c r="I547">
        <v>4921.5</v>
      </c>
      <c r="J547">
        <v>0</v>
      </c>
      <c r="K547">
        <f t="shared" si="16"/>
        <v>1566.8</v>
      </c>
      <c r="L547">
        <f>K547+energy_grid_portfolio_dataset!H547</f>
        <v>4921.5</v>
      </c>
      <c r="M547">
        <f t="shared" si="17"/>
        <v>17</v>
      </c>
    </row>
    <row r="548" spans="1:13" x14ac:dyDescent="0.3">
      <c r="A548" s="1">
        <v>46274.75</v>
      </c>
      <c r="B548" t="s">
        <v>11</v>
      </c>
      <c r="C548">
        <v>25.5</v>
      </c>
      <c r="D548">
        <v>9.4</v>
      </c>
      <c r="E548">
        <v>10.7</v>
      </c>
      <c r="F548">
        <v>315</v>
      </c>
      <c r="G548">
        <v>194.2</v>
      </c>
      <c r="H548">
        <v>4000</v>
      </c>
      <c r="I548">
        <v>7368.2</v>
      </c>
      <c r="J548">
        <v>1</v>
      </c>
      <c r="K548">
        <f t="shared" si="16"/>
        <v>509.2</v>
      </c>
      <c r="L548">
        <f>K548+energy_grid_portfolio_dataset!H548</f>
        <v>4509.2</v>
      </c>
      <c r="M548">
        <f t="shared" si="17"/>
        <v>18</v>
      </c>
    </row>
    <row r="549" spans="1:13" x14ac:dyDescent="0.3">
      <c r="A549" s="1">
        <v>46274.791666666664</v>
      </c>
      <c r="B549" t="s">
        <v>11</v>
      </c>
      <c r="C549">
        <v>23.6</v>
      </c>
      <c r="D549">
        <v>5</v>
      </c>
      <c r="E549">
        <v>14.3</v>
      </c>
      <c r="F549">
        <v>0</v>
      </c>
      <c r="G549">
        <v>468.9</v>
      </c>
      <c r="H549">
        <v>4000</v>
      </c>
      <c r="I549">
        <v>7635.6</v>
      </c>
      <c r="J549">
        <v>1</v>
      </c>
      <c r="K549">
        <f t="shared" si="16"/>
        <v>468.9</v>
      </c>
      <c r="L549">
        <f>K549+energy_grid_portfolio_dataset!H549</f>
        <v>4468.8999999999996</v>
      </c>
      <c r="M549">
        <f t="shared" si="17"/>
        <v>19</v>
      </c>
    </row>
    <row r="550" spans="1:13" x14ac:dyDescent="0.3">
      <c r="A550" s="1">
        <v>46274.833333333336</v>
      </c>
      <c r="B550" t="s">
        <v>11</v>
      </c>
      <c r="C550">
        <v>20.6</v>
      </c>
      <c r="D550">
        <v>49.7</v>
      </c>
      <c r="E550">
        <v>8.6999999999999993</v>
      </c>
      <c r="F550">
        <v>0</v>
      </c>
      <c r="G550">
        <v>105</v>
      </c>
      <c r="H550">
        <v>4000</v>
      </c>
      <c r="I550">
        <v>8003.6</v>
      </c>
      <c r="J550">
        <v>1</v>
      </c>
      <c r="K550">
        <f t="shared" si="16"/>
        <v>105</v>
      </c>
      <c r="L550">
        <f>K550+energy_grid_portfolio_dataset!H550</f>
        <v>4105</v>
      </c>
      <c r="M550">
        <f t="shared" si="17"/>
        <v>20</v>
      </c>
    </row>
    <row r="551" spans="1:13" x14ac:dyDescent="0.3">
      <c r="A551" s="1">
        <v>46274.875</v>
      </c>
      <c r="B551" t="s">
        <v>11</v>
      </c>
      <c r="C551">
        <v>21.2</v>
      </c>
      <c r="D551">
        <v>29</v>
      </c>
      <c r="E551">
        <v>14.4</v>
      </c>
      <c r="F551">
        <v>0</v>
      </c>
      <c r="G551">
        <v>481.7</v>
      </c>
      <c r="H551">
        <v>4000</v>
      </c>
      <c r="I551">
        <v>7763.9</v>
      </c>
      <c r="J551">
        <v>1</v>
      </c>
      <c r="K551">
        <f t="shared" si="16"/>
        <v>481.7</v>
      </c>
      <c r="L551">
        <f>K551+energy_grid_portfolio_dataset!H551</f>
        <v>4481.7</v>
      </c>
      <c r="M551">
        <f t="shared" si="17"/>
        <v>21</v>
      </c>
    </row>
    <row r="552" spans="1:13" x14ac:dyDescent="0.3">
      <c r="A552" s="1">
        <v>46274.916666666664</v>
      </c>
      <c r="B552" t="s">
        <v>11</v>
      </c>
      <c r="C552">
        <v>20.3</v>
      </c>
      <c r="D552">
        <v>63</v>
      </c>
      <c r="E552">
        <v>5.5</v>
      </c>
      <c r="F552">
        <v>0</v>
      </c>
      <c r="G552">
        <v>27.1</v>
      </c>
      <c r="H552">
        <v>4000</v>
      </c>
      <c r="I552">
        <v>5220.7</v>
      </c>
      <c r="J552">
        <v>1</v>
      </c>
      <c r="K552">
        <f t="shared" si="16"/>
        <v>27.1</v>
      </c>
      <c r="L552">
        <f>K552+energy_grid_portfolio_dataset!H552</f>
        <v>4027.1</v>
      </c>
      <c r="M552">
        <f t="shared" si="17"/>
        <v>22</v>
      </c>
    </row>
    <row r="553" spans="1:13" x14ac:dyDescent="0.3">
      <c r="A553" s="1">
        <v>46274.958333333336</v>
      </c>
      <c r="B553" t="s">
        <v>11</v>
      </c>
      <c r="C553">
        <v>20.6</v>
      </c>
      <c r="D553">
        <v>82.1</v>
      </c>
      <c r="E553">
        <v>13.8</v>
      </c>
      <c r="F553">
        <v>0</v>
      </c>
      <c r="G553">
        <v>418.5</v>
      </c>
      <c r="H553">
        <v>4000</v>
      </c>
      <c r="I553">
        <v>4806.5</v>
      </c>
      <c r="J553">
        <v>1</v>
      </c>
      <c r="K553">
        <f t="shared" si="16"/>
        <v>418.5</v>
      </c>
      <c r="L553">
        <f>K553+energy_grid_portfolio_dataset!H553</f>
        <v>4418.5</v>
      </c>
      <c r="M553">
        <f t="shared" si="17"/>
        <v>23</v>
      </c>
    </row>
    <row r="554" spans="1:13" x14ac:dyDescent="0.3">
      <c r="A554" s="1">
        <v>46275</v>
      </c>
      <c r="B554" t="s">
        <v>11</v>
      </c>
      <c r="C554">
        <v>20</v>
      </c>
      <c r="D554">
        <v>13.7</v>
      </c>
      <c r="E554">
        <v>15</v>
      </c>
      <c r="F554">
        <v>0</v>
      </c>
      <c r="G554">
        <v>542.4</v>
      </c>
      <c r="H554">
        <v>4000</v>
      </c>
      <c r="I554">
        <v>4903</v>
      </c>
      <c r="J554">
        <v>1</v>
      </c>
      <c r="K554">
        <f t="shared" si="16"/>
        <v>542.4</v>
      </c>
      <c r="L554">
        <f>K554+energy_grid_portfolio_dataset!H554</f>
        <v>4542.3999999999996</v>
      </c>
      <c r="M554">
        <f t="shared" si="17"/>
        <v>0</v>
      </c>
    </row>
    <row r="555" spans="1:13" x14ac:dyDescent="0.3">
      <c r="A555" s="1">
        <v>46275.041666666664</v>
      </c>
      <c r="B555" t="s">
        <v>11</v>
      </c>
      <c r="C555">
        <v>19.7</v>
      </c>
      <c r="D555">
        <v>33.200000000000003</v>
      </c>
      <c r="E555">
        <v>13.3</v>
      </c>
      <c r="F555">
        <v>0</v>
      </c>
      <c r="G555">
        <v>378.9</v>
      </c>
      <c r="H555">
        <v>4000</v>
      </c>
      <c r="I555">
        <v>5082.3</v>
      </c>
      <c r="J555">
        <v>1</v>
      </c>
      <c r="K555">
        <f t="shared" si="16"/>
        <v>378.9</v>
      </c>
      <c r="L555">
        <f>K555+energy_grid_portfolio_dataset!H555</f>
        <v>4378.8999999999996</v>
      </c>
      <c r="M555">
        <f t="shared" si="17"/>
        <v>1</v>
      </c>
    </row>
    <row r="556" spans="1:13" x14ac:dyDescent="0.3">
      <c r="A556" s="1">
        <v>46275.083333333336</v>
      </c>
      <c r="B556" t="s">
        <v>11</v>
      </c>
      <c r="C556">
        <v>20.5</v>
      </c>
      <c r="D556">
        <v>97.5</v>
      </c>
      <c r="E556">
        <v>10.8</v>
      </c>
      <c r="F556">
        <v>0</v>
      </c>
      <c r="G556">
        <v>199.6</v>
      </c>
      <c r="H556">
        <v>4000</v>
      </c>
      <c r="I556">
        <v>4884.5</v>
      </c>
      <c r="J556">
        <v>1</v>
      </c>
      <c r="K556">
        <f t="shared" si="16"/>
        <v>199.6</v>
      </c>
      <c r="L556">
        <f>K556+energy_grid_portfolio_dataset!H556</f>
        <v>4199.6000000000004</v>
      </c>
      <c r="M556">
        <f t="shared" si="17"/>
        <v>2</v>
      </c>
    </row>
    <row r="557" spans="1:13" x14ac:dyDescent="0.3">
      <c r="A557" s="1">
        <v>46275.125</v>
      </c>
      <c r="B557" t="s">
        <v>11</v>
      </c>
      <c r="C557">
        <v>20.5</v>
      </c>
      <c r="D557">
        <v>63.6</v>
      </c>
      <c r="E557">
        <v>11.1</v>
      </c>
      <c r="F557">
        <v>0</v>
      </c>
      <c r="G557">
        <v>218.5</v>
      </c>
      <c r="H557">
        <v>4000</v>
      </c>
      <c r="I557">
        <v>4896.2</v>
      </c>
      <c r="J557">
        <v>1</v>
      </c>
      <c r="K557">
        <f t="shared" si="16"/>
        <v>218.5</v>
      </c>
      <c r="L557">
        <f>K557+energy_grid_portfolio_dataset!H557</f>
        <v>4218.5</v>
      </c>
      <c r="M557">
        <f t="shared" si="17"/>
        <v>3</v>
      </c>
    </row>
    <row r="558" spans="1:13" x14ac:dyDescent="0.3">
      <c r="A558" s="1">
        <v>46275.166666666664</v>
      </c>
      <c r="B558" t="s">
        <v>11</v>
      </c>
      <c r="C558">
        <v>23.3</v>
      </c>
      <c r="D558">
        <v>80.5</v>
      </c>
      <c r="E558">
        <v>9</v>
      </c>
      <c r="F558">
        <v>0</v>
      </c>
      <c r="G558">
        <v>116.6</v>
      </c>
      <c r="H558">
        <v>4000</v>
      </c>
      <c r="I558">
        <v>4852.6000000000004</v>
      </c>
      <c r="J558">
        <v>1</v>
      </c>
      <c r="K558">
        <f t="shared" si="16"/>
        <v>116.6</v>
      </c>
      <c r="L558">
        <f>K558+energy_grid_portfolio_dataset!H558</f>
        <v>4116.6000000000004</v>
      </c>
      <c r="M558">
        <f t="shared" si="17"/>
        <v>4</v>
      </c>
    </row>
    <row r="559" spans="1:13" x14ac:dyDescent="0.3">
      <c r="A559" s="1">
        <v>46275.208333333336</v>
      </c>
      <c r="B559" t="s">
        <v>11</v>
      </c>
      <c r="C559">
        <v>24</v>
      </c>
      <c r="D559">
        <v>27.9</v>
      </c>
      <c r="E559">
        <v>16</v>
      </c>
      <c r="F559">
        <v>0</v>
      </c>
      <c r="G559">
        <v>649.6</v>
      </c>
      <c r="H559">
        <v>4000</v>
      </c>
      <c r="I559">
        <v>4670</v>
      </c>
      <c r="J559">
        <v>1</v>
      </c>
      <c r="K559">
        <f t="shared" si="16"/>
        <v>649.6</v>
      </c>
      <c r="L559">
        <f>K559+energy_grid_portfolio_dataset!H559</f>
        <v>4649.6000000000004</v>
      </c>
      <c r="M559">
        <f t="shared" si="17"/>
        <v>5</v>
      </c>
    </row>
    <row r="560" spans="1:13" x14ac:dyDescent="0.3">
      <c r="A560" s="1">
        <v>46275.25</v>
      </c>
      <c r="B560" t="s">
        <v>11</v>
      </c>
      <c r="C560">
        <v>24.9</v>
      </c>
      <c r="D560">
        <v>14.7</v>
      </c>
      <c r="E560">
        <v>15.7</v>
      </c>
      <c r="F560">
        <v>304.3</v>
      </c>
      <c r="G560">
        <v>613.70000000000005</v>
      </c>
      <c r="H560">
        <v>3736.5</v>
      </c>
      <c r="I560">
        <v>4654.5</v>
      </c>
      <c r="J560">
        <v>0</v>
      </c>
      <c r="K560">
        <f t="shared" si="16"/>
        <v>918</v>
      </c>
      <c r="L560">
        <f>K560+energy_grid_portfolio_dataset!H560</f>
        <v>4654.5</v>
      </c>
      <c r="M560">
        <f t="shared" si="17"/>
        <v>6</v>
      </c>
    </row>
    <row r="561" spans="1:13" x14ac:dyDescent="0.3">
      <c r="A561" s="1">
        <v>46275.291666666664</v>
      </c>
      <c r="B561" t="s">
        <v>11</v>
      </c>
      <c r="C561">
        <v>24.1</v>
      </c>
      <c r="D561">
        <v>34.799999999999997</v>
      </c>
      <c r="E561">
        <v>15.4</v>
      </c>
      <c r="F561">
        <v>514.79999999999995</v>
      </c>
      <c r="G561">
        <v>588</v>
      </c>
      <c r="H561">
        <v>3849.3</v>
      </c>
      <c r="I561">
        <v>4952.1000000000004</v>
      </c>
      <c r="J561">
        <v>0</v>
      </c>
      <c r="K561">
        <f t="shared" si="16"/>
        <v>1102.8</v>
      </c>
      <c r="L561">
        <f>K561+energy_grid_portfolio_dataset!H561</f>
        <v>4952.1000000000004</v>
      </c>
      <c r="M561">
        <f t="shared" si="17"/>
        <v>7</v>
      </c>
    </row>
    <row r="562" spans="1:13" x14ac:dyDescent="0.3">
      <c r="A562" s="1">
        <v>46275.333333333336</v>
      </c>
      <c r="B562" t="s">
        <v>11</v>
      </c>
      <c r="C562">
        <v>26.6</v>
      </c>
      <c r="D562">
        <v>94.4</v>
      </c>
      <c r="E562">
        <v>4.2</v>
      </c>
      <c r="F562">
        <v>405.5</v>
      </c>
      <c r="G562">
        <v>11.7</v>
      </c>
      <c r="H562">
        <v>4000</v>
      </c>
      <c r="I562">
        <v>4965.8999999999996</v>
      </c>
      <c r="J562">
        <v>1</v>
      </c>
      <c r="K562">
        <f t="shared" si="16"/>
        <v>417.2</v>
      </c>
      <c r="L562">
        <f>K562+energy_grid_portfolio_dataset!H562</f>
        <v>4417.2</v>
      </c>
      <c r="M562">
        <f t="shared" si="17"/>
        <v>8</v>
      </c>
    </row>
    <row r="563" spans="1:13" x14ac:dyDescent="0.3">
      <c r="A563" s="1">
        <v>46275.375</v>
      </c>
      <c r="B563" t="s">
        <v>11</v>
      </c>
      <c r="C563">
        <v>26.9</v>
      </c>
      <c r="D563">
        <v>22.5</v>
      </c>
      <c r="E563">
        <v>5.3</v>
      </c>
      <c r="F563">
        <v>1014.2</v>
      </c>
      <c r="G563">
        <v>24.5</v>
      </c>
      <c r="H563">
        <v>4000</v>
      </c>
      <c r="I563">
        <v>5192.6000000000004</v>
      </c>
      <c r="J563">
        <v>1</v>
      </c>
      <c r="K563">
        <f t="shared" si="16"/>
        <v>1038.7</v>
      </c>
      <c r="L563">
        <f>K563+energy_grid_portfolio_dataset!H563</f>
        <v>5038.7</v>
      </c>
      <c r="M563">
        <f t="shared" si="17"/>
        <v>9</v>
      </c>
    </row>
    <row r="564" spans="1:13" x14ac:dyDescent="0.3">
      <c r="A564" s="1">
        <v>46275.416666666664</v>
      </c>
      <c r="B564" t="s">
        <v>11</v>
      </c>
      <c r="C564">
        <v>28.4</v>
      </c>
      <c r="D564">
        <v>41.8</v>
      </c>
      <c r="E564">
        <v>19.600000000000001</v>
      </c>
      <c r="F564">
        <v>1012.4</v>
      </c>
      <c r="G564">
        <v>1196.5999999999999</v>
      </c>
      <c r="H564">
        <v>4000</v>
      </c>
      <c r="I564">
        <v>7121.6</v>
      </c>
      <c r="J564">
        <v>1</v>
      </c>
      <c r="K564">
        <f t="shared" si="16"/>
        <v>2209</v>
      </c>
      <c r="L564">
        <f>K564+energy_grid_portfolio_dataset!H564</f>
        <v>6209</v>
      </c>
      <c r="M564">
        <f t="shared" si="17"/>
        <v>10</v>
      </c>
    </row>
    <row r="565" spans="1:13" x14ac:dyDescent="0.3">
      <c r="A565" s="1">
        <v>46275.458333333336</v>
      </c>
      <c r="B565" t="s">
        <v>11</v>
      </c>
      <c r="C565">
        <v>27.9</v>
      </c>
      <c r="D565">
        <v>13.7</v>
      </c>
      <c r="E565">
        <v>13.8</v>
      </c>
      <c r="F565">
        <v>1342.3</v>
      </c>
      <c r="G565">
        <v>422.2</v>
      </c>
      <c r="H565">
        <v>4000</v>
      </c>
      <c r="I565">
        <v>6932.3</v>
      </c>
      <c r="J565">
        <v>1</v>
      </c>
      <c r="K565">
        <f t="shared" si="16"/>
        <v>1764.5</v>
      </c>
      <c r="L565">
        <f>K565+energy_grid_portfolio_dataset!H565</f>
        <v>5764.5</v>
      </c>
      <c r="M565">
        <f t="shared" si="17"/>
        <v>11</v>
      </c>
    </row>
    <row r="566" spans="1:13" x14ac:dyDescent="0.3">
      <c r="A566" s="1">
        <v>46275.5</v>
      </c>
      <c r="B566" t="s">
        <v>11</v>
      </c>
      <c r="C566">
        <v>27.6</v>
      </c>
      <c r="D566">
        <v>0</v>
      </c>
      <c r="E566">
        <v>13</v>
      </c>
      <c r="F566">
        <v>1500</v>
      </c>
      <c r="G566">
        <v>351.1</v>
      </c>
      <c r="H566">
        <v>4000</v>
      </c>
      <c r="I566">
        <v>7283</v>
      </c>
      <c r="J566">
        <v>1</v>
      </c>
      <c r="K566">
        <f t="shared" si="16"/>
        <v>1851.1</v>
      </c>
      <c r="L566">
        <f>K566+energy_grid_portfolio_dataset!H566</f>
        <v>5851.1</v>
      </c>
      <c r="M566">
        <f t="shared" si="17"/>
        <v>12</v>
      </c>
    </row>
    <row r="567" spans="1:13" x14ac:dyDescent="0.3">
      <c r="A567" s="1">
        <v>46275.541666666664</v>
      </c>
      <c r="B567" t="s">
        <v>11</v>
      </c>
      <c r="C567">
        <v>28.3</v>
      </c>
      <c r="D567">
        <v>75.900000000000006</v>
      </c>
      <c r="E567">
        <v>6.6</v>
      </c>
      <c r="F567">
        <v>796.5</v>
      </c>
      <c r="G567">
        <v>46.9</v>
      </c>
      <c r="H567">
        <v>4000</v>
      </c>
      <c r="I567">
        <v>7215.5</v>
      </c>
      <c r="J567">
        <v>1</v>
      </c>
      <c r="K567">
        <f t="shared" si="16"/>
        <v>843.4</v>
      </c>
      <c r="L567">
        <f>K567+energy_grid_portfolio_dataset!H567</f>
        <v>4843.3999999999996</v>
      </c>
      <c r="M567">
        <f t="shared" si="17"/>
        <v>13</v>
      </c>
    </row>
    <row r="568" spans="1:13" x14ac:dyDescent="0.3">
      <c r="A568" s="1">
        <v>46275.583333333336</v>
      </c>
      <c r="B568" t="s">
        <v>11</v>
      </c>
      <c r="C568">
        <v>28.7</v>
      </c>
      <c r="D568">
        <v>0.5</v>
      </c>
      <c r="E568">
        <v>13.6</v>
      </c>
      <c r="F568">
        <v>1347.1</v>
      </c>
      <c r="G568">
        <v>402.3</v>
      </c>
      <c r="H568">
        <v>4000</v>
      </c>
      <c r="I568">
        <v>7252</v>
      </c>
      <c r="J568">
        <v>1</v>
      </c>
      <c r="K568">
        <f t="shared" si="16"/>
        <v>1749.3999999999999</v>
      </c>
      <c r="L568">
        <f>K568+energy_grid_portfolio_dataset!H568</f>
        <v>5749.4</v>
      </c>
      <c r="M568">
        <f t="shared" si="17"/>
        <v>14</v>
      </c>
    </row>
    <row r="569" spans="1:13" x14ac:dyDescent="0.3">
      <c r="A569" s="1">
        <v>46275.625</v>
      </c>
      <c r="B569" t="s">
        <v>11</v>
      </c>
      <c r="C569">
        <v>26.7</v>
      </c>
      <c r="D569">
        <v>53.7</v>
      </c>
      <c r="E569">
        <v>9.6</v>
      </c>
      <c r="F569">
        <v>794.9</v>
      </c>
      <c r="G569">
        <v>140</v>
      </c>
      <c r="H569">
        <v>3939.5</v>
      </c>
      <c r="I569">
        <v>4874.3999999999996</v>
      </c>
      <c r="J569">
        <v>0</v>
      </c>
      <c r="K569">
        <f t="shared" si="16"/>
        <v>934.9</v>
      </c>
      <c r="L569">
        <f>K569+energy_grid_portfolio_dataset!H569</f>
        <v>4874.3999999999996</v>
      </c>
      <c r="M569">
        <f t="shared" si="17"/>
        <v>15</v>
      </c>
    </row>
    <row r="570" spans="1:13" x14ac:dyDescent="0.3">
      <c r="A570" s="1">
        <v>46275.666666666664</v>
      </c>
      <c r="B570" t="s">
        <v>11</v>
      </c>
      <c r="C570">
        <v>26</v>
      </c>
      <c r="D570">
        <v>17.8</v>
      </c>
      <c r="E570">
        <v>6.6</v>
      </c>
      <c r="F570">
        <v>835.2</v>
      </c>
      <c r="G570">
        <v>45.4</v>
      </c>
      <c r="H570">
        <v>3968</v>
      </c>
      <c r="I570">
        <v>4848.6000000000004</v>
      </c>
      <c r="J570">
        <v>0</v>
      </c>
      <c r="K570">
        <f t="shared" si="16"/>
        <v>880.6</v>
      </c>
      <c r="L570">
        <f>K570+energy_grid_portfolio_dataset!H570</f>
        <v>4848.6000000000004</v>
      </c>
      <c r="M570">
        <f t="shared" si="17"/>
        <v>16</v>
      </c>
    </row>
    <row r="571" spans="1:13" x14ac:dyDescent="0.3">
      <c r="A571" s="1">
        <v>46275.708333333336</v>
      </c>
      <c r="B571" t="s">
        <v>11</v>
      </c>
      <c r="C571">
        <v>23.9</v>
      </c>
      <c r="D571">
        <v>61.7</v>
      </c>
      <c r="E571">
        <v>14.3</v>
      </c>
      <c r="F571">
        <v>410.1</v>
      </c>
      <c r="G571">
        <v>469.1</v>
      </c>
      <c r="H571">
        <v>4000</v>
      </c>
      <c r="I571">
        <v>5051.8999999999996</v>
      </c>
      <c r="J571">
        <v>1</v>
      </c>
      <c r="K571">
        <f t="shared" si="16"/>
        <v>879.2</v>
      </c>
      <c r="L571">
        <f>K571+energy_grid_portfolio_dataset!H571</f>
        <v>4879.2</v>
      </c>
      <c r="M571">
        <f t="shared" si="17"/>
        <v>17</v>
      </c>
    </row>
    <row r="572" spans="1:13" x14ac:dyDescent="0.3">
      <c r="A572" s="1">
        <v>46275.75</v>
      </c>
      <c r="B572" t="s">
        <v>11</v>
      </c>
      <c r="C572">
        <v>23.3</v>
      </c>
      <c r="D572">
        <v>74.900000000000006</v>
      </c>
      <c r="E572">
        <v>7.1</v>
      </c>
      <c r="F572">
        <v>183.9</v>
      </c>
      <c r="G572">
        <v>57.1</v>
      </c>
      <c r="H572">
        <v>4000</v>
      </c>
      <c r="I572">
        <v>7441.1</v>
      </c>
      <c r="J572">
        <v>1</v>
      </c>
      <c r="K572">
        <f t="shared" si="16"/>
        <v>241</v>
      </c>
      <c r="L572">
        <f>K572+energy_grid_portfolio_dataset!H572</f>
        <v>4241</v>
      </c>
      <c r="M572">
        <f t="shared" si="17"/>
        <v>18</v>
      </c>
    </row>
    <row r="573" spans="1:13" x14ac:dyDescent="0.3">
      <c r="A573" s="1">
        <v>46275.791666666664</v>
      </c>
      <c r="B573" t="s">
        <v>11</v>
      </c>
      <c r="C573">
        <v>23.4</v>
      </c>
      <c r="D573">
        <v>64.599999999999994</v>
      </c>
      <c r="E573">
        <v>10.7</v>
      </c>
      <c r="F573">
        <v>0</v>
      </c>
      <c r="G573">
        <v>198.3</v>
      </c>
      <c r="H573">
        <v>4000</v>
      </c>
      <c r="I573">
        <v>7630.3</v>
      </c>
      <c r="J573">
        <v>1</v>
      </c>
      <c r="K573">
        <f t="shared" si="16"/>
        <v>198.3</v>
      </c>
      <c r="L573">
        <f>K573+energy_grid_portfolio_dataset!H573</f>
        <v>4198.3</v>
      </c>
      <c r="M573">
        <f t="shared" si="17"/>
        <v>19</v>
      </c>
    </row>
    <row r="574" spans="1:13" x14ac:dyDescent="0.3">
      <c r="A574" s="1">
        <v>46275.833333333336</v>
      </c>
      <c r="B574" t="s">
        <v>11</v>
      </c>
      <c r="C574">
        <v>23.4</v>
      </c>
      <c r="D574">
        <v>88.5</v>
      </c>
      <c r="E574">
        <v>16.899999999999999</v>
      </c>
      <c r="F574">
        <v>0</v>
      </c>
      <c r="G574">
        <v>771.5</v>
      </c>
      <c r="H574">
        <v>4000</v>
      </c>
      <c r="I574">
        <v>7610.4</v>
      </c>
      <c r="J574">
        <v>1</v>
      </c>
      <c r="K574">
        <f t="shared" si="16"/>
        <v>771.5</v>
      </c>
      <c r="L574">
        <f>K574+energy_grid_portfolio_dataset!H574</f>
        <v>4771.5</v>
      </c>
      <c r="M574">
        <f t="shared" si="17"/>
        <v>20</v>
      </c>
    </row>
    <row r="575" spans="1:13" x14ac:dyDescent="0.3">
      <c r="A575" s="1">
        <v>46275.875</v>
      </c>
      <c r="B575" t="s">
        <v>11</v>
      </c>
      <c r="C575">
        <v>20.399999999999999</v>
      </c>
      <c r="D575">
        <v>24.2</v>
      </c>
      <c r="E575">
        <v>14.6</v>
      </c>
      <c r="F575">
        <v>0</v>
      </c>
      <c r="G575">
        <v>499.2</v>
      </c>
      <c r="H575">
        <v>4000</v>
      </c>
      <c r="I575">
        <v>7712.8</v>
      </c>
      <c r="J575">
        <v>1</v>
      </c>
      <c r="K575">
        <f t="shared" si="16"/>
        <v>499.2</v>
      </c>
      <c r="L575">
        <f>K575+energy_grid_portfolio_dataset!H575</f>
        <v>4499.2</v>
      </c>
      <c r="M575">
        <f t="shared" si="17"/>
        <v>21</v>
      </c>
    </row>
    <row r="576" spans="1:13" x14ac:dyDescent="0.3">
      <c r="A576" s="1">
        <v>46275.916666666664</v>
      </c>
      <c r="B576" t="s">
        <v>11</v>
      </c>
      <c r="C576">
        <v>21.9</v>
      </c>
      <c r="D576">
        <v>61.3</v>
      </c>
      <c r="E576">
        <v>4.5</v>
      </c>
      <c r="F576">
        <v>0</v>
      </c>
      <c r="G576">
        <v>14.4</v>
      </c>
      <c r="H576">
        <v>4000</v>
      </c>
      <c r="I576">
        <v>5012.8</v>
      </c>
      <c r="J576">
        <v>1</v>
      </c>
      <c r="K576">
        <f t="shared" si="16"/>
        <v>14.4</v>
      </c>
      <c r="L576">
        <f>K576+energy_grid_portfolio_dataset!H576</f>
        <v>4014.4</v>
      </c>
      <c r="M576">
        <f t="shared" si="17"/>
        <v>22</v>
      </c>
    </row>
    <row r="577" spans="1:13" x14ac:dyDescent="0.3">
      <c r="A577" s="1">
        <v>46275.958333333336</v>
      </c>
      <c r="B577" t="s">
        <v>11</v>
      </c>
      <c r="C577">
        <v>19.100000000000001</v>
      </c>
      <c r="D577">
        <v>35.4</v>
      </c>
      <c r="E577">
        <v>13.3</v>
      </c>
      <c r="F577">
        <v>0</v>
      </c>
      <c r="G577">
        <v>372.3</v>
      </c>
      <c r="H577">
        <v>4000</v>
      </c>
      <c r="I577">
        <v>5107.8</v>
      </c>
      <c r="J577">
        <v>1</v>
      </c>
      <c r="K577">
        <f t="shared" si="16"/>
        <v>372.3</v>
      </c>
      <c r="L577">
        <f>K577+energy_grid_portfolio_dataset!H577</f>
        <v>4372.3</v>
      </c>
      <c r="M577">
        <f t="shared" si="17"/>
        <v>23</v>
      </c>
    </row>
    <row r="578" spans="1:13" x14ac:dyDescent="0.3">
      <c r="A578" s="1">
        <v>46276</v>
      </c>
      <c r="B578" t="s">
        <v>11</v>
      </c>
      <c r="C578">
        <v>23.1</v>
      </c>
      <c r="D578">
        <v>60.2</v>
      </c>
      <c r="E578">
        <v>11.1</v>
      </c>
      <c r="F578">
        <v>0</v>
      </c>
      <c r="G578">
        <v>217.9</v>
      </c>
      <c r="H578">
        <v>4000</v>
      </c>
      <c r="I578">
        <v>5249.4</v>
      </c>
      <c r="J578">
        <v>1</v>
      </c>
      <c r="K578">
        <f t="shared" si="16"/>
        <v>217.9</v>
      </c>
      <c r="L578">
        <f>K578+energy_grid_portfolio_dataset!H578</f>
        <v>4217.8999999999996</v>
      </c>
      <c r="M578">
        <f t="shared" si="17"/>
        <v>0</v>
      </c>
    </row>
    <row r="579" spans="1:13" x14ac:dyDescent="0.3">
      <c r="A579" s="1">
        <v>46276.041666666664</v>
      </c>
      <c r="B579" t="s">
        <v>11</v>
      </c>
      <c r="C579">
        <v>21</v>
      </c>
      <c r="D579">
        <v>37</v>
      </c>
      <c r="E579">
        <v>21</v>
      </c>
      <c r="F579">
        <v>0</v>
      </c>
      <c r="G579">
        <v>1476.7</v>
      </c>
      <c r="H579">
        <v>3553.5</v>
      </c>
      <c r="I579">
        <v>5030.2</v>
      </c>
      <c r="J579">
        <v>0</v>
      </c>
      <c r="K579">
        <f t="shared" ref="K579:K642" si="18">F579+G579</f>
        <v>1476.7</v>
      </c>
      <c r="L579">
        <f>K579+energy_grid_portfolio_dataset!H579</f>
        <v>5030.2</v>
      </c>
      <c r="M579">
        <f t="shared" ref="M579:M642" si="19">HOUR(A579)</f>
        <v>1</v>
      </c>
    </row>
    <row r="580" spans="1:13" x14ac:dyDescent="0.3">
      <c r="A580" s="1">
        <v>46276.083333333336</v>
      </c>
      <c r="B580" t="s">
        <v>11</v>
      </c>
      <c r="C580">
        <v>21</v>
      </c>
      <c r="D580">
        <v>61.6</v>
      </c>
      <c r="E580">
        <v>14.1</v>
      </c>
      <c r="F580">
        <v>0</v>
      </c>
      <c r="G580">
        <v>449.3</v>
      </c>
      <c r="H580">
        <v>4000</v>
      </c>
      <c r="I580">
        <v>4984.5</v>
      </c>
      <c r="J580">
        <v>1</v>
      </c>
      <c r="K580">
        <f t="shared" si="18"/>
        <v>449.3</v>
      </c>
      <c r="L580">
        <f>K580+energy_grid_portfolio_dataset!H580</f>
        <v>4449.3</v>
      </c>
      <c r="M580">
        <f t="shared" si="19"/>
        <v>2</v>
      </c>
    </row>
    <row r="581" spans="1:13" x14ac:dyDescent="0.3">
      <c r="A581" s="1">
        <v>46276.125</v>
      </c>
      <c r="B581" t="s">
        <v>11</v>
      </c>
      <c r="C581">
        <v>20.6</v>
      </c>
      <c r="D581">
        <v>31</v>
      </c>
      <c r="E581">
        <v>6.5</v>
      </c>
      <c r="F581">
        <v>0</v>
      </c>
      <c r="G581">
        <v>43.9</v>
      </c>
      <c r="H581">
        <v>4000</v>
      </c>
      <c r="I581">
        <v>5075.8</v>
      </c>
      <c r="J581">
        <v>1</v>
      </c>
      <c r="K581">
        <f t="shared" si="18"/>
        <v>43.9</v>
      </c>
      <c r="L581">
        <f>K581+energy_grid_portfolio_dataset!H581</f>
        <v>4043.9</v>
      </c>
      <c r="M581">
        <f t="shared" si="19"/>
        <v>3</v>
      </c>
    </row>
    <row r="582" spans="1:13" x14ac:dyDescent="0.3">
      <c r="A582" s="1">
        <v>46276.166666666664</v>
      </c>
      <c r="B582" t="s">
        <v>11</v>
      </c>
      <c r="C582">
        <v>22.8</v>
      </c>
      <c r="D582">
        <v>56.4</v>
      </c>
      <c r="E582">
        <v>20.399999999999999</v>
      </c>
      <c r="F582">
        <v>0</v>
      </c>
      <c r="G582">
        <v>1352.9</v>
      </c>
      <c r="H582">
        <v>3663</v>
      </c>
      <c r="I582">
        <v>5015.8999999999996</v>
      </c>
      <c r="J582">
        <v>0</v>
      </c>
      <c r="K582">
        <f t="shared" si="18"/>
        <v>1352.9</v>
      </c>
      <c r="L582">
        <f>K582+energy_grid_portfolio_dataset!H582</f>
        <v>5015.8999999999996</v>
      </c>
      <c r="M582">
        <f t="shared" si="19"/>
        <v>4</v>
      </c>
    </row>
    <row r="583" spans="1:13" x14ac:dyDescent="0.3">
      <c r="A583" s="1">
        <v>46276.208333333336</v>
      </c>
      <c r="B583" t="s">
        <v>11</v>
      </c>
      <c r="C583">
        <v>23.6</v>
      </c>
      <c r="D583">
        <v>17.7</v>
      </c>
      <c r="E583">
        <v>10.1</v>
      </c>
      <c r="F583">
        <v>0</v>
      </c>
      <c r="G583">
        <v>163.1</v>
      </c>
      <c r="H583">
        <v>4000</v>
      </c>
      <c r="I583">
        <v>4949.2</v>
      </c>
      <c r="J583">
        <v>1</v>
      </c>
      <c r="K583">
        <f t="shared" si="18"/>
        <v>163.1</v>
      </c>
      <c r="L583">
        <f>K583+energy_grid_portfolio_dataset!H583</f>
        <v>4163.1000000000004</v>
      </c>
      <c r="M583">
        <f t="shared" si="19"/>
        <v>5</v>
      </c>
    </row>
    <row r="584" spans="1:13" x14ac:dyDescent="0.3">
      <c r="A584" s="1">
        <v>46276.25</v>
      </c>
      <c r="B584" t="s">
        <v>11</v>
      </c>
      <c r="C584">
        <v>24.8</v>
      </c>
      <c r="D584">
        <v>37.700000000000003</v>
      </c>
      <c r="E584">
        <v>11.6</v>
      </c>
      <c r="F584">
        <v>258.39999999999998</v>
      </c>
      <c r="G584">
        <v>252.5</v>
      </c>
      <c r="H584">
        <v>4000</v>
      </c>
      <c r="I584">
        <v>5054.3</v>
      </c>
      <c r="J584">
        <v>1</v>
      </c>
      <c r="K584">
        <f t="shared" si="18"/>
        <v>510.9</v>
      </c>
      <c r="L584">
        <f>K584+energy_grid_portfolio_dataset!H584</f>
        <v>4510.8999999999996</v>
      </c>
      <c r="M584">
        <f t="shared" si="19"/>
        <v>6</v>
      </c>
    </row>
    <row r="585" spans="1:13" x14ac:dyDescent="0.3">
      <c r="A585" s="1">
        <v>46276.291666666664</v>
      </c>
      <c r="B585" t="s">
        <v>11</v>
      </c>
      <c r="C585">
        <v>24.7</v>
      </c>
      <c r="D585">
        <v>67.3</v>
      </c>
      <c r="E585">
        <v>14.9</v>
      </c>
      <c r="F585">
        <v>388.2</v>
      </c>
      <c r="G585">
        <v>526.70000000000005</v>
      </c>
      <c r="H585">
        <v>3807.4</v>
      </c>
      <c r="I585">
        <v>4722.3</v>
      </c>
      <c r="J585">
        <v>0</v>
      </c>
      <c r="K585">
        <f t="shared" si="18"/>
        <v>914.90000000000009</v>
      </c>
      <c r="L585">
        <f>K585+energy_grid_portfolio_dataset!H585</f>
        <v>4722.3</v>
      </c>
      <c r="M585">
        <f t="shared" si="19"/>
        <v>7</v>
      </c>
    </row>
    <row r="586" spans="1:13" x14ac:dyDescent="0.3">
      <c r="A586" s="1">
        <v>46276.333333333336</v>
      </c>
      <c r="B586" t="s">
        <v>11</v>
      </c>
      <c r="C586">
        <v>26</v>
      </c>
      <c r="D586">
        <v>45.2</v>
      </c>
      <c r="E586">
        <v>8.6999999999999993</v>
      </c>
      <c r="F586">
        <v>681.7</v>
      </c>
      <c r="G586">
        <v>105.3</v>
      </c>
      <c r="H586">
        <v>4000</v>
      </c>
      <c r="I586">
        <v>5025.1000000000004</v>
      </c>
      <c r="J586">
        <v>1</v>
      </c>
      <c r="K586">
        <f t="shared" si="18"/>
        <v>787</v>
      </c>
      <c r="L586">
        <f>K586+energy_grid_portfolio_dataset!H586</f>
        <v>4787</v>
      </c>
      <c r="M586">
        <f t="shared" si="19"/>
        <v>8</v>
      </c>
    </row>
    <row r="587" spans="1:13" x14ac:dyDescent="0.3">
      <c r="A587" s="1">
        <v>46276.375</v>
      </c>
      <c r="B587" t="s">
        <v>11</v>
      </c>
      <c r="C587">
        <v>27.2</v>
      </c>
      <c r="D587">
        <v>57.3</v>
      </c>
      <c r="E587">
        <v>9.4</v>
      </c>
      <c r="F587">
        <v>769.6</v>
      </c>
      <c r="G587">
        <v>131.6</v>
      </c>
      <c r="H587">
        <v>4000</v>
      </c>
      <c r="I587">
        <v>5054.8</v>
      </c>
      <c r="J587">
        <v>1</v>
      </c>
      <c r="K587">
        <f t="shared" si="18"/>
        <v>901.2</v>
      </c>
      <c r="L587">
        <f>K587+energy_grid_portfolio_dataset!H587</f>
        <v>4901.2</v>
      </c>
      <c r="M587">
        <f t="shared" si="19"/>
        <v>9</v>
      </c>
    </row>
    <row r="588" spans="1:13" x14ac:dyDescent="0.3">
      <c r="A588" s="1">
        <v>46276.416666666664</v>
      </c>
      <c r="B588" t="s">
        <v>11</v>
      </c>
      <c r="C588">
        <v>28.6</v>
      </c>
      <c r="D588">
        <v>33</v>
      </c>
      <c r="E588">
        <v>7.7</v>
      </c>
      <c r="F588">
        <v>1083.5999999999999</v>
      </c>
      <c r="G588">
        <v>72.7</v>
      </c>
      <c r="H588">
        <v>4000</v>
      </c>
      <c r="I588">
        <v>6827</v>
      </c>
      <c r="J588">
        <v>1</v>
      </c>
      <c r="K588">
        <f t="shared" si="18"/>
        <v>1156.3</v>
      </c>
      <c r="L588">
        <f>K588+energy_grid_portfolio_dataset!H588</f>
        <v>5156.3</v>
      </c>
      <c r="M588">
        <f t="shared" si="19"/>
        <v>10</v>
      </c>
    </row>
    <row r="589" spans="1:13" x14ac:dyDescent="0.3">
      <c r="A589" s="1">
        <v>46276.458333333336</v>
      </c>
      <c r="B589" t="s">
        <v>11</v>
      </c>
      <c r="C589">
        <v>27.5</v>
      </c>
      <c r="D589">
        <v>71.5</v>
      </c>
      <c r="E589">
        <v>15.1</v>
      </c>
      <c r="F589">
        <v>835</v>
      </c>
      <c r="G589">
        <v>549.20000000000005</v>
      </c>
      <c r="H589">
        <v>4000</v>
      </c>
      <c r="I589">
        <v>7254</v>
      </c>
      <c r="J589">
        <v>1</v>
      </c>
      <c r="K589">
        <f t="shared" si="18"/>
        <v>1384.2</v>
      </c>
      <c r="L589">
        <f>K589+energy_grid_portfolio_dataset!H589</f>
        <v>5384.2</v>
      </c>
      <c r="M589">
        <f t="shared" si="19"/>
        <v>11</v>
      </c>
    </row>
    <row r="590" spans="1:13" x14ac:dyDescent="0.3">
      <c r="A590" s="1">
        <v>46276.5</v>
      </c>
      <c r="B590" t="s">
        <v>11</v>
      </c>
      <c r="C590">
        <v>26.6</v>
      </c>
      <c r="D590">
        <v>75.3</v>
      </c>
      <c r="E590">
        <v>13.3</v>
      </c>
      <c r="F590">
        <v>822.3</v>
      </c>
      <c r="G590">
        <v>377</v>
      </c>
      <c r="H590">
        <v>4000</v>
      </c>
      <c r="I590">
        <v>7252.5</v>
      </c>
      <c r="J590">
        <v>1</v>
      </c>
      <c r="K590">
        <f t="shared" si="18"/>
        <v>1199.3</v>
      </c>
      <c r="L590">
        <f>K590+energy_grid_portfolio_dataset!H590</f>
        <v>5199.3</v>
      </c>
      <c r="M590">
        <f t="shared" si="19"/>
        <v>12</v>
      </c>
    </row>
    <row r="591" spans="1:13" x14ac:dyDescent="0.3">
      <c r="A591" s="1">
        <v>46276.541666666664</v>
      </c>
      <c r="B591" t="s">
        <v>11</v>
      </c>
      <c r="C591">
        <v>28</v>
      </c>
      <c r="D591">
        <v>0.6</v>
      </c>
      <c r="E591">
        <v>14</v>
      </c>
      <c r="F591">
        <v>1457.2</v>
      </c>
      <c r="G591">
        <v>443.1</v>
      </c>
      <c r="H591">
        <v>4000</v>
      </c>
      <c r="I591">
        <v>7094.6</v>
      </c>
      <c r="J591">
        <v>1</v>
      </c>
      <c r="K591">
        <f t="shared" si="18"/>
        <v>1900.3000000000002</v>
      </c>
      <c r="L591">
        <f>K591+energy_grid_portfolio_dataset!H591</f>
        <v>5900.3</v>
      </c>
      <c r="M591">
        <f t="shared" si="19"/>
        <v>13</v>
      </c>
    </row>
    <row r="592" spans="1:13" x14ac:dyDescent="0.3">
      <c r="A592" s="1">
        <v>46276.583333333336</v>
      </c>
      <c r="B592" t="s">
        <v>11</v>
      </c>
      <c r="C592">
        <v>26.1</v>
      </c>
      <c r="D592">
        <v>6.9</v>
      </c>
      <c r="E592">
        <v>17.600000000000001</v>
      </c>
      <c r="F592">
        <v>1295.2</v>
      </c>
      <c r="G592">
        <v>866.9</v>
      </c>
      <c r="H592">
        <v>4000</v>
      </c>
      <c r="I592">
        <v>6995.6</v>
      </c>
      <c r="J592">
        <v>1</v>
      </c>
      <c r="K592">
        <f t="shared" si="18"/>
        <v>2162.1</v>
      </c>
      <c r="L592">
        <f>K592+energy_grid_portfolio_dataset!H592</f>
        <v>6162.1</v>
      </c>
      <c r="M592">
        <f t="shared" si="19"/>
        <v>14</v>
      </c>
    </row>
    <row r="593" spans="1:13" x14ac:dyDescent="0.3">
      <c r="A593" s="1">
        <v>46276.625</v>
      </c>
      <c r="B593" t="s">
        <v>11</v>
      </c>
      <c r="C593">
        <v>28.4</v>
      </c>
      <c r="D593">
        <v>31.6</v>
      </c>
      <c r="E593">
        <v>3.5</v>
      </c>
      <c r="F593">
        <v>950.4</v>
      </c>
      <c r="G593">
        <v>6.6</v>
      </c>
      <c r="H593">
        <v>3898.6</v>
      </c>
      <c r="I593">
        <v>4855.6000000000004</v>
      </c>
      <c r="J593">
        <v>0</v>
      </c>
      <c r="K593">
        <f t="shared" si="18"/>
        <v>957</v>
      </c>
      <c r="L593">
        <f>K593+energy_grid_portfolio_dataset!H593</f>
        <v>4855.6000000000004</v>
      </c>
      <c r="M593">
        <f t="shared" si="19"/>
        <v>15</v>
      </c>
    </row>
    <row r="594" spans="1:13" x14ac:dyDescent="0.3">
      <c r="A594" s="1">
        <v>46276.666666666664</v>
      </c>
      <c r="B594" t="s">
        <v>11</v>
      </c>
      <c r="C594">
        <v>27.2</v>
      </c>
      <c r="D594">
        <v>41.1</v>
      </c>
      <c r="E594">
        <v>9.3000000000000007</v>
      </c>
      <c r="F594">
        <v>704.6</v>
      </c>
      <c r="G594">
        <v>127</v>
      </c>
      <c r="H594">
        <v>3950.9</v>
      </c>
      <c r="I594">
        <v>4782.5</v>
      </c>
      <c r="J594">
        <v>0</v>
      </c>
      <c r="K594">
        <f t="shared" si="18"/>
        <v>831.6</v>
      </c>
      <c r="L594">
        <f>K594+energy_grid_portfolio_dataset!H594</f>
        <v>4782.5</v>
      </c>
      <c r="M594">
        <f t="shared" si="19"/>
        <v>16</v>
      </c>
    </row>
    <row r="595" spans="1:13" x14ac:dyDescent="0.3">
      <c r="A595" s="1">
        <v>46276.708333333336</v>
      </c>
      <c r="B595" t="s">
        <v>11</v>
      </c>
      <c r="C595">
        <v>25.5</v>
      </c>
      <c r="D595">
        <v>72.900000000000006</v>
      </c>
      <c r="E595">
        <v>19.2</v>
      </c>
      <c r="F595">
        <v>366</v>
      </c>
      <c r="G595">
        <v>1140</v>
      </c>
      <c r="H595">
        <v>3468</v>
      </c>
      <c r="I595">
        <v>4974</v>
      </c>
      <c r="J595">
        <v>0</v>
      </c>
      <c r="K595">
        <f t="shared" si="18"/>
        <v>1506</v>
      </c>
      <c r="L595">
        <f>K595+energy_grid_portfolio_dataset!H595</f>
        <v>4974</v>
      </c>
      <c r="M595">
        <f t="shared" si="19"/>
        <v>17</v>
      </c>
    </row>
    <row r="596" spans="1:13" x14ac:dyDescent="0.3">
      <c r="A596" s="1">
        <v>46276.75</v>
      </c>
      <c r="B596" t="s">
        <v>11</v>
      </c>
      <c r="C596">
        <v>22.7</v>
      </c>
      <c r="D596">
        <v>34.700000000000003</v>
      </c>
      <c r="E596">
        <v>13.3</v>
      </c>
      <c r="F596">
        <v>264.39999999999998</v>
      </c>
      <c r="G596">
        <v>376.5</v>
      </c>
      <c r="H596">
        <v>4000</v>
      </c>
      <c r="I596">
        <v>7646</v>
      </c>
      <c r="J596">
        <v>1</v>
      </c>
      <c r="K596">
        <f t="shared" si="18"/>
        <v>640.9</v>
      </c>
      <c r="L596">
        <f>K596+energy_grid_portfolio_dataset!H596</f>
        <v>4640.8999999999996</v>
      </c>
      <c r="M596">
        <f t="shared" si="19"/>
        <v>18</v>
      </c>
    </row>
    <row r="597" spans="1:13" x14ac:dyDescent="0.3">
      <c r="A597" s="1">
        <v>46276.791666666664</v>
      </c>
      <c r="B597" t="s">
        <v>11</v>
      </c>
      <c r="C597">
        <v>22</v>
      </c>
      <c r="D597">
        <v>53.6</v>
      </c>
      <c r="E597">
        <v>11.8</v>
      </c>
      <c r="F597">
        <v>0</v>
      </c>
      <c r="G597">
        <v>260</v>
      </c>
      <c r="H597">
        <v>4000</v>
      </c>
      <c r="I597">
        <v>7555.4</v>
      </c>
      <c r="J597">
        <v>1</v>
      </c>
      <c r="K597">
        <f t="shared" si="18"/>
        <v>260</v>
      </c>
      <c r="L597">
        <f>K597+energy_grid_portfolio_dataset!H597</f>
        <v>4260</v>
      </c>
      <c r="M597">
        <f t="shared" si="19"/>
        <v>19</v>
      </c>
    </row>
    <row r="598" spans="1:13" x14ac:dyDescent="0.3">
      <c r="A598" s="1">
        <v>46276.833333333336</v>
      </c>
      <c r="B598" t="s">
        <v>11</v>
      </c>
      <c r="C598">
        <v>21.2</v>
      </c>
      <c r="D598">
        <v>39.200000000000003</v>
      </c>
      <c r="E598">
        <v>7.4</v>
      </c>
      <c r="F598">
        <v>0</v>
      </c>
      <c r="G598">
        <v>64.3</v>
      </c>
      <c r="H598">
        <v>4000</v>
      </c>
      <c r="I598">
        <v>7704.9</v>
      </c>
      <c r="J598">
        <v>1</v>
      </c>
      <c r="K598">
        <f t="shared" si="18"/>
        <v>64.3</v>
      </c>
      <c r="L598">
        <f>K598+energy_grid_portfolio_dataset!H598</f>
        <v>4064.3</v>
      </c>
      <c r="M598">
        <f t="shared" si="19"/>
        <v>20</v>
      </c>
    </row>
    <row r="599" spans="1:13" x14ac:dyDescent="0.3">
      <c r="A599" s="1">
        <v>46276.875</v>
      </c>
      <c r="B599" t="s">
        <v>11</v>
      </c>
      <c r="C599">
        <v>22.2</v>
      </c>
      <c r="D599">
        <v>0</v>
      </c>
      <c r="E599">
        <v>7.4</v>
      </c>
      <c r="F599">
        <v>0</v>
      </c>
      <c r="G599">
        <v>63.6</v>
      </c>
      <c r="H599">
        <v>4000</v>
      </c>
      <c r="I599">
        <v>7833.5</v>
      </c>
      <c r="J599">
        <v>1</v>
      </c>
      <c r="K599">
        <f t="shared" si="18"/>
        <v>63.6</v>
      </c>
      <c r="L599">
        <f>K599+energy_grid_portfolio_dataset!H599</f>
        <v>4063.6</v>
      </c>
      <c r="M599">
        <f t="shared" si="19"/>
        <v>21</v>
      </c>
    </row>
    <row r="600" spans="1:13" x14ac:dyDescent="0.3">
      <c r="A600" s="1">
        <v>46276.916666666664</v>
      </c>
      <c r="B600" t="s">
        <v>11</v>
      </c>
      <c r="C600">
        <v>19.899999999999999</v>
      </c>
      <c r="D600">
        <v>42.9</v>
      </c>
      <c r="E600">
        <v>4.8</v>
      </c>
      <c r="F600">
        <v>0</v>
      </c>
      <c r="G600">
        <v>17.2</v>
      </c>
      <c r="H600">
        <v>4000</v>
      </c>
      <c r="I600">
        <v>4725.5</v>
      </c>
      <c r="J600">
        <v>1</v>
      </c>
      <c r="K600">
        <f t="shared" si="18"/>
        <v>17.2</v>
      </c>
      <c r="L600">
        <f>K600+energy_grid_portfolio_dataset!H600</f>
        <v>4017.2</v>
      </c>
      <c r="M600">
        <f t="shared" si="19"/>
        <v>22</v>
      </c>
    </row>
    <row r="601" spans="1:13" x14ac:dyDescent="0.3">
      <c r="A601" s="1">
        <v>46276.958333333336</v>
      </c>
      <c r="B601" t="s">
        <v>11</v>
      </c>
      <c r="C601">
        <v>19.100000000000001</v>
      </c>
      <c r="D601">
        <v>50.2</v>
      </c>
      <c r="E601">
        <v>12.3</v>
      </c>
      <c r="F601">
        <v>0</v>
      </c>
      <c r="G601">
        <v>301.10000000000002</v>
      </c>
      <c r="H601">
        <v>4000</v>
      </c>
      <c r="I601">
        <v>4811.7</v>
      </c>
      <c r="J601">
        <v>1</v>
      </c>
      <c r="K601">
        <f t="shared" si="18"/>
        <v>301.10000000000002</v>
      </c>
      <c r="L601">
        <f>K601+energy_grid_portfolio_dataset!H601</f>
        <v>4301.1000000000004</v>
      </c>
      <c r="M601">
        <f t="shared" si="19"/>
        <v>23</v>
      </c>
    </row>
    <row r="602" spans="1:13" x14ac:dyDescent="0.3">
      <c r="A602" s="1">
        <v>46277</v>
      </c>
      <c r="B602" t="s">
        <v>11</v>
      </c>
      <c r="C602">
        <v>20.2</v>
      </c>
      <c r="D602">
        <v>31.3</v>
      </c>
      <c r="E602">
        <v>10.6</v>
      </c>
      <c r="F602">
        <v>0</v>
      </c>
      <c r="G602">
        <v>192.8</v>
      </c>
      <c r="H602">
        <v>4000</v>
      </c>
      <c r="I602">
        <v>4211.7</v>
      </c>
      <c r="J602">
        <v>1</v>
      </c>
      <c r="K602">
        <f t="shared" si="18"/>
        <v>192.8</v>
      </c>
      <c r="L602">
        <f>K602+energy_grid_portfolio_dataset!H602</f>
        <v>4192.8</v>
      </c>
      <c r="M602">
        <f t="shared" si="19"/>
        <v>0</v>
      </c>
    </row>
    <row r="603" spans="1:13" x14ac:dyDescent="0.3">
      <c r="A603" s="1">
        <v>46277.041666666664</v>
      </c>
      <c r="B603" t="s">
        <v>11</v>
      </c>
      <c r="C603">
        <v>21.5</v>
      </c>
      <c r="D603">
        <v>12.5</v>
      </c>
      <c r="E603">
        <v>16.100000000000001</v>
      </c>
      <c r="F603">
        <v>0</v>
      </c>
      <c r="G603">
        <v>673.8</v>
      </c>
      <c r="H603">
        <v>3897.2</v>
      </c>
      <c r="I603">
        <v>4571</v>
      </c>
      <c r="J603">
        <v>0</v>
      </c>
      <c r="K603">
        <f t="shared" si="18"/>
        <v>673.8</v>
      </c>
      <c r="L603">
        <f>K603+energy_grid_portfolio_dataset!H603</f>
        <v>4571</v>
      </c>
      <c r="M603">
        <f t="shared" si="19"/>
        <v>1</v>
      </c>
    </row>
    <row r="604" spans="1:13" x14ac:dyDescent="0.3">
      <c r="A604" s="1">
        <v>46277.083333333336</v>
      </c>
      <c r="B604" t="s">
        <v>11</v>
      </c>
      <c r="C604">
        <v>19.399999999999999</v>
      </c>
      <c r="D604">
        <v>65.5</v>
      </c>
      <c r="E604">
        <v>19.7</v>
      </c>
      <c r="F604">
        <v>0</v>
      </c>
      <c r="G604">
        <v>1221.3</v>
      </c>
      <c r="H604">
        <v>3220.4</v>
      </c>
      <c r="I604">
        <v>4441.7</v>
      </c>
      <c r="J604">
        <v>0</v>
      </c>
      <c r="K604">
        <f t="shared" si="18"/>
        <v>1221.3</v>
      </c>
      <c r="L604">
        <f>K604+energy_grid_portfolio_dataset!H604</f>
        <v>4441.7</v>
      </c>
      <c r="M604">
        <f t="shared" si="19"/>
        <v>2</v>
      </c>
    </row>
    <row r="605" spans="1:13" x14ac:dyDescent="0.3">
      <c r="A605" s="1">
        <v>46277.125</v>
      </c>
      <c r="B605" t="s">
        <v>11</v>
      </c>
      <c r="C605">
        <v>20.3</v>
      </c>
      <c r="D605">
        <v>70.400000000000006</v>
      </c>
      <c r="E605">
        <v>13.4</v>
      </c>
      <c r="F605">
        <v>0</v>
      </c>
      <c r="G605">
        <v>381.3</v>
      </c>
      <c r="H605">
        <v>3770.3</v>
      </c>
      <c r="I605">
        <v>4151.6000000000004</v>
      </c>
      <c r="J605">
        <v>0</v>
      </c>
      <c r="K605">
        <f t="shared" si="18"/>
        <v>381.3</v>
      </c>
      <c r="L605">
        <f>K605+energy_grid_portfolio_dataset!H605</f>
        <v>4151.6000000000004</v>
      </c>
      <c r="M605">
        <f t="shared" si="19"/>
        <v>3</v>
      </c>
    </row>
    <row r="606" spans="1:13" x14ac:dyDescent="0.3">
      <c r="A606" s="1">
        <v>46277.166666666664</v>
      </c>
      <c r="B606" t="s">
        <v>11</v>
      </c>
      <c r="C606">
        <v>22.3</v>
      </c>
      <c r="D606">
        <v>54.8</v>
      </c>
      <c r="E606">
        <v>5.4</v>
      </c>
      <c r="F606">
        <v>0</v>
      </c>
      <c r="G606">
        <v>24.7</v>
      </c>
      <c r="H606">
        <v>4000</v>
      </c>
      <c r="I606">
        <v>4402.7</v>
      </c>
      <c r="J606">
        <v>1</v>
      </c>
      <c r="K606">
        <f t="shared" si="18"/>
        <v>24.7</v>
      </c>
      <c r="L606">
        <f>K606+energy_grid_portfolio_dataset!H606</f>
        <v>4024.7</v>
      </c>
      <c r="M606">
        <f t="shared" si="19"/>
        <v>4</v>
      </c>
    </row>
    <row r="607" spans="1:13" x14ac:dyDescent="0.3">
      <c r="A607" s="1">
        <v>46277.208333333336</v>
      </c>
      <c r="B607" t="s">
        <v>11</v>
      </c>
      <c r="C607">
        <v>24.1</v>
      </c>
      <c r="D607">
        <v>39.299999999999997</v>
      </c>
      <c r="E607">
        <v>11.8</v>
      </c>
      <c r="F607">
        <v>0</v>
      </c>
      <c r="G607">
        <v>261.7</v>
      </c>
      <c r="H607">
        <v>4000</v>
      </c>
      <c r="I607">
        <v>4477.1000000000004</v>
      </c>
      <c r="J607">
        <v>1</v>
      </c>
      <c r="K607">
        <f t="shared" si="18"/>
        <v>261.7</v>
      </c>
      <c r="L607">
        <f>K607+energy_grid_portfolio_dataset!H607</f>
        <v>4261.7</v>
      </c>
      <c r="M607">
        <f t="shared" si="19"/>
        <v>5</v>
      </c>
    </row>
    <row r="608" spans="1:13" x14ac:dyDescent="0.3">
      <c r="A608" s="1">
        <v>46277.25</v>
      </c>
      <c r="B608" t="s">
        <v>11</v>
      </c>
      <c r="C608">
        <v>24.5</v>
      </c>
      <c r="D608">
        <v>59.3</v>
      </c>
      <c r="E608">
        <v>11.7</v>
      </c>
      <c r="F608">
        <v>215</v>
      </c>
      <c r="G608">
        <v>255.5</v>
      </c>
      <c r="H608">
        <v>3619.8</v>
      </c>
      <c r="I608">
        <v>4090.3</v>
      </c>
      <c r="J608">
        <v>0</v>
      </c>
      <c r="K608">
        <f t="shared" si="18"/>
        <v>470.5</v>
      </c>
      <c r="L608">
        <f>K608+energy_grid_portfolio_dataset!H608</f>
        <v>4090.3</v>
      </c>
      <c r="M608">
        <f t="shared" si="19"/>
        <v>6</v>
      </c>
    </row>
    <row r="609" spans="1:13" x14ac:dyDescent="0.3">
      <c r="A609" s="1">
        <v>46277.291666666664</v>
      </c>
      <c r="B609" t="s">
        <v>11</v>
      </c>
      <c r="C609">
        <v>24.7</v>
      </c>
      <c r="D609">
        <v>59.1</v>
      </c>
      <c r="E609">
        <v>6.9</v>
      </c>
      <c r="F609">
        <v>420</v>
      </c>
      <c r="G609">
        <v>52.6</v>
      </c>
      <c r="H609">
        <v>4000</v>
      </c>
      <c r="I609">
        <v>4488.7</v>
      </c>
      <c r="J609">
        <v>1</v>
      </c>
      <c r="K609">
        <f t="shared" si="18"/>
        <v>472.6</v>
      </c>
      <c r="L609">
        <f>K609+energy_grid_portfolio_dataset!H609</f>
        <v>4472.6000000000004</v>
      </c>
      <c r="M609">
        <f t="shared" si="19"/>
        <v>7</v>
      </c>
    </row>
    <row r="610" spans="1:13" x14ac:dyDescent="0.3">
      <c r="A610" s="1">
        <v>46277.333333333336</v>
      </c>
      <c r="B610" t="s">
        <v>11</v>
      </c>
      <c r="C610">
        <v>25.8</v>
      </c>
      <c r="D610">
        <v>50.6</v>
      </c>
      <c r="E610">
        <v>10.199999999999999</v>
      </c>
      <c r="F610">
        <v>651.1</v>
      </c>
      <c r="G610">
        <v>167.4</v>
      </c>
      <c r="H610">
        <v>3498</v>
      </c>
      <c r="I610">
        <v>4316.5</v>
      </c>
      <c r="J610">
        <v>0</v>
      </c>
      <c r="K610">
        <f t="shared" si="18"/>
        <v>818.5</v>
      </c>
      <c r="L610">
        <f>K610+energy_grid_portfolio_dataset!H610</f>
        <v>4316.5</v>
      </c>
      <c r="M610">
        <f t="shared" si="19"/>
        <v>8</v>
      </c>
    </row>
    <row r="611" spans="1:13" x14ac:dyDescent="0.3">
      <c r="A611" s="1">
        <v>46277.375</v>
      </c>
      <c r="B611" t="s">
        <v>11</v>
      </c>
      <c r="C611">
        <v>27.7</v>
      </c>
      <c r="D611">
        <v>34.1</v>
      </c>
      <c r="E611">
        <v>4</v>
      </c>
      <c r="F611">
        <v>932.9</v>
      </c>
      <c r="G611">
        <v>10</v>
      </c>
      <c r="H611">
        <v>3357.4</v>
      </c>
      <c r="I611">
        <v>4300.3</v>
      </c>
      <c r="J611">
        <v>0</v>
      </c>
      <c r="K611">
        <f t="shared" si="18"/>
        <v>942.9</v>
      </c>
      <c r="L611">
        <f>K611+energy_grid_portfolio_dataset!H611</f>
        <v>4300.3</v>
      </c>
      <c r="M611">
        <f t="shared" si="19"/>
        <v>9</v>
      </c>
    </row>
    <row r="612" spans="1:13" x14ac:dyDescent="0.3">
      <c r="A612" s="1">
        <v>46277.416666666664</v>
      </c>
      <c r="B612" t="s">
        <v>11</v>
      </c>
      <c r="C612">
        <v>28.8</v>
      </c>
      <c r="D612">
        <v>12.7</v>
      </c>
      <c r="E612">
        <v>15.4</v>
      </c>
      <c r="F612">
        <v>1248.5</v>
      </c>
      <c r="G612">
        <v>589.9</v>
      </c>
      <c r="H612">
        <v>4000</v>
      </c>
      <c r="I612">
        <v>6502.4</v>
      </c>
      <c r="J612">
        <v>1</v>
      </c>
      <c r="K612">
        <f t="shared" si="18"/>
        <v>1838.4</v>
      </c>
      <c r="L612">
        <f>K612+energy_grid_portfolio_dataset!H612</f>
        <v>5838.4</v>
      </c>
      <c r="M612">
        <f t="shared" si="19"/>
        <v>10</v>
      </c>
    </row>
    <row r="613" spans="1:13" x14ac:dyDescent="0.3">
      <c r="A613" s="1">
        <v>46277.458333333336</v>
      </c>
      <c r="B613" t="s">
        <v>11</v>
      </c>
      <c r="C613">
        <v>28.1</v>
      </c>
      <c r="D613">
        <v>52.4</v>
      </c>
      <c r="E613">
        <v>10.8</v>
      </c>
      <c r="F613">
        <v>1003</v>
      </c>
      <c r="G613">
        <v>203.1</v>
      </c>
      <c r="H613">
        <v>4000</v>
      </c>
      <c r="I613">
        <v>6164.6</v>
      </c>
      <c r="J613">
        <v>1</v>
      </c>
      <c r="K613">
        <f t="shared" si="18"/>
        <v>1206.0999999999999</v>
      </c>
      <c r="L613">
        <f>K613+energy_grid_portfolio_dataset!H613</f>
        <v>5206.1000000000004</v>
      </c>
      <c r="M613">
        <f t="shared" si="19"/>
        <v>11</v>
      </c>
    </row>
    <row r="614" spans="1:13" x14ac:dyDescent="0.3">
      <c r="A614" s="1">
        <v>46277.5</v>
      </c>
      <c r="B614" t="s">
        <v>11</v>
      </c>
      <c r="C614">
        <v>27.3</v>
      </c>
      <c r="D614">
        <v>22.1</v>
      </c>
      <c r="E614">
        <v>7.8</v>
      </c>
      <c r="F614">
        <v>1301.0999999999999</v>
      </c>
      <c r="G614">
        <v>77.099999999999994</v>
      </c>
      <c r="H614">
        <v>4000</v>
      </c>
      <c r="I614">
        <v>6122.4</v>
      </c>
      <c r="J614">
        <v>1</v>
      </c>
      <c r="K614">
        <f t="shared" si="18"/>
        <v>1378.1999999999998</v>
      </c>
      <c r="L614">
        <f>K614+energy_grid_portfolio_dataset!H614</f>
        <v>5378.2</v>
      </c>
      <c r="M614">
        <f t="shared" si="19"/>
        <v>12</v>
      </c>
    </row>
    <row r="615" spans="1:13" x14ac:dyDescent="0.3">
      <c r="A615" s="1">
        <v>46277.541666666664</v>
      </c>
      <c r="B615" t="s">
        <v>11</v>
      </c>
      <c r="C615">
        <v>27.1</v>
      </c>
      <c r="D615">
        <v>62.1</v>
      </c>
      <c r="E615">
        <v>19.399999999999999</v>
      </c>
      <c r="F615">
        <v>917.9</v>
      </c>
      <c r="G615">
        <v>1174.8</v>
      </c>
      <c r="H615">
        <v>4000</v>
      </c>
      <c r="I615">
        <v>6229.9</v>
      </c>
      <c r="J615">
        <v>1</v>
      </c>
      <c r="K615">
        <f t="shared" si="18"/>
        <v>2092.6999999999998</v>
      </c>
      <c r="L615">
        <f>K615+energy_grid_portfolio_dataset!H615</f>
        <v>6092.7</v>
      </c>
      <c r="M615">
        <f t="shared" si="19"/>
        <v>13</v>
      </c>
    </row>
    <row r="616" spans="1:13" x14ac:dyDescent="0.3">
      <c r="A616" s="1">
        <v>46277.583333333336</v>
      </c>
      <c r="B616" t="s">
        <v>11</v>
      </c>
      <c r="C616">
        <v>27.7</v>
      </c>
      <c r="D616">
        <v>57.5</v>
      </c>
      <c r="E616">
        <v>14.4</v>
      </c>
      <c r="F616">
        <v>885.3</v>
      </c>
      <c r="G616">
        <v>473.8</v>
      </c>
      <c r="H616">
        <v>4000</v>
      </c>
      <c r="I616">
        <v>6153</v>
      </c>
      <c r="J616">
        <v>1</v>
      </c>
      <c r="K616">
        <f t="shared" si="18"/>
        <v>1359.1</v>
      </c>
      <c r="L616">
        <f>K616+energy_grid_portfolio_dataset!H616</f>
        <v>5359.1</v>
      </c>
      <c r="M616">
        <f t="shared" si="19"/>
        <v>14</v>
      </c>
    </row>
    <row r="617" spans="1:13" x14ac:dyDescent="0.3">
      <c r="A617" s="1">
        <v>46277.625</v>
      </c>
      <c r="B617" t="s">
        <v>11</v>
      </c>
      <c r="C617">
        <v>27.6</v>
      </c>
      <c r="D617">
        <v>57.1</v>
      </c>
      <c r="E617">
        <v>5.8</v>
      </c>
      <c r="F617">
        <v>771.3</v>
      </c>
      <c r="G617">
        <v>31.4</v>
      </c>
      <c r="H617">
        <v>3528.7</v>
      </c>
      <c r="I617">
        <v>4331.3999999999996</v>
      </c>
      <c r="J617">
        <v>0</v>
      </c>
      <c r="K617">
        <f t="shared" si="18"/>
        <v>802.69999999999993</v>
      </c>
      <c r="L617">
        <f>K617+energy_grid_portfolio_dataset!H617</f>
        <v>4331.3999999999996</v>
      </c>
      <c r="M617">
        <f t="shared" si="19"/>
        <v>15</v>
      </c>
    </row>
    <row r="618" spans="1:13" x14ac:dyDescent="0.3">
      <c r="A618" s="1">
        <v>46277.666666666664</v>
      </c>
      <c r="B618" t="s">
        <v>11</v>
      </c>
      <c r="C618">
        <v>26.9</v>
      </c>
      <c r="D618">
        <v>25.9</v>
      </c>
      <c r="E618">
        <v>12.2</v>
      </c>
      <c r="F618">
        <v>789.8</v>
      </c>
      <c r="G618">
        <v>289.8</v>
      </c>
      <c r="H618">
        <v>3370.8</v>
      </c>
      <c r="I618">
        <v>4450.3999999999996</v>
      </c>
      <c r="J618">
        <v>0</v>
      </c>
      <c r="K618">
        <f t="shared" si="18"/>
        <v>1079.5999999999999</v>
      </c>
      <c r="L618">
        <f>K618+energy_grid_portfolio_dataset!H618</f>
        <v>4450.3999999999996</v>
      </c>
      <c r="M618">
        <f t="shared" si="19"/>
        <v>16</v>
      </c>
    </row>
    <row r="619" spans="1:13" x14ac:dyDescent="0.3">
      <c r="A619" s="1">
        <v>46277.708333333336</v>
      </c>
      <c r="B619" t="s">
        <v>11</v>
      </c>
      <c r="C619">
        <v>24.8</v>
      </c>
      <c r="D619">
        <v>71.8</v>
      </c>
      <c r="E619">
        <v>23.8</v>
      </c>
      <c r="F619">
        <v>370.4</v>
      </c>
      <c r="G619">
        <v>2162.3000000000002</v>
      </c>
      <c r="H619">
        <v>1889.8</v>
      </c>
      <c r="I619">
        <v>4422.5</v>
      </c>
      <c r="J619">
        <v>0</v>
      </c>
      <c r="K619">
        <f t="shared" si="18"/>
        <v>2532.7000000000003</v>
      </c>
      <c r="L619">
        <f>K619+energy_grid_portfolio_dataset!H619</f>
        <v>4422.5</v>
      </c>
      <c r="M619">
        <f t="shared" si="19"/>
        <v>17</v>
      </c>
    </row>
    <row r="620" spans="1:13" x14ac:dyDescent="0.3">
      <c r="A620" s="1">
        <v>46277.75</v>
      </c>
      <c r="B620" t="s">
        <v>11</v>
      </c>
      <c r="C620">
        <v>22.6</v>
      </c>
      <c r="D620">
        <v>52.6</v>
      </c>
      <c r="E620">
        <v>15.6</v>
      </c>
      <c r="F620">
        <v>228.4</v>
      </c>
      <c r="G620">
        <v>608.29999999999995</v>
      </c>
      <c r="H620">
        <v>4000</v>
      </c>
      <c r="I620">
        <v>6602.1</v>
      </c>
      <c r="J620">
        <v>1</v>
      </c>
      <c r="K620">
        <f t="shared" si="18"/>
        <v>836.69999999999993</v>
      </c>
      <c r="L620">
        <f>K620+energy_grid_portfolio_dataset!H620</f>
        <v>4836.7</v>
      </c>
      <c r="M620">
        <f t="shared" si="19"/>
        <v>18</v>
      </c>
    </row>
    <row r="621" spans="1:13" x14ac:dyDescent="0.3">
      <c r="A621" s="1">
        <v>46277.791666666664</v>
      </c>
      <c r="B621" t="s">
        <v>11</v>
      </c>
      <c r="C621">
        <v>24.4</v>
      </c>
      <c r="D621">
        <v>11.5</v>
      </c>
      <c r="E621">
        <v>15.5</v>
      </c>
      <c r="F621">
        <v>0</v>
      </c>
      <c r="G621">
        <v>591.70000000000005</v>
      </c>
      <c r="H621">
        <v>4000</v>
      </c>
      <c r="I621">
        <v>6685.4</v>
      </c>
      <c r="J621">
        <v>1</v>
      </c>
      <c r="K621">
        <f t="shared" si="18"/>
        <v>591.70000000000005</v>
      </c>
      <c r="L621">
        <f>K621+energy_grid_portfolio_dataset!H621</f>
        <v>4591.7</v>
      </c>
      <c r="M621">
        <f t="shared" si="19"/>
        <v>19</v>
      </c>
    </row>
    <row r="622" spans="1:13" x14ac:dyDescent="0.3">
      <c r="A622" s="1">
        <v>46277.833333333336</v>
      </c>
      <c r="B622" t="s">
        <v>11</v>
      </c>
      <c r="C622">
        <v>23.7</v>
      </c>
      <c r="D622">
        <v>94.8</v>
      </c>
      <c r="E622">
        <v>8.1999999999999993</v>
      </c>
      <c r="F622">
        <v>0</v>
      </c>
      <c r="G622">
        <v>87.1</v>
      </c>
      <c r="H622">
        <v>4000</v>
      </c>
      <c r="I622">
        <v>6629.1</v>
      </c>
      <c r="J622">
        <v>1</v>
      </c>
      <c r="K622">
        <f t="shared" si="18"/>
        <v>87.1</v>
      </c>
      <c r="L622">
        <f>K622+energy_grid_portfolio_dataset!H622</f>
        <v>4087.1</v>
      </c>
      <c r="M622">
        <f t="shared" si="19"/>
        <v>20</v>
      </c>
    </row>
    <row r="623" spans="1:13" x14ac:dyDescent="0.3">
      <c r="A623" s="1">
        <v>46277.875</v>
      </c>
      <c r="B623" t="s">
        <v>11</v>
      </c>
      <c r="C623">
        <v>22</v>
      </c>
      <c r="D623">
        <v>35.299999999999997</v>
      </c>
      <c r="E623">
        <v>11.8</v>
      </c>
      <c r="F623">
        <v>0</v>
      </c>
      <c r="G623">
        <v>261.10000000000002</v>
      </c>
      <c r="H623">
        <v>4000</v>
      </c>
      <c r="I623">
        <v>6637.6</v>
      </c>
      <c r="J623">
        <v>1</v>
      </c>
      <c r="K623">
        <f t="shared" si="18"/>
        <v>261.10000000000002</v>
      </c>
      <c r="L623">
        <f>K623+energy_grid_portfolio_dataset!H623</f>
        <v>4261.1000000000004</v>
      </c>
      <c r="M623">
        <f t="shared" si="19"/>
        <v>21</v>
      </c>
    </row>
    <row r="624" spans="1:13" x14ac:dyDescent="0.3">
      <c r="A624" s="1">
        <v>46277.916666666664</v>
      </c>
      <c r="B624" t="s">
        <v>11</v>
      </c>
      <c r="C624">
        <v>18.600000000000001</v>
      </c>
      <c r="D624">
        <v>44.7</v>
      </c>
      <c r="E624">
        <v>8.6</v>
      </c>
      <c r="F624">
        <v>0</v>
      </c>
      <c r="G624">
        <v>100.1</v>
      </c>
      <c r="H624">
        <v>4000</v>
      </c>
      <c r="I624">
        <v>4323.8</v>
      </c>
      <c r="J624">
        <v>1</v>
      </c>
      <c r="K624">
        <f t="shared" si="18"/>
        <v>100.1</v>
      </c>
      <c r="L624">
        <f>K624+energy_grid_portfolio_dataset!H624</f>
        <v>4100.1000000000004</v>
      </c>
      <c r="M624">
        <f t="shared" si="19"/>
        <v>22</v>
      </c>
    </row>
    <row r="625" spans="1:13" x14ac:dyDescent="0.3">
      <c r="A625" s="1">
        <v>46277.958333333336</v>
      </c>
      <c r="B625" t="s">
        <v>11</v>
      </c>
      <c r="C625">
        <v>21.6</v>
      </c>
      <c r="D625">
        <v>13.6</v>
      </c>
      <c r="E625">
        <v>16.100000000000001</v>
      </c>
      <c r="F625">
        <v>0</v>
      </c>
      <c r="G625">
        <v>663.5</v>
      </c>
      <c r="H625">
        <v>3582.5</v>
      </c>
      <c r="I625">
        <v>4246</v>
      </c>
      <c r="J625">
        <v>0</v>
      </c>
      <c r="K625">
        <f t="shared" si="18"/>
        <v>663.5</v>
      </c>
      <c r="L625">
        <f>K625+energy_grid_portfolio_dataset!H625</f>
        <v>4246</v>
      </c>
      <c r="M625">
        <f t="shared" si="19"/>
        <v>23</v>
      </c>
    </row>
    <row r="626" spans="1:13" x14ac:dyDescent="0.3">
      <c r="A626" s="1">
        <v>46278</v>
      </c>
      <c r="B626" t="s">
        <v>11</v>
      </c>
      <c r="C626">
        <v>19.7</v>
      </c>
      <c r="D626">
        <v>64.8</v>
      </c>
      <c r="E626">
        <v>13.7</v>
      </c>
      <c r="F626">
        <v>0</v>
      </c>
      <c r="G626">
        <v>411.4</v>
      </c>
      <c r="H626">
        <v>3866.8</v>
      </c>
      <c r="I626">
        <v>4278.2</v>
      </c>
      <c r="J626">
        <v>0</v>
      </c>
      <c r="K626">
        <f t="shared" si="18"/>
        <v>411.4</v>
      </c>
      <c r="L626">
        <f>K626+energy_grid_portfolio_dataset!H626</f>
        <v>4278.2</v>
      </c>
      <c r="M626">
        <f t="shared" si="19"/>
        <v>0</v>
      </c>
    </row>
    <row r="627" spans="1:13" x14ac:dyDescent="0.3">
      <c r="A627" s="1">
        <v>46278.041666666664</v>
      </c>
      <c r="B627" t="s">
        <v>11</v>
      </c>
      <c r="C627">
        <v>21.1</v>
      </c>
      <c r="D627">
        <v>36.700000000000003</v>
      </c>
      <c r="E627">
        <v>8.9</v>
      </c>
      <c r="F627">
        <v>0</v>
      </c>
      <c r="G627">
        <v>114.3</v>
      </c>
      <c r="H627">
        <v>4000</v>
      </c>
      <c r="I627">
        <v>4405.6000000000004</v>
      </c>
      <c r="J627">
        <v>1</v>
      </c>
      <c r="K627">
        <f t="shared" si="18"/>
        <v>114.3</v>
      </c>
      <c r="L627">
        <f>K627+energy_grid_portfolio_dataset!H627</f>
        <v>4114.3</v>
      </c>
      <c r="M627">
        <f t="shared" si="19"/>
        <v>1</v>
      </c>
    </row>
    <row r="628" spans="1:13" x14ac:dyDescent="0.3">
      <c r="A628" s="1">
        <v>46278.083333333336</v>
      </c>
      <c r="B628" t="s">
        <v>11</v>
      </c>
      <c r="C628">
        <v>19.7</v>
      </c>
      <c r="D628">
        <v>100</v>
      </c>
      <c r="E628">
        <v>18.2</v>
      </c>
      <c r="F628">
        <v>0</v>
      </c>
      <c r="G628">
        <v>968.3</v>
      </c>
      <c r="H628">
        <v>3188.9</v>
      </c>
      <c r="I628">
        <v>4157.2</v>
      </c>
      <c r="J628">
        <v>0</v>
      </c>
      <c r="K628">
        <f t="shared" si="18"/>
        <v>968.3</v>
      </c>
      <c r="L628">
        <f>K628+energy_grid_portfolio_dataset!H628</f>
        <v>4157.2</v>
      </c>
      <c r="M628">
        <f t="shared" si="19"/>
        <v>2</v>
      </c>
    </row>
    <row r="629" spans="1:13" x14ac:dyDescent="0.3">
      <c r="A629" s="1">
        <v>46278.125</v>
      </c>
      <c r="B629" t="s">
        <v>11</v>
      </c>
      <c r="C629">
        <v>19.8</v>
      </c>
      <c r="D629">
        <v>57</v>
      </c>
      <c r="E629">
        <v>14.7</v>
      </c>
      <c r="F629">
        <v>0</v>
      </c>
      <c r="G629">
        <v>512</v>
      </c>
      <c r="H629">
        <v>3605.3</v>
      </c>
      <c r="I629">
        <v>4117.3</v>
      </c>
      <c r="J629">
        <v>0</v>
      </c>
      <c r="K629">
        <f t="shared" si="18"/>
        <v>512</v>
      </c>
      <c r="L629">
        <f>K629+energy_grid_portfolio_dataset!H629</f>
        <v>4117.3</v>
      </c>
      <c r="M629">
        <f t="shared" si="19"/>
        <v>3</v>
      </c>
    </row>
    <row r="630" spans="1:13" x14ac:dyDescent="0.3">
      <c r="A630" s="1">
        <v>46278.166666666664</v>
      </c>
      <c r="B630" t="s">
        <v>11</v>
      </c>
      <c r="C630">
        <v>21.7</v>
      </c>
      <c r="D630">
        <v>41.9</v>
      </c>
      <c r="E630">
        <v>13.6</v>
      </c>
      <c r="F630">
        <v>0</v>
      </c>
      <c r="G630">
        <v>406</v>
      </c>
      <c r="H630">
        <v>3996.3</v>
      </c>
      <c r="I630">
        <v>4402.3</v>
      </c>
      <c r="J630">
        <v>0</v>
      </c>
      <c r="K630">
        <f t="shared" si="18"/>
        <v>406</v>
      </c>
      <c r="L630">
        <f>K630+energy_grid_portfolio_dataset!H630</f>
        <v>4402.3</v>
      </c>
      <c r="M630">
        <f t="shared" si="19"/>
        <v>4</v>
      </c>
    </row>
    <row r="631" spans="1:13" x14ac:dyDescent="0.3">
      <c r="A631" s="1">
        <v>46278.208333333336</v>
      </c>
      <c r="B631" t="s">
        <v>11</v>
      </c>
      <c r="C631">
        <v>20.7</v>
      </c>
      <c r="D631">
        <v>39.299999999999997</v>
      </c>
      <c r="E631">
        <v>7.7</v>
      </c>
      <c r="F631">
        <v>0</v>
      </c>
      <c r="G631">
        <v>74.3</v>
      </c>
      <c r="H631">
        <v>4000</v>
      </c>
      <c r="I631">
        <v>4332.8999999999996</v>
      </c>
      <c r="J631">
        <v>1</v>
      </c>
      <c r="K631">
        <f t="shared" si="18"/>
        <v>74.3</v>
      </c>
      <c r="L631">
        <f>K631+energy_grid_portfolio_dataset!H631</f>
        <v>4074.3</v>
      </c>
      <c r="M631">
        <f t="shared" si="19"/>
        <v>5</v>
      </c>
    </row>
    <row r="632" spans="1:13" x14ac:dyDescent="0.3">
      <c r="A632" s="1">
        <v>46278.25</v>
      </c>
      <c r="B632" t="s">
        <v>11</v>
      </c>
      <c r="C632">
        <v>27</v>
      </c>
      <c r="D632">
        <v>54.2</v>
      </c>
      <c r="E632">
        <v>10.4</v>
      </c>
      <c r="F632">
        <v>225.3</v>
      </c>
      <c r="G632">
        <v>181.7</v>
      </c>
      <c r="H632">
        <v>3939.3</v>
      </c>
      <c r="I632">
        <v>4346.3</v>
      </c>
      <c r="J632">
        <v>0</v>
      </c>
      <c r="K632">
        <f t="shared" si="18"/>
        <v>407</v>
      </c>
      <c r="L632">
        <f>K632+energy_grid_portfolio_dataset!H632</f>
        <v>4346.3</v>
      </c>
      <c r="M632">
        <f t="shared" si="19"/>
        <v>6</v>
      </c>
    </row>
    <row r="633" spans="1:13" x14ac:dyDescent="0.3">
      <c r="A633" s="1">
        <v>46278.291666666664</v>
      </c>
      <c r="B633" t="s">
        <v>11</v>
      </c>
      <c r="C633">
        <v>25.5</v>
      </c>
      <c r="D633">
        <v>55.5</v>
      </c>
      <c r="E633">
        <v>15</v>
      </c>
      <c r="F633">
        <v>434.1</v>
      </c>
      <c r="G633">
        <v>543.70000000000005</v>
      </c>
      <c r="H633">
        <v>3480.5</v>
      </c>
      <c r="I633">
        <v>4458.3</v>
      </c>
      <c r="J633">
        <v>0</v>
      </c>
      <c r="K633">
        <f t="shared" si="18"/>
        <v>977.80000000000007</v>
      </c>
      <c r="L633">
        <f>K633+energy_grid_portfolio_dataset!H633</f>
        <v>4458.3</v>
      </c>
      <c r="M633">
        <f t="shared" si="19"/>
        <v>7</v>
      </c>
    </row>
    <row r="634" spans="1:13" x14ac:dyDescent="0.3">
      <c r="A634" s="1">
        <v>46278.333333333336</v>
      </c>
      <c r="B634" t="s">
        <v>11</v>
      </c>
      <c r="C634">
        <v>24.9</v>
      </c>
      <c r="D634">
        <v>56.8</v>
      </c>
      <c r="E634">
        <v>7.4</v>
      </c>
      <c r="F634">
        <v>616.29999999999995</v>
      </c>
      <c r="G634">
        <v>64</v>
      </c>
      <c r="H634">
        <v>3948.2</v>
      </c>
      <c r="I634">
        <v>4628.5</v>
      </c>
      <c r="J634">
        <v>0</v>
      </c>
      <c r="K634">
        <f t="shared" si="18"/>
        <v>680.3</v>
      </c>
      <c r="L634">
        <f>K634+energy_grid_portfolio_dataset!H634</f>
        <v>4628.5</v>
      </c>
      <c r="M634">
        <f t="shared" si="19"/>
        <v>8</v>
      </c>
    </row>
    <row r="635" spans="1:13" x14ac:dyDescent="0.3">
      <c r="A635" s="1">
        <v>46278.375</v>
      </c>
      <c r="B635" t="s">
        <v>11</v>
      </c>
      <c r="C635">
        <v>25.9</v>
      </c>
      <c r="D635">
        <v>34.6</v>
      </c>
      <c r="E635">
        <v>10.5</v>
      </c>
      <c r="F635">
        <v>929.5</v>
      </c>
      <c r="G635">
        <v>186.5</v>
      </c>
      <c r="H635">
        <v>3287.3</v>
      </c>
      <c r="I635">
        <v>4403.3</v>
      </c>
      <c r="J635">
        <v>0</v>
      </c>
      <c r="K635">
        <f t="shared" si="18"/>
        <v>1116</v>
      </c>
      <c r="L635">
        <f>K635+energy_grid_portfolio_dataset!H635</f>
        <v>4403.3</v>
      </c>
      <c r="M635">
        <f t="shared" si="19"/>
        <v>9</v>
      </c>
    </row>
    <row r="636" spans="1:13" x14ac:dyDescent="0.3">
      <c r="A636" s="1">
        <v>46278.416666666664</v>
      </c>
      <c r="B636" t="s">
        <v>11</v>
      </c>
      <c r="C636">
        <v>28.4</v>
      </c>
      <c r="D636">
        <v>13.9</v>
      </c>
      <c r="E636">
        <v>12.3</v>
      </c>
      <c r="F636">
        <v>1239.0999999999999</v>
      </c>
      <c r="G636">
        <v>295.89999999999998</v>
      </c>
      <c r="H636">
        <v>4000</v>
      </c>
      <c r="I636">
        <v>6386.4</v>
      </c>
      <c r="J636">
        <v>1</v>
      </c>
      <c r="K636">
        <f t="shared" si="18"/>
        <v>1535</v>
      </c>
      <c r="L636">
        <f>K636+energy_grid_portfolio_dataset!H636</f>
        <v>5535</v>
      </c>
      <c r="M636">
        <f t="shared" si="19"/>
        <v>10</v>
      </c>
    </row>
    <row r="637" spans="1:13" x14ac:dyDescent="0.3">
      <c r="A637" s="1">
        <v>46278.458333333336</v>
      </c>
      <c r="B637" t="s">
        <v>11</v>
      </c>
      <c r="C637">
        <v>26.6</v>
      </c>
      <c r="D637">
        <v>39.6</v>
      </c>
      <c r="E637">
        <v>10.5</v>
      </c>
      <c r="F637">
        <v>1115.2</v>
      </c>
      <c r="G637">
        <v>183</v>
      </c>
      <c r="H637">
        <v>4000</v>
      </c>
      <c r="I637">
        <v>6133.6</v>
      </c>
      <c r="J637">
        <v>1</v>
      </c>
      <c r="K637">
        <f t="shared" si="18"/>
        <v>1298.2</v>
      </c>
      <c r="L637">
        <f>K637+energy_grid_portfolio_dataset!H637</f>
        <v>5298.2</v>
      </c>
      <c r="M637">
        <f t="shared" si="19"/>
        <v>11</v>
      </c>
    </row>
    <row r="638" spans="1:13" x14ac:dyDescent="0.3">
      <c r="A638" s="1">
        <v>46278.5</v>
      </c>
      <c r="B638" t="s">
        <v>11</v>
      </c>
      <c r="C638">
        <v>28.4</v>
      </c>
      <c r="D638">
        <v>10.6</v>
      </c>
      <c r="E638">
        <v>9.1999999999999993</v>
      </c>
      <c r="F638">
        <v>1405</v>
      </c>
      <c r="G638">
        <v>123.6</v>
      </c>
      <c r="H638">
        <v>4000</v>
      </c>
      <c r="I638">
        <v>6604</v>
      </c>
      <c r="J638">
        <v>1</v>
      </c>
      <c r="K638">
        <f t="shared" si="18"/>
        <v>1528.6</v>
      </c>
      <c r="L638">
        <f>K638+energy_grid_portfolio_dataset!H638</f>
        <v>5528.6</v>
      </c>
      <c r="M638">
        <f t="shared" si="19"/>
        <v>12</v>
      </c>
    </row>
    <row r="639" spans="1:13" x14ac:dyDescent="0.3">
      <c r="A639" s="1">
        <v>46278.541666666664</v>
      </c>
      <c r="B639" t="s">
        <v>11</v>
      </c>
      <c r="C639">
        <v>30</v>
      </c>
      <c r="D639">
        <v>5.4</v>
      </c>
      <c r="E639">
        <v>2.6</v>
      </c>
      <c r="F639">
        <v>1415.4</v>
      </c>
      <c r="G639">
        <v>2.8</v>
      </c>
      <c r="H639">
        <v>4000</v>
      </c>
      <c r="I639">
        <v>6393.2</v>
      </c>
      <c r="J639">
        <v>1</v>
      </c>
      <c r="K639">
        <f t="shared" si="18"/>
        <v>1418.2</v>
      </c>
      <c r="L639">
        <f>K639+energy_grid_portfolio_dataset!H639</f>
        <v>5418.2</v>
      </c>
      <c r="M639">
        <f t="shared" si="19"/>
        <v>13</v>
      </c>
    </row>
    <row r="640" spans="1:13" x14ac:dyDescent="0.3">
      <c r="A640" s="1">
        <v>46278.583333333336</v>
      </c>
      <c r="B640" t="s">
        <v>11</v>
      </c>
      <c r="C640">
        <v>27.9</v>
      </c>
      <c r="D640">
        <v>23.3</v>
      </c>
      <c r="E640">
        <v>14.7</v>
      </c>
      <c r="F640">
        <v>1162.5999999999999</v>
      </c>
      <c r="G640">
        <v>505.5</v>
      </c>
      <c r="H640">
        <v>4000</v>
      </c>
      <c r="I640">
        <v>6520.6</v>
      </c>
      <c r="J640">
        <v>1</v>
      </c>
      <c r="K640">
        <f t="shared" si="18"/>
        <v>1668.1</v>
      </c>
      <c r="L640">
        <f>K640+energy_grid_portfolio_dataset!H640</f>
        <v>5668.1</v>
      </c>
      <c r="M640">
        <f t="shared" si="19"/>
        <v>14</v>
      </c>
    </row>
    <row r="641" spans="1:13" x14ac:dyDescent="0.3">
      <c r="A641" s="1">
        <v>46278.625</v>
      </c>
      <c r="B641" t="s">
        <v>11</v>
      </c>
      <c r="C641">
        <v>26.8</v>
      </c>
      <c r="D641">
        <v>53.2</v>
      </c>
      <c r="E641">
        <v>16.600000000000001</v>
      </c>
      <c r="F641">
        <v>798.4</v>
      </c>
      <c r="G641">
        <v>734.7</v>
      </c>
      <c r="H641">
        <v>2391.5</v>
      </c>
      <c r="I641">
        <v>3924.6</v>
      </c>
      <c r="J641">
        <v>0</v>
      </c>
      <c r="K641">
        <f t="shared" si="18"/>
        <v>1533.1</v>
      </c>
      <c r="L641">
        <f>K641+energy_grid_portfolio_dataset!H641</f>
        <v>3924.6</v>
      </c>
      <c r="M641">
        <f t="shared" si="19"/>
        <v>15</v>
      </c>
    </row>
    <row r="642" spans="1:13" x14ac:dyDescent="0.3">
      <c r="A642" s="1">
        <v>46278.666666666664</v>
      </c>
      <c r="B642" t="s">
        <v>11</v>
      </c>
      <c r="C642">
        <v>26.1</v>
      </c>
      <c r="D642">
        <v>21.9</v>
      </c>
      <c r="E642">
        <v>13.3</v>
      </c>
      <c r="F642">
        <v>812.5</v>
      </c>
      <c r="G642">
        <v>374.5</v>
      </c>
      <c r="H642">
        <v>2980.9</v>
      </c>
      <c r="I642">
        <v>4167.8999999999996</v>
      </c>
      <c r="J642">
        <v>0</v>
      </c>
      <c r="K642">
        <f t="shared" si="18"/>
        <v>1187</v>
      </c>
      <c r="L642">
        <f>K642+energy_grid_portfolio_dataset!H642</f>
        <v>4167.8999999999996</v>
      </c>
      <c r="M642">
        <f t="shared" si="19"/>
        <v>16</v>
      </c>
    </row>
    <row r="643" spans="1:13" x14ac:dyDescent="0.3">
      <c r="A643" s="1">
        <v>46278.708333333336</v>
      </c>
      <c r="B643" t="s">
        <v>11</v>
      </c>
      <c r="C643">
        <v>24.6</v>
      </c>
      <c r="D643">
        <v>20.100000000000001</v>
      </c>
      <c r="E643">
        <v>15.3</v>
      </c>
      <c r="F643">
        <v>572.29999999999995</v>
      </c>
      <c r="G643">
        <v>568.1</v>
      </c>
      <c r="H643">
        <v>3045.3</v>
      </c>
      <c r="I643">
        <v>4185.7</v>
      </c>
      <c r="J643">
        <v>0</v>
      </c>
      <c r="K643">
        <f t="shared" ref="K643:K706" si="20">F643+G643</f>
        <v>1140.4000000000001</v>
      </c>
      <c r="L643">
        <f>K643+energy_grid_portfolio_dataset!H643</f>
        <v>4185.7000000000007</v>
      </c>
      <c r="M643">
        <f t="shared" ref="M643:M706" si="21">HOUR(A643)</f>
        <v>17</v>
      </c>
    </row>
    <row r="644" spans="1:13" x14ac:dyDescent="0.3">
      <c r="A644" s="1">
        <v>46278.75</v>
      </c>
      <c r="B644" t="s">
        <v>11</v>
      </c>
      <c r="C644">
        <v>23.8</v>
      </c>
      <c r="D644">
        <v>46</v>
      </c>
      <c r="E644">
        <v>4.8</v>
      </c>
      <c r="F644">
        <v>241.7</v>
      </c>
      <c r="G644">
        <v>17.2</v>
      </c>
      <c r="H644">
        <v>4000</v>
      </c>
      <c r="I644">
        <v>6848.8</v>
      </c>
      <c r="J644">
        <v>1</v>
      </c>
      <c r="K644">
        <f t="shared" si="20"/>
        <v>258.89999999999998</v>
      </c>
      <c r="L644">
        <f>K644+energy_grid_portfolio_dataset!H644</f>
        <v>4258.8999999999996</v>
      </c>
      <c r="M644">
        <f t="shared" si="21"/>
        <v>18</v>
      </c>
    </row>
    <row r="645" spans="1:13" x14ac:dyDescent="0.3">
      <c r="A645" s="1">
        <v>46278.791666666664</v>
      </c>
      <c r="B645" t="s">
        <v>11</v>
      </c>
      <c r="C645">
        <v>22.9</v>
      </c>
      <c r="D645">
        <v>100</v>
      </c>
      <c r="E645">
        <v>6.4</v>
      </c>
      <c r="F645">
        <v>0</v>
      </c>
      <c r="G645">
        <v>42.7</v>
      </c>
      <c r="H645">
        <v>4000</v>
      </c>
      <c r="I645">
        <v>6675</v>
      </c>
      <c r="J645">
        <v>1</v>
      </c>
      <c r="K645">
        <f t="shared" si="20"/>
        <v>42.7</v>
      </c>
      <c r="L645">
        <f>K645+energy_grid_portfolio_dataset!H645</f>
        <v>4042.7</v>
      </c>
      <c r="M645">
        <f t="shared" si="21"/>
        <v>19</v>
      </c>
    </row>
    <row r="646" spans="1:13" x14ac:dyDescent="0.3">
      <c r="A646" s="1">
        <v>46278.833333333336</v>
      </c>
      <c r="B646" t="s">
        <v>11</v>
      </c>
      <c r="C646">
        <v>23</v>
      </c>
      <c r="D646">
        <v>52</v>
      </c>
      <c r="E646">
        <v>20.8</v>
      </c>
      <c r="F646">
        <v>0</v>
      </c>
      <c r="G646">
        <v>1438.4</v>
      </c>
      <c r="H646">
        <v>4000</v>
      </c>
      <c r="I646">
        <v>6939.6</v>
      </c>
      <c r="J646">
        <v>1</v>
      </c>
      <c r="K646">
        <f t="shared" si="20"/>
        <v>1438.4</v>
      </c>
      <c r="L646">
        <f>K646+energy_grid_portfolio_dataset!H646</f>
        <v>5438.4</v>
      </c>
      <c r="M646">
        <f t="shared" si="21"/>
        <v>20</v>
      </c>
    </row>
    <row r="647" spans="1:13" x14ac:dyDescent="0.3">
      <c r="A647" s="1">
        <v>46278.875</v>
      </c>
      <c r="B647" t="s">
        <v>11</v>
      </c>
      <c r="C647">
        <v>21.6</v>
      </c>
      <c r="D647">
        <v>43.7</v>
      </c>
      <c r="E647">
        <v>18.100000000000001</v>
      </c>
      <c r="F647">
        <v>0</v>
      </c>
      <c r="G647">
        <v>951.6</v>
      </c>
      <c r="H647">
        <v>4000</v>
      </c>
      <c r="I647">
        <v>6775.8</v>
      </c>
      <c r="J647">
        <v>1</v>
      </c>
      <c r="K647">
        <f t="shared" si="20"/>
        <v>951.6</v>
      </c>
      <c r="L647">
        <f>K647+energy_grid_portfolio_dataset!H647</f>
        <v>4951.6000000000004</v>
      </c>
      <c r="M647">
        <f t="shared" si="21"/>
        <v>21</v>
      </c>
    </row>
    <row r="648" spans="1:13" x14ac:dyDescent="0.3">
      <c r="A648" s="1">
        <v>46278.916666666664</v>
      </c>
      <c r="B648" t="s">
        <v>11</v>
      </c>
      <c r="C648">
        <v>19.899999999999999</v>
      </c>
      <c r="D648">
        <v>12</v>
      </c>
      <c r="E648">
        <v>11</v>
      </c>
      <c r="F648">
        <v>0</v>
      </c>
      <c r="G648">
        <v>212.1</v>
      </c>
      <c r="H648">
        <v>4000</v>
      </c>
      <c r="I648">
        <v>4484.5</v>
      </c>
      <c r="J648">
        <v>1</v>
      </c>
      <c r="K648">
        <f t="shared" si="20"/>
        <v>212.1</v>
      </c>
      <c r="L648">
        <f>K648+energy_grid_portfolio_dataset!H648</f>
        <v>4212.1000000000004</v>
      </c>
      <c r="M648">
        <f t="shared" si="21"/>
        <v>22</v>
      </c>
    </row>
    <row r="649" spans="1:13" x14ac:dyDescent="0.3">
      <c r="A649" s="1">
        <v>46278.958333333336</v>
      </c>
      <c r="B649" t="s">
        <v>11</v>
      </c>
      <c r="C649">
        <v>20.100000000000001</v>
      </c>
      <c r="D649">
        <v>75.900000000000006</v>
      </c>
      <c r="E649">
        <v>9.6999999999999993</v>
      </c>
      <c r="F649">
        <v>0</v>
      </c>
      <c r="G649">
        <v>146.6</v>
      </c>
      <c r="H649">
        <v>4000</v>
      </c>
      <c r="I649">
        <v>4200</v>
      </c>
      <c r="J649">
        <v>1</v>
      </c>
      <c r="K649">
        <f t="shared" si="20"/>
        <v>146.6</v>
      </c>
      <c r="L649">
        <f>K649+energy_grid_portfolio_dataset!H649</f>
        <v>4146.6000000000004</v>
      </c>
      <c r="M649">
        <f t="shared" si="21"/>
        <v>23</v>
      </c>
    </row>
    <row r="650" spans="1:13" x14ac:dyDescent="0.3">
      <c r="A650" s="1">
        <v>46279</v>
      </c>
      <c r="B650" t="s">
        <v>11</v>
      </c>
      <c r="C650">
        <v>20.100000000000001</v>
      </c>
      <c r="D650">
        <v>66.2</v>
      </c>
      <c r="E650">
        <v>0.8</v>
      </c>
      <c r="F650">
        <v>0</v>
      </c>
      <c r="G650">
        <v>0.1</v>
      </c>
      <c r="H650">
        <v>4000</v>
      </c>
      <c r="I650">
        <v>4943.6000000000004</v>
      </c>
      <c r="J650">
        <v>1</v>
      </c>
      <c r="K650">
        <f t="shared" si="20"/>
        <v>0.1</v>
      </c>
      <c r="L650">
        <f>K650+energy_grid_portfolio_dataset!H650</f>
        <v>4000.1</v>
      </c>
      <c r="M650">
        <f t="shared" si="21"/>
        <v>0</v>
      </c>
    </row>
    <row r="651" spans="1:13" x14ac:dyDescent="0.3">
      <c r="A651" s="1">
        <v>46279.041666666664</v>
      </c>
      <c r="B651" t="s">
        <v>11</v>
      </c>
      <c r="C651">
        <v>20.3</v>
      </c>
      <c r="D651">
        <v>75</v>
      </c>
      <c r="E651">
        <v>9.5</v>
      </c>
      <c r="F651">
        <v>0</v>
      </c>
      <c r="G651">
        <v>138.9</v>
      </c>
      <c r="H651">
        <v>4000</v>
      </c>
      <c r="I651">
        <v>4859</v>
      </c>
      <c r="J651">
        <v>1</v>
      </c>
      <c r="K651">
        <f t="shared" si="20"/>
        <v>138.9</v>
      </c>
      <c r="L651">
        <f>K651+energy_grid_portfolio_dataset!H651</f>
        <v>4138.8999999999996</v>
      </c>
      <c r="M651">
        <f t="shared" si="21"/>
        <v>1</v>
      </c>
    </row>
    <row r="652" spans="1:13" x14ac:dyDescent="0.3">
      <c r="A652" s="1">
        <v>46279.083333333336</v>
      </c>
      <c r="B652" t="s">
        <v>11</v>
      </c>
      <c r="C652">
        <v>21.2</v>
      </c>
      <c r="D652">
        <v>29.1</v>
      </c>
      <c r="E652">
        <v>6.1</v>
      </c>
      <c r="F652">
        <v>0</v>
      </c>
      <c r="G652">
        <v>35.5</v>
      </c>
      <c r="H652">
        <v>4000</v>
      </c>
      <c r="I652">
        <v>4668.5</v>
      </c>
      <c r="J652">
        <v>1</v>
      </c>
      <c r="K652">
        <f t="shared" si="20"/>
        <v>35.5</v>
      </c>
      <c r="L652">
        <f>K652+energy_grid_portfolio_dataset!H652</f>
        <v>4035.5</v>
      </c>
      <c r="M652">
        <f t="shared" si="21"/>
        <v>2</v>
      </c>
    </row>
    <row r="653" spans="1:13" x14ac:dyDescent="0.3">
      <c r="A653" s="1">
        <v>46279.125</v>
      </c>
      <c r="B653" t="s">
        <v>11</v>
      </c>
      <c r="C653">
        <v>21</v>
      </c>
      <c r="D653">
        <v>29.9</v>
      </c>
      <c r="E653">
        <v>1</v>
      </c>
      <c r="F653">
        <v>0</v>
      </c>
      <c r="G653">
        <v>0.1</v>
      </c>
      <c r="H653">
        <v>4000</v>
      </c>
      <c r="I653">
        <v>4856.3</v>
      </c>
      <c r="J653">
        <v>1</v>
      </c>
      <c r="K653">
        <f t="shared" si="20"/>
        <v>0.1</v>
      </c>
      <c r="L653">
        <f>K653+energy_grid_portfolio_dataset!H653</f>
        <v>4000.1</v>
      </c>
      <c r="M653">
        <f t="shared" si="21"/>
        <v>3</v>
      </c>
    </row>
    <row r="654" spans="1:13" x14ac:dyDescent="0.3">
      <c r="A654" s="1">
        <v>46279.166666666664</v>
      </c>
      <c r="B654" t="s">
        <v>11</v>
      </c>
      <c r="C654">
        <v>23.3</v>
      </c>
      <c r="D654">
        <v>61.3</v>
      </c>
      <c r="E654">
        <v>6.3</v>
      </c>
      <c r="F654">
        <v>0</v>
      </c>
      <c r="G654">
        <v>40.200000000000003</v>
      </c>
      <c r="H654">
        <v>4000</v>
      </c>
      <c r="I654">
        <v>5084.6000000000004</v>
      </c>
      <c r="J654">
        <v>1</v>
      </c>
      <c r="K654">
        <f t="shared" si="20"/>
        <v>40.200000000000003</v>
      </c>
      <c r="L654">
        <f>K654+energy_grid_portfolio_dataset!H654</f>
        <v>4040.2</v>
      </c>
      <c r="M654">
        <f t="shared" si="21"/>
        <v>4</v>
      </c>
    </row>
    <row r="655" spans="1:13" x14ac:dyDescent="0.3">
      <c r="A655" s="1">
        <v>46279.208333333336</v>
      </c>
      <c r="B655" t="s">
        <v>11</v>
      </c>
      <c r="C655">
        <v>23</v>
      </c>
      <c r="D655">
        <v>60</v>
      </c>
      <c r="E655">
        <v>15.3</v>
      </c>
      <c r="F655">
        <v>0</v>
      </c>
      <c r="G655">
        <v>577.79999999999995</v>
      </c>
      <c r="H655">
        <v>4000</v>
      </c>
      <c r="I655">
        <v>4919.8</v>
      </c>
      <c r="J655">
        <v>1</v>
      </c>
      <c r="K655">
        <f t="shared" si="20"/>
        <v>577.79999999999995</v>
      </c>
      <c r="L655">
        <f>K655+energy_grid_portfolio_dataset!H655</f>
        <v>4577.8</v>
      </c>
      <c r="M655">
        <f t="shared" si="21"/>
        <v>5</v>
      </c>
    </row>
    <row r="656" spans="1:13" x14ac:dyDescent="0.3">
      <c r="A656" s="1">
        <v>46279.25</v>
      </c>
      <c r="B656" t="s">
        <v>11</v>
      </c>
      <c r="C656">
        <v>24.1</v>
      </c>
      <c r="D656">
        <v>56.4</v>
      </c>
      <c r="E656">
        <v>19.3</v>
      </c>
      <c r="F656">
        <v>220.8</v>
      </c>
      <c r="G656">
        <v>1146.5</v>
      </c>
      <c r="H656">
        <v>3472.6</v>
      </c>
      <c r="I656">
        <v>4839.8999999999996</v>
      </c>
      <c r="J656">
        <v>0</v>
      </c>
      <c r="K656">
        <f t="shared" si="20"/>
        <v>1367.3</v>
      </c>
      <c r="L656">
        <f>K656+energy_grid_portfolio_dataset!H656</f>
        <v>4839.8999999999996</v>
      </c>
      <c r="M656">
        <f t="shared" si="21"/>
        <v>6</v>
      </c>
    </row>
    <row r="657" spans="1:13" x14ac:dyDescent="0.3">
      <c r="A657" s="1">
        <v>46279.291666666664</v>
      </c>
      <c r="B657" t="s">
        <v>11</v>
      </c>
      <c r="C657">
        <v>25.8</v>
      </c>
      <c r="D657">
        <v>47.1</v>
      </c>
      <c r="E657">
        <v>19.100000000000001</v>
      </c>
      <c r="F657">
        <v>466.9</v>
      </c>
      <c r="G657">
        <v>1106.5</v>
      </c>
      <c r="H657">
        <v>3482.3</v>
      </c>
      <c r="I657">
        <v>5055.7</v>
      </c>
      <c r="J657">
        <v>0</v>
      </c>
      <c r="K657">
        <f t="shared" si="20"/>
        <v>1573.4</v>
      </c>
      <c r="L657">
        <f>K657+energy_grid_portfolio_dataset!H657</f>
        <v>5055.7000000000007</v>
      </c>
      <c r="M657">
        <f t="shared" si="21"/>
        <v>7</v>
      </c>
    </row>
    <row r="658" spans="1:13" x14ac:dyDescent="0.3">
      <c r="A658" s="1">
        <v>46279.333333333336</v>
      </c>
      <c r="B658" t="s">
        <v>11</v>
      </c>
      <c r="C658">
        <v>25.1</v>
      </c>
      <c r="D658">
        <v>80.099999999999994</v>
      </c>
      <c r="E658">
        <v>15.5</v>
      </c>
      <c r="F658">
        <v>485.8</v>
      </c>
      <c r="G658">
        <v>594.6</v>
      </c>
      <c r="H658">
        <v>3931.1</v>
      </c>
      <c r="I658">
        <v>5011.5</v>
      </c>
      <c r="J658">
        <v>0</v>
      </c>
      <c r="K658">
        <f t="shared" si="20"/>
        <v>1080.4000000000001</v>
      </c>
      <c r="L658">
        <f>K658+energy_grid_portfolio_dataset!H658</f>
        <v>5011.5</v>
      </c>
      <c r="M658">
        <f t="shared" si="21"/>
        <v>8</v>
      </c>
    </row>
    <row r="659" spans="1:13" x14ac:dyDescent="0.3">
      <c r="A659" s="1">
        <v>46279.375</v>
      </c>
      <c r="B659" t="s">
        <v>11</v>
      </c>
      <c r="C659">
        <v>26.3</v>
      </c>
      <c r="D659">
        <v>52.4</v>
      </c>
      <c r="E659">
        <v>14.3</v>
      </c>
      <c r="F659">
        <v>803.9</v>
      </c>
      <c r="G659">
        <v>469.4</v>
      </c>
      <c r="H659">
        <v>3610.2</v>
      </c>
      <c r="I659">
        <v>4883.5</v>
      </c>
      <c r="J659">
        <v>0</v>
      </c>
      <c r="K659">
        <f t="shared" si="20"/>
        <v>1273.3</v>
      </c>
      <c r="L659">
        <f>K659+energy_grid_portfolio_dataset!H659</f>
        <v>4883.5</v>
      </c>
      <c r="M659">
        <f t="shared" si="21"/>
        <v>9</v>
      </c>
    </row>
    <row r="660" spans="1:13" x14ac:dyDescent="0.3">
      <c r="A660" s="1">
        <v>46279.416666666664</v>
      </c>
      <c r="B660" t="s">
        <v>11</v>
      </c>
      <c r="C660">
        <v>27.8</v>
      </c>
      <c r="D660">
        <v>87.5</v>
      </c>
      <c r="E660">
        <v>17.399999999999999</v>
      </c>
      <c r="F660">
        <v>641.9</v>
      </c>
      <c r="G660">
        <v>836.8</v>
      </c>
      <c r="H660">
        <v>4000</v>
      </c>
      <c r="I660">
        <v>7179.6</v>
      </c>
      <c r="J660">
        <v>1</v>
      </c>
      <c r="K660">
        <f t="shared" si="20"/>
        <v>1478.6999999999998</v>
      </c>
      <c r="L660">
        <f>K660+energy_grid_portfolio_dataset!H660</f>
        <v>5478.7</v>
      </c>
      <c r="M660">
        <f t="shared" si="21"/>
        <v>10</v>
      </c>
    </row>
    <row r="661" spans="1:13" x14ac:dyDescent="0.3">
      <c r="A661" s="1">
        <v>46279.458333333336</v>
      </c>
      <c r="B661" t="s">
        <v>11</v>
      </c>
      <c r="C661">
        <v>28.8</v>
      </c>
      <c r="D661">
        <v>19.2</v>
      </c>
      <c r="E661">
        <v>14</v>
      </c>
      <c r="F661">
        <v>1294</v>
      </c>
      <c r="G661">
        <v>438.1</v>
      </c>
      <c r="H661">
        <v>4000</v>
      </c>
      <c r="I661">
        <v>7178.6</v>
      </c>
      <c r="J661">
        <v>1</v>
      </c>
      <c r="K661">
        <f t="shared" si="20"/>
        <v>1732.1</v>
      </c>
      <c r="L661">
        <f>K661+energy_grid_portfolio_dataset!H661</f>
        <v>5732.1</v>
      </c>
      <c r="M661">
        <f t="shared" si="21"/>
        <v>11</v>
      </c>
    </row>
    <row r="662" spans="1:13" x14ac:dyDescent="0.3">
      <c r="A662" s="1">
        <v>46279.5</v>
      </c>
      <c r="B662" t="s">
        <v>11</v>
      </c>
      <c r="C662">
        <v>27.8</v>
      </c>
      <c r="D662">
        <v>23.8</v>
      </c>
      <c r="E662">
        <v>8.6999999999999993</v>
      </c>
      <c r="F662">
        <v>1285.7</v>
      </c>
      <c r="G662">
        <v>106.8</v>
      </c>
      <c r="H662">
        <v>4000</v>
      </c>
      <c r="I662">
        <v>7421.4</v>
      </c>
      <c r="J662">
        <v>1</v>
      </c>
      <c r="K662">
        <f t="shared" si="20"/>
        <v>1392.5</v>
      </c>
      <c r="L662">
        <f>K662+energy_grid_portfolio_dataset!H662</f>
        <v>5392.5</v>
      </c>
      <c r="M662">
        <f t="shared" si="21"/>
        <v>12</v>
      </c>
    </row>
    <row r="663" spans="1:13" x14ac:dyDescent="0.3">
      <c r="A663" s="1">
        <v>46279.541666666664</v>
      </c>
      <c r="B663" t="s">
        <v>11</v>
      </c>
      <c r="C663">
        <v>27.1</v>
      </c>
      <c r="D663">
        <v>35.700000000000003</v>
      </c>
      <c r="E663">
        <v>5</v>
      </c>
      <c r="F663">
        <v>1148.8</v>
      </c>
      <c r="G663">
        <v>19.7</v>
      </c>
      <c r="H663">
        <v>4000</v>
      </c>
      <c r="I663">
        <v>6986.6</v>
      </c>
      <c r="J663">
        <v>1</v>
      </c>
      <c r="K663">
        <f t="shared" si="20"/>
        <v>1168.5</v>
      </c>
      <c r="L663">
        <f>K663+energy_grid_portfolio_dataset!H663</f>
        <v>5168.5</v>
      </c>
      <c r="M663">
        <f t="shared" si="21"/>
        <v>13</v>
      </c>
    </row>
    <row r="664" spans="1:13" x14ac:dyDescent="0.3">
      <c r="A664" s="1">
        <v>46279.583333333336</v>
      </c>
      <c r="B664" t="s">
        <v>11</v>
      </c>
      <c r="C664">
        <v>28.4</v>
      </c>
      <c r="D664">
        <v>22.3</v>
      </c>
      <c r="E664">
        <v>19.600000000000001</v>
      </c>
      <c r="F664">
        <v>1170.5999999999999</v>
      </c>
      <c r="G664">
        <v>1204.0999999999999</v>
      </c>
      <c r="H664">
        <v>4000</v>
      </c>
      <c r="I664">
        <v>7152.3</v>
      </c>
      <c r="J664">
        <v>1</v>
      </c>
      <c r="K664">
        <f t="shared" si="20"/>
        <v>2374.6999999999998</v>
      </c>
      <c r="L664">
        <f>K664+energy_grid_portfolio_dataset!H664</f>
        <v>6374.7</v>
      </c>
      <c r="M664">
        <f t="shared" si="21"/>
        <v>14</v>
      </c>
    </row>
    <row r="665" spans="1:13" x14ac:dyDescent="0.3">
      <c r="A665" s="1">
        <v>46279.625</v>
      </c>
      <c r="B665" t="s">
        <v>11</v>
      </c>
      <c r="C665">
        <v>27.9</v>
      </c>
      <c r="D665">
        <v>28.6</v>
      </c>
      <c r="E665">
        <v>16.3</v>
      </c>
      <c r="F665">
        <v>971.8</v>
      </c>
      <c r="G665">
        <v>689.4</v>
      </c>
      <c r="H665">
        <v>3365.4</v>
      </c>
      <c r="I665">
        <v>5026.6000000000004</v>
      </c>
      <c r="J665">
        <v>0</v>
      </c>
      <c r="K665">
        <f t="shared" si="20"/>
        <v>1661.1999999999998</v>
      </c>
      <c r="L665">
        <f>K665+energy_grid_portfolio_dataset!H665</f>
        <v>5026.6000000000004</v>
      </c>
      <c r="M665">
        <f t="shared" si="21"/>
        <v>15</v>
      </c>
    </row>
    <row r="666" spans="1:13" x14ac:dyDescent="0.3">
      <c r="A666" s="1">
        <v>46279.666666666664</v>
      </c>
      <c r="B666" t="s">
        <v>11</v>
      </c>
      <c r="C666">
        <v>26.9</v>
      </c>
      <c r="D666">
        <v>49.3</v>
      </c>
      <c r="E666">
        <v>14.8</v>
      </c>
      <c r="F666">
        <v>658.6</v>
      </c>
      <c r="G666">
        <v>515.1</v>
      </c>
      <c r="H666">
        <v>3612.5</v>
      </c>
      <c r="I666">
        <v>4786.2</v>
      </c>
      <c r="J666">
        <v>0</v>
      </c>
      <c r="K666">
        <f t="shared" si="20"/>
        <v>1173.7</v>
      </c>
      <c r="L666">
        <f>K666+energy_grid_portfolio_dataset!H666</f>
        <v>4786.2</v>
      </c>
      <c r="M666">
        <f t="shared" si="21"/>
        <v>16</v>
      </c>
    </row>
    <row r="667" spans="1:13" x14ac:dyDescent="0.3">
      <c r="A667" s="1">
        <v>46279.708333333336</v>
      </c>
      <c r="B667" t="s">
        <v>11</v>
      </c>
      <c r="C667">
        <v>24.1</v>
      </c>
      <c r="D667">
        <v>59.9</v>
      </c>
      <c r="E667">
        <v>7.3</v>
      </c>
      <c r="F667">
        <v>416.8</v>
      </c>
      <c r="G667">
        <v>61.2</v>
      </c>
      <c r="H667">
        <v>4000</v>
      </c>
      <c r="I667">
        <v>4773.7</v>
      </c>
      <c r="J667">
        <v>1</v>
      </c>
      <c r="K667">
        <f t="shared" si="20"/>
        <v>478</v>
      </c>
      <c r="L667">
        <f>K667+energy_grid_portfolio_dataset!H667</f>
        <v>4478</v>
      </c>
      <c r="M667">
        <f t="shared" si="21"/>
        <v>17</v>
      </c>
    </row>
    <row r="668" spans="1:13" x14ac:dyDescent="0.3">
      <c r="A668" s="1">
        <v>46279.75</v>
      </c>
      <c r="B668" t="s">
        <v>11</v>
      </c>
      <c r="C668">
        <v>22.6</v>
      </c>
      <c r="D668">
        <v>66.2</v>
      </c>
      <c r="E668">
        <v>5.8</v>
      </c>
      <c r="F668">
        <v>201.2</v>
      </c>
      <c r="G668">
        <v>31.8</v>
      </c>
      <c r="H668">
        <v>4000</v>
      </c>
      <c r="I668">
        <v>7769.5</v>
      </c>
      <c r="J668">
        <v>1</v>
      </c>
      <c r="K668">
        <f t="shared" si="20"/>
        <v>233</v>
      </c>
      <c r="L668">
        <f>K668+energy_grid_portfolio_dataset!H668</f>
        <v>4233</v>
      </c>
      <c r="M668">
        <f t="shared" si="21"/>
        <v>18</v>
      </c>
    </row>
    <row r="669" spans="1:13" x14ac:dyDescent="0.3">
      <c r="A669" s="1">
        <v>46279.791666666664</v>
      </c>
      <c r="B669" t="s">
        <v>11</v>
      </c>
      <c r="C669">
        <v>23.6</v>
      </c>
      <c r="D669">
        <v>27.6</v>
      </c>
      <c r="E669">
        <v>14.9</v>
      </c>
      <c r="F669">
        <v>0</v>
      </c>
      <c r="G669">
        <v>530.4</v>
      </c>
      <c r="H669">
        <v>4000</v>
      </c>
      <c r="I669">
        <v>7782.8</v>
      </c>
      <c r="J669">
        <v>1</v>
      </c>
      <c r="K669">
        <f t="shared" si="20"/>
        <v>530.4</v>
      </c>
      <c r="L669">
        <f>K669+energy_grid_portfolio_dataset!H669</f>
        <v>4530.3999999999996</v>
      </c>
      <c r="M669">
        <f t="shared" si="21"/>
        <v>19</v>
      </c>
    </row>
    <row r="670" spans="1:13" x14ac:dyDescent="0.3">
      <c r="A670" s="1">
        <v>46279.833333333336</v>
      </c>
      <c r="B670" t="s">
        <v>11</v>
      </c>
      <c r="C670">
        <v>21.5</v>
      </c>
      <c r="D670">
        <v>19.8</v>
      </c>
      <c r="E670">
        <v>2.2000000000000002</v>
      </c>
      <c r="F670">
        <v>0</v>
      </c>
      <c r="G670">
        <v>1.7</v>
      </c>
      <c r="H670">
        <v>4000</v>
      </c>
      <c r="I670">
        <v>7739.1</v>
      </c>
      <c r="J670">
        <v>1</v>
      </c>
      <c r="K670">
        <f t="shared" si="20"/>
        <v>1.7</v>
      </c>
      <c r="L670">
        <f>K670+energy_grid_portfolio_dataset!H670</f>
        <v>4001.7</v>
      </c>
      <c r="M670">
        <f t="shared" si="21"/>
        <v>20</v>
      </c>
    </row>
    <row r="671" spans="1:13" x14ac:dyDescent="0.3">
      <c r="A671" s="1">
        <v>46279.875</v>
      </c>
      <c r="B671" t="s">
        <v>11</v>
      </c>
      <c r="C671">
        <v>19.600000000000001</v>
      </c>
      <c r="D671">
        <v>47.4</v>
      </c>
      <c r="E671">
        <v>10.7</v>
      </c>
      <c r="F671">
        <v>0</v>
      </c>
      <c r="G671">
        <v>195.1</v>
      </c>
      <c r="H671">
        <v>4000</v>
      </c>
      <c r="I671">
        <v>7752.4</v>
      </c>
      <c r="J671">
        <v>1</v>
      </c>
      <c r="K671">
        <f t="shared" si="20"/>
        <v>195.1</v>
      </c>
      <c r="L671">
        <f>K671+energy_grid_portfolio_dataset!H671</f>
        <v>4195.1000000000004</v>
      </c>
      <c r="M671">
        <f t="shared" si="21"/>
        <v>21</v>
      </c>
    </row>
    <row r="672" spans="1:13" x14ac:dyDescent="0.3">
      <c r="A672" s="1">
        <v>46279.916666666664</v>
      </c>
      <c r="B672" t="s">
        <v>11</v>
      </c>
      <c r="C672">
        <v>20.2</v>
      </c>
      <c r="D672">
        <v>36.799999999999997</v>
      </c>
      <c r="E672">
        <v>15.7</v>
      </c>
      <c r="F672">
        <v>0</v>
      </c>
      <c r="G672">
        <v>614.4</v>
      </c>
      <c r="H672">
        <v>4000</v>
      </c>
      <c r="I672">
        <v>5051.8999999999996</v>
      </c>
      <c r="J672">
        <v>1</v>
      </c>
      <c r="K672">
        <f t="shared" si="20"/>
        <v>614.4</v>
      </c>
      <c r="L672">
        <f>K672+energy_grid_portfolio_dataset!H672</f>
        <v>4614.3999999999996</v>
      </c>
      <c r="M672">
        <f t="shared" si="21"/>
        <v>22</v>
      </c>
    </row>
    <row r="673" spans="1:13" x14ac:dyDescent="0.3">
      <c r="A673" s="1">
        <v>46279.958333333336</v>
      </c>
      <c r="B673" t="s">
        <v>11</v>
      </c>
      <c r="C673">
        <v>20.5</v>
      </c>
      <c r="D673">
        <v>56.7</v>
      </c>
      <c r="E673">
        <v>4.3</v>
      </c>
      <c r="F673">
        <v>0</v>
      </c>
      <c r="G673">
        <v>12.9</v>
      </c>
      <c r="H673">
        <v>4000</v>
      </c>
      <c r="I673">
        <v>5000.3</v>
      </c>
      <c r="J673">
        <v>1</v>
      </c>
      <c r="K673">
        <f t="shared" si="20"/>
        <v>12.9</v>
      </c>
      <c r="L673">
        <f>K673+energy_grid_portfolio_dataset!H673</f>
        <v>4012.9</v>
      </c>
      <c r="M673">
        <f t="shared" si="21"/>
        <v>23</v>
      </c>
    </row>
    <row r="674" spans="1:13" x14ac:dyDescent="0.3">
      <c r="A674" s="1">
        <v>46266</v>
      </c>
      <c r="B674" t="s">
        <v>12</v>
      </c>
      <c r="C674">
        <v>18.2</v>
      </c>
      <c r="D674">
        <v>29.5</v>
      </c>
      <c r="E674">
        <v>5.3</v>
      </c>
      <c r="F674">
        <v>0</v>
      </c>
      <c r="G674">
        <v>14</v>
      </c>
      <c r="H674">
        <v>4000</v>
      </c>
      <c r="I674">
        <v>5063.5</v>
      </c>
      <c r="J674">
        <v>1</v>
      </c>
      <c r="K674">
        <f t="shared" si="20"/>
        <v>14</v>
      </c>
      <c r="L674">
        <f>K674+energy_grid_portfolio_dataset!H674</f>
        <v>4014</v>
      </c>
      <c r="M674">
        <f t="shared" si="21"/>
        <v>0</v>
      </c>
    </row>
    <row r="675" spans="1:13" x14ac:dyDescent="0.3">
      <c r="A675" s="1">
        <v>46266.041666666664</v>
      </c>
      <c r="B675" t="s">
        <v>12</v>
      </c>
      <c r="C675">
        <v>16.899999999999999</v>
      </c>
      <c r="D675">
        <v>70</v>
      </c>
      <c r="E675">
        <v>10.3</v>
      </c>
      <c r="F675">
        <v>0</v>
      </c>
      <c r="G675">
        <v>104.7</v>
      </c>
      <c r="H675">
        <v>4000</v>
      </c>
      <c r="I675">
        <v>4944.1000000000004</v>
      </c>
      <c r="J675">
        <v>1</v>
      </c>
      <c r="K675">
        <f t="shared" si="20"/>
        <v>104.7</v>
      </c>
      <c r="L675">
        <f>K675+energy_grid_portfolio_dataset!H675</f>
        <v>4104.7</v>
      </c>
      <c r="M675">
        <f t="shared" si="21"/>
        <v>1</v>
      </c>
    </row>
    <row r="676" spans="1:13" x14ac:dyDescent="0.3">
      <c r="A676" s="1">
        <v>46266.083333333336</v>
      </c>
      <c r="B676" t="s">
        <v>12</v>
      </c>
      <c r="C676">
        <v>15</v>
      </c>
      <c r="D676">
        <v>78.7</v>
      </c>
      <c r="E676">
        <v>10</v>
      </c>
      <c r="F676">
        <v>0</v>
      </c>
      <c r="G676">
        <v>95.6</v>
      </c>
      <c r="H676">
        <v>4000</v>
      </c>
      <c r="I676">
        <v>5112.3</v>
      </c>
      <c r="J676">
        <v>1</v>
      </c>
      <c r="K676">
        <f t="shared" si="20"/>
        <v>95.6</v>
      </c>
      <c r="L676">
        <f>K676+energy_grid_portfolio_dataset!H676</f>
        <v>4095.6</v>
      </c>
      <c r="M676">
        <f t="shared" si="21"/>
        <v>2</v>
      </c>
    </row>
    <row r="677" spans="1:13" x14ac:dyDescent="0.3">
      <c r="A677" s="1">
        <v>46266.125</v>
      </c>
      <c r="B677" t="s">
        <v>12</v>
      </c>
      <c r="C677">
        <v>20.6</v>
      </c>
      <c r="D677">
        <v>100</v>
      </c>
      <c r="E677">
        <v>9.1</v>
      </c>
      <c r="F677">
        <v>0</v>
      </c>
      <c r="G677">
        <v>71.7</v>
      </c>
      <c r="H677">
        <v>4000</v>
      </c>
      <c r="I677">
        <v>5008</v>
      </c>
      <c r="J677">
        <v>1</v>
      </c>
      <c r="K677">
        <f t="shared" si="20"/>
        <v>71.7</v>
      </c>
      <c r="L677">
        <f>K677+energy_grid_portfolio_dataset!H677</f>
        <v>4071.7</v>
      </c>
      <c r="M677">
        <f t="shared" si="21"/>
        <v>3</v>
      </c>
    </row>
    <row r="678" spans="1:13" x14ac:dyDescent="0.3">
      <c r="A678" s="1">
        <v>46266.166666666664</v>
      </c>
      <c r="B678" t="s">
        <v>12</v>
      </c>
      <c r="C678">
        <v>21.6</v>
      </c>
      <c r="D678">
        <v>64.3</v>
      </c>
      <c r="E678">
        <v>6.1</v>
      </c>
      <c r="F678">
        <v>0</v>
      </c>
      <c r="G678">
        <v>21.5</v>
      </c>
      <c r="H678">
        <v>4000</v>
      </c>
      <c r="I678">
        <v>4987.3999999999996</v>
      </c>
      <c r="J678">
        <v>1</v>
      </c>
      <c r="K678">
        <f t="shared" si="20"/>
        <v>21.5</v>
      </c>
      <c r="L678">
        <f>K678+energy_grid_portfolio_dataset!H678</f>
        <v>4021.5</v>
      </c>
      <c r="M678">
        <f t="shared" si="21"/>
        <v>4</v>
      </c>
    </row>
    <row r="679" spans="1:13" x14ac:dyDescent="0.3">
      <c r="A679" s="1">
        <v>46266.208333333336</v>
      </c>
      <c r="B679" t="s">
        <v>12</v>
      </c>
      <c r="C679">
        <v>23.8</v>
      </c>
      <c r="D679">
        <v>35.4</v>
      </c>
      <c r="E679">
        <v>10.6</v>
      </c>
      <c r="F679">
        <v>0</v>
      </c>
      <c r="G679">
        <v>114.2</v>
      </c>
      <c r="H679">
        <v>4000</v>
      </c>
      <c r="I679">
        <v>4897.3</v>
      </c>
      <c r="J679">
        <v>1</v>
      </c>
      <c r="K679">
        <f t="shared" si="20"/>
        <v>114.2</v>
      </c>
      <c r="L679">
        <f>K679+energy_grid_portfolio_dataset!H679</f>
        <v>4114.2</v>
      </c>
      <c r="M679">
        <f t="shared" si="21"/>
        <v>5</v>
      </c>
    </row>
    <row r="680" spans="1:13" x14ac:dyDescent="0.3">
      <c r="A680" s="1">
        <v>46266.25</v>
      </c>
      <c r="B680" t="s">
        <v>12</v>
      </c>
      <c r="C680">
        <v>19.2</v>
      </c>
      <c r="D680">
        <v>71</v>
      </c>
      <c r="E680">
        <v>0</v>
      </c>
      <c r="F680">
        <v>192.2</v>
      </c>
      <c r="G680">
        <v>0</v>
      </c>
      <c r="H680">
        <v>4000</v>
      </c>
      <c r="I680">
        <v>5025</v>
      </c>
      <c r="J680">
        <v>1</v>
      </c>
      <c r="K680">
        <f t="shared" si="20"/>
        <v>192.2</v>
      </c>
      <c r="L680">
        <f>K680+energy_grid_portfolio_dataset!H680</f>
        <v>4192.2</v>
      </c>
      <c r="M680">
        <f t="shared" si="21"/>
        <v>6</v>
      </c>
    </row>
    <row r="681" spans="1:13" x14ac:dyDescent="0.3">
      <c r="A681" s="1">
        <v>46266.291666666664</v>
      </c>
      <c r="B681" t="s">
        <v>12</v>
      </c>
      <c r="C681">
        <v>25.1</v>
      </c>
      <c r="D681">
        <v>42.2</v>
      </c>
      <c r="E681">
        <v>6.4</v>
      </c>
      <c r="F681">
        <v>574.6</v>
      </c>
      <c r="G681">
        <v>24.8</v>
      </c>
      <c r="H681">
        <v>4000</v>
      </c>
      <c r="I681">
        <v>5043.8</v>
      </c>
      <c r="J681">
        <v>1</v>
      </c>
      <c r="K681">
        <f t="shared" si="20"/>
        <v>599.4</v>
      </c>
      <c r="L681">
        <f>K681+energy_grid_portfolio_dataset!H681</f>
        <v>4599.3999999999996</v>
      </c>
      <c r="M681">
        <f t="shared" si="21"/>
        <v>7</v>
      </c>
    </row>
    <row r="682" spans="1:13" x14ac:dyDescent="0.3">
      <c r="A682" s="1">
        <v>46266.333333333336</v>
      </c>
      <c r="B682" t="s">
        <v>12</v>
      </c>
      <c r="C682">
        <v>23.5</v>
      </c>
      <c r="D682">
        <v>28.2</v>
      </c>
      <c r="E682">
        <v>10.4</v>
      </c>
      <c r="F682">
        <v>965.3</v>
      </c>
      <c r="G682">
        <v>109.4</v>
      </c>
      <c r="H682">
        <v>4000</v>
      </c>
      <c r="I682">
        <v>5243.1</v>
      </c>
      <c r="J682">
        <v>1</v>
      </c>
      <c r="K682">
        <f t="shared" si="20"/>
        <v>1074.7</v>
      </c>
      <c r="L682">
        <f>K682+energy_grid_portfolio_dataset!H682</f>
        <v>5074.7</v>
      </c>
      <c r="M682">
        <f t="shared" si="21"/>
        <v>8</v>
      </c>
    </row>
    <row r="683" spans="1:13" x14ac:dyDescent="0.3">
      <c r="A683" s="1">
        <v>46266.375</v>
      </c>
      <c r="B683" t="s">
        <v>12</v>
      </c>
      <c r="C683">
        <v>25.5</v>
      </c>
      <c r="D683">
        <v>90.3</v>
      </c>
      <c r="E683">
        <v>10</v>
      </c>
      <c r="F683">
        <v>433.5</v>
      </c>
      <c r="G683">
        <v>96.7</v>
      </c>
      <c r="H683">
        <v>4000</v>
      </c>
      <c r="I683">
        <v>5244.4</v>
      </c>
      <c r="J683">
        <v>1</v>
      </c>
      <c r="K683">
        <f t="shared" si="20"/>
        <v>530.20000000000005</v>
      </c>
      <c r="L683">
        <f>K683+energy_grid_portfolio_dataset!H683</f>
        <v>4530.2</v>
      </c>
      <c r="M683">
        <f t="shared" si="21"/>
        <v>9</v>
      </c>
    </row>
    <row r="684" spans="1:13" x14ac:dyDescent="0.3">
      <c r="A684" s="1">
        <v>46266.416666666664</v>
      </c>
      <c r="B684" t="s">
        <v>12</v>
      </c>
      <c r="C684">
        <v>25.4</v>
      </c>
      <c r="D684">
        <v>96.9</v>
      </c>
      <c r="E684">
        <v>11.1</v>
      </c>
      <c r="F684">
        <v>404.7</v>
      </c>
      <c r="G684">
        <v>129.69999999999999</v>
      </c>
      <c r="H684">
        <v>4000</v>
      </c>
      <c r="I684">
        <v>7038.6</v>
      </c>
      <c r="J684">
        <v>1</v>
      </c>
      <c r="K684">
        <f t="shared" si="20"/>
        <v>534.4</v>
      </c>
      <c r="L684">
        <f>K684+energy_grid_portfolio_dataset!H684</f>
        <v>4534.3999999999996</v>
      </c>
      <c r="M684">
        <f t="shared" si="21"/>
        <v>10</v>
      </c>
    </row>
    <row r="685" spans="1:13" x14ac:dyDescent="0.3">
      <c r="A685" s="1">
        <v>46266.458333333336</v>
      </c>
      <c r="B685" t="s">
        <v>12</v>
      </c>
      <c r="C685">
        <v>25.1</v>
      </c>
      <c r="D685">
        <v>100</v>
      </c>
      <c r="E685">
        <v>4.4000000000000004</v>
      </c>
      <c r="F685">
        <v>390</v>
      </c>
      <c r="G685">
        <v>8.1999999999999993</v>
      </c>
      <c r="H685">
        <v>4000</v>
      </c>
      <c r="I685">
        <v>7234.4</v>
      </c>
      <c r="J685">
        <v>1</v>
      </c>
      <c r="K685">
        <f t="shared" si="20"/>
        <v>398.2</v>
      </c>
      <c r="L685">
        <f>K685+energy_grid_portfolio_dataset!H685</f>
        <v>4398.2</v>
      </c>
      <c r="M685">
        <f t="shared" si="21"/>
        <v>11</v>
      </c>
    </row>
    <row r="686" spans="1:13" x14ac:dyDescent="0.3">
      <c r="A686" s="1">
        <v>46266.5</v>
      </c>
      <c r="B686" t="s">
        <v>12</v>
      </c>
      <c r="C686">
        <v>27.7</v>
      </c>
      <c r="D686">
        <v>100</v>
      </c>
      <c r="E686">
        <v>8.6</v>
      </c>
      <c r="F686">
        <v>400</v>
      </c>
      <c r="G686">
        <v>60.3</v>
      </c>
      <c r="H686">
        <v>4000</v>
      </c>
      <c r="I686">
        <v>7099.7</v>
      </c>
      <c r="J686">
        <v>1</v>
      </c>
      <c r="K686">
        <f t="shared" si="20"/>
        <v>460.3</v>
      </c>
      <c r="L686">
        <f>K686+energy_grid_portfolio_dataset!H686</f>
        <v>4460.3</v>
      </c>
      <c r="M686">
        <f t="shared" si="21"/>
        <v>12</v>
      </c>
    </row>
    <row r="687" spans="1:13" x14ac:dyDescent="0.3">
      <c r="A687" s="1">
        <v>46266.541666666664</v>
      </c>
      <c r="B687" t="s">
        <v>12</v>
      </c>
      <c r="C687">
        <v>27.8</v>
      </c>
      <c r="D687">
        <v>61.3</v>
      </c>
      <c r="E687">
        <v>7.7</v>
      </c>
      <c r="F687">
        <v>993.6</v>
      </c>
      <c r="G687">
        <v>43.4</v>
      </c>
      <c r="H687">
        <v>4000</v>
      </c>
      <c r="I687">
        <v>7212.2</v>
      </c>
      <c r="J687">
        <v>1</v>
      </c>
      <c r="K687">
        <f t="shared" si="20"/>
        <v>1037</v>
      </c>
      <c r="L687">
        <f>K687+energy_grid_portfolio_dataset!H687</f>
        <v>5037</v>
      </c>
      <c r="M687">
        <f t="shared" si="21"/>
        <v>13</v>
      </c>
    </row>
    <row r="688" spans="1:13" x14ac:dyDescent="0.3">
      <c r="A688" s="1">
        <v>46266.583333333336</v>
      </c>
      <c r="B688" t="s">
        <v>12</v>
      </c>
      <c r="C688">
        <v>25.7</v>
      </c>
      <c r="D688">
        <v>67.2</v>
      </c>
      <c r="E688">
        <v>2.5</v>
      </c>
      <c r="F688">
        <v>832.6</v>
      </c>
      <c r="G688">
        <v>1.6</v>
      </c>
      <c r="H688">
        <v>4000</v>
      </c>
      <c r="I688">
        <v>6770.6</v>
      </c>
      <c r="J688">
        <v>1</v>
      </c>
      <c r="K688">
        <f t="shared" si="20"/>
        <v>834.2</v>
      </c>
      <c r="L688">
        <f>K688+energy_grid_portfolio_dataset!H688</f>
        <v>4834.2</v>
      </c>
      <c r="M688">
        <f t="shared" si="21"/>
        <v>14</v>
      </c>
    </row>
    <row r="689" spans="1:13" x14ac:dyDescent="0.3">
      <c r="A689" s="1">
        <v>46266.625</v>
      </c>
      <c r="B689" t="s">
        <v>12</v>
      </c>
      <c r="C689">
        <v>25.1</v>
      </c>
      <c r="D689">
        <v>100</v>
      </c>
      <c r="E689">
        <v>10.7</v>
      </c>
      <c r="F689">
        <v>312.7</v>
      </c>
      <c r="G689">
        <v>118.2</v>
      </c>
      <c r="H689">
        <v>4000</v>
      </c>
      <c r="I689">
        <v>5007.8999999999996</v>
      </c>
      <c r="J689">
        <v>1</v>
      </c>
      <c r="K689">
        <f t="shared" si="20"/>
        <v>430.9</v>
      </c>
      <c r="L689">
        <f>K689+energy_grid_portfolio_dataset!H689</f>
        <v>4430.8999999999996</v>
      </c>
      <c r="M689">
        <f t="shared" si="21"/>
        <v>15</v>
      </c>
    </row>
    <row r="690" spans="1:13" x14ac:dyDescent="0.3">
      <c r="A690" s="1">
        <v>46266.666666666664</v>
      </c>
      <c r="B690" t="s">
        <v>12</v>
      </c>
      <c r="C690">
        <v>24.2</v>
      </c>
      <c r="D690">
        <v>57.8</v>
      </c>
      <c r="E690">
        <v>4.5999999999999996</v>
      </c>
      <c r="F690">
        <v>670.6</v>
      </c>
      <c r="G690">
        <v>9.6</v>
      </c>
      <c r="H690">
        <v>4000</v>
      </c>
      <c r="I690">
        <v>4880.1000000000004</v>
      </c>
      <c r="J690">
        <v>1</v>
      </c>
      <c r="K690">
        <f t="shared" si="20"/>
        <v>680.2</v>
      </c>
      <c r="L690">
        <f>K690+energy_grid_portfolio_dataset!H690</f>
        <v>4680.2</v>
      </c>
      <c r="M690">
        <f t="shared" si="21"/>
        <v>16</v>
      </c>
    </row>
    <row r="691" spans="1:13" x14ac:dyDescent="0.3">
      <c r="A691" s="1">
        <v>46266.708333333336</v>
      </c>
      <c r="B691" t="s">
        <v>12</v>
      </c>
      <c r="C691">
        <v>21.8</v>
      </c>
      <c r="D691">
        <v>26.1</v>
      </c>
      <c r="E691">
        <v>7.9</v>
      </c>
      <c r="F691">
        <v>686.7</v>
      </c>
      <c r="G691">
        <v>46.8</v>
      </c>
      <c r="H691">
        <v>4000</v>
      </c>
      <c r="I691">
        <v>4979.3</v>
      </c>
      <c r="J691">
        <v>1</v>
      </c>
      <c r="K691">
        <f t="shared" si="20"/>
        <v>733.5</v>
      </c>
      <c r="L691">
        <f>K691+energy_grid_portfolio_dataset!H691</f>
        <v>4733.5</v>
      </c>
      <c r="M691">
        <f t="shared" si="21"/>
        <v>17</v>
      </c>
    </row>
    <row r="692" spans="1:13" x14ac:dyDescent="0.3">
      <c r="A692" s="1">
        <v>46266.75</v>
      </c>
      <c r="B692" t="s">
        <v>12</v>
      </c>
      <c r="C692">
        <v>20.399999999999999</v>
      </c>
      <c r="D692">
        <v>86.9</v>
      </c>
      <c r="E692">
        <v>4.0999999999999996</v>
      </c>
      <c r="F692">
        <v>135.80000000000001</v>
      </c>
      <c r="G692">
        <v>6.6</v>
      </c>
      <c r="H692">
        <v>4000</v>
      </c>
      <c r="I692">
        <v>7794.4</v>
      </c>
      <c r="J692">
        <v>1</v>
      </c>
      <c r="K692">
        <f t="shared" si="20"/>
        <v>142.4</v>
      </c>
      <c r="L692">
        <f>K692+energy_grid_portfolio_dataset!H692</f>
        <v>4142.3999999999996</v>
      </c>
      <c r="M692">
        <f t="shared" si="21"/>
        <v>18</v>
      </c>
    </row>
    <row r="693" spans="1:13" x14ac:dyDescent="0.3">
      <c r="A693" s="1">
        <v>46266.791666666664</v>
      </c>
      <c r="B693" t="s">
        <v>12</v>
      </c>
      <c r="C693">
        <v>22.3</v>
      </c>
      <c r="D693">
        <v>59</v>
      </c>
      <c r="E693">
        <v>7.4</v>
      </c>
      <c r="F693">
        <v>0</v>
      </c>
      <c r="G693">
        <v>38.299999999999997</v>
      </c>
      <c r="H693">
        <v>4000</v>
      </c>
      <c r="I693">
        <v>7738</v>
      </c>
      <c r="J693">
        <v>1</v>
      </c>
      <c r="K693">
        <f t="shared" si="20"/>
        <v>38.299999999999997</v>
      </c>
      <c r="L693">
        <f>K693+energy_grid_portfolio_dataset!H693</f>
        <v>4038.3</v>
      </c>
      <c r="M693">
        <f t="shared" si="21"/>
        <v>19</v>
      </c>
    </row>
    <row r="694" spans="1:13" x14ac:dyDescent="0.3">
      <c r="A694" s="1">
        <v>46266.833333333336</v>
      </c>
      <c r="B694" t="s">
        <v>12</v>
      </c>
      <c r="C694">
        <v>19.100000000000001</v>
      </c>
      <c r="D694">
        <v>53.8</v>
      </c>
      <c r="E694">
        <v>3.8</v>
      </c>
      <c r="F694">
        <v>0</v>
      </c>
      <c r="G694">
        <v>5.0999999999999996</v>
      </c>
      <c r="H694">
        <v>4000</v>
      </c>
      <c r="I694">
        <v>7622.5</v>
      </c>
      <c r="J694">
        <v>1</v>
      </c>
      <c r="K694">
        <f t="shared" si="20"/>
        <v>5.0999999999999996</v>
      </c>
      <c r="L694">
        <f>K694+energy_grid_portfolio_dataset!H694</f>
        <v>4005.1</v>
      </c>
      <c r="M694">
        <f t="shared" si="21"/>
        <v>20</v>
      </c>
    </row>
    <row r="695" spans="1:13" x14ac:dyDescent="0.3">
      <c r="A695" s="1">
        <v>46266.875</v>
      </c>
      <c r="B695" t="s">
        <v>12</v>
      </c>
      <c r="C695">
        <v>15.4</v>
      </c>
      <c r="D695">
        <v>45.3</v>
      </c>
      <c r="E695">
        <v>5.0999999999999996</v>
      </c>
      <c r="F695">
        <v>0</v>
      </c>
      <c r="G695">
        <v>13.1</v>
      </c>
      <c r="H695">
        <v>4000</v>
      </c>
      <c r="I695">
        <v>7673.5</v>
      </c>
      <c r="J695">
        <v>1</v>
      </c>
      <c r="K695">
        <f t="shared" si="20"/>
        <v>13.1</v>
      </c>
      <c r="L695">
        <f>K695+energy_grid_portfolio_dataset!H695</f>
        <v>4013.1</v>
      </c>
      <c r="M695">
        <f t="shared" si="21"/>
        <v>21</v>
      </c>
    </row>
    <row r="696" spans="1:13" x14ac:dyDescent="0.3">
      <c r="A696" s="1">
        <v>46266.916666666664</v>
      </c>
      <c r="B696" t="s">
        <v>12</v>
      </c>
      <c r="C696">
        <v>17.2</v>
      </c>
      <c r="D696">
        <v>58.1</v>
      </c>
      <c r="E696">
        <v>7.4</v>
      </c>
      <c r="F696">
        <v>0</v>
      </c>
      <c r="G696">
        <v>39.5</v>
      </c>
      <c r="H696">
        <v>4000</v>
      </c>
      <c r="I696">
        <v>4911.6000000000004</v>
      </c>
      <c r="J696">
        <v>1</v>
      </c>
      <c r="K696">
        <f t="shared" si="20"/>
        <v>39.5</v>
      </c>
      <c r="L696">
        <f>K696+energy_grid_portfolio_dataset!H696</f>
        <v>4039.5</v>
      </c>
      <c r="M696">
        <f t="shared" si="21"/>
        <v>22</v>
      </c>
    </row>
    <row r="697" spans="1:13" x14ac:dyDescent="0.3">
      <c r="A697" s="1">
        <v>46266.958333333336</v>
      </c>
      <c r="B697" t="s">
        <v>12</v>
      </c>
      <c r="C697">
        <v>15.9</v>
      </c>
      <c r="D697">
        <v>23.9</v>
      </c>
      <c r="E697">
        <v>2.9</v>
      </c>
      <c r="F697">
        <v>0</v>
      </c>
      <c r="G697">
        <v>2.2999999999999998</v>
      </c>
      <c r="H697">
        <v>4000</v>
      </c>
      <c r="I697">
        <v>5081.2</v>
      </c>
      <c r="J697">
        <v>1</v>
      </c>
      <c r="K697">
        <f t="shared" si="20"/>
        <v>2.2999999999999998</v>
      </c>
      <c r="L697">
        <f>K697+energy_grid_portfolio_dataset!H697</f>
        <v>4002.3</v>
      </c>
      <c r="M697">
        <f t="shared" si="21"/>
        <v>23</v>
      </c>
    </row>
    <row r="698" spans="1:13" x14ac:dyDescent="0.3">
      <c r="A698" s="1">
        <v>46267</v>
      </c>
      <c r="B698" t="s">
        <v>12</v>
      </c>
      <c r="C698">
        <v>16.3</v>
      </c>
      <c r="D698">
        <v>36.9</v>
      </c>
      <c r="E698">
        <v>2.1</v>
      </c>
      <c r="F698">
        <v>0</v>
      </c>
      <c r="G698">
        <v>0.9</v>
      </c>
      <c r="H698">
        <v>4000</v>
      </c>
      <c r="I698">
        <v>4876.8999999999996</v>
      </c>
      <c r="J698">
        <v>1</v>
      </c>
      <c r="K698">
        <f t="shared" si="20"/>
        <v>0.9</v>
      </c>
      <c r="L698">
        <f>K698+energy_grid_portfolio_dataset!H698</f>
        <v>4000.9</v>
      </c>
      <c r="M698">
        <f t="shared" si="21"/>
        <v>0</v>
      </c>
    </row>
    <row r="699" spans="1:13" x14ac:dyDescent="0.3">
      <c r="A699" s="1">
        <v>46267.041666666664</v>
      </c>
      <c r="B699" t="s">
        <v>12</v>
      </c>
      <c r="C699">
        <v>17.5</v>
      </c>
      <c r="D699">
        <v>77.900000000000006</v>
      </c>
      <c r="E699">
        <v>4.3</v>
      </c>
      <c r="F699">
        <v>0</v>
      </c>
      <c r="G699">
        <v>7.8</v>
      </c>
      <c r="H699">
        <v>4000</v>
      </c>
      <c r="I699">
        <v>4881.6000000000004</v>
      </c>
      <c r="J699">
        <v>1</v>
      </c>
      <c r="K699">
        <f t="shared" si="20"/>
        <v>7.8</v>
      </c>
      <c r="L699">
        <f>K699+energy_grid_portfolio_dataset!H699</f>
        <v>4007.8</v>
      </c>
      <c r="M699">
        <f t="shared" si="21"/>
        <v>1</v>
      </c>
    </row>
    <row r="700" spans="1:13" x14ac:dyDescent="0.3">
      <c r="A700" s="1">
        <v>46267.083333333336</v>
      </c>
      <c r="B700" t="s">
        <v>12</v>
      </c>
      <c r="C700">
        <v>15.8</v>
      </c>
      <c r="D700">
        <v>59.1</v>
      </c>
      <c r="E700">
        <v>3.5</v>
      </c>
      <c r="F700">
        <v>0</v>
      </c>
      <c r="G700">
        <v>4</v>
      </c>
      <c r="H700">
        <v>4000</v>
      </c>
      <c r="I700">
        <v>4888.1000000000004</v>
      </c>
      <c r="J700">
        <v>1</v>
      </c>
      <c r="K700">
        <f t="shared" si="20"/>
        <v>4</v>
      </c>
      <c r="L700">
        <f>K700+energy_grid_portfolio_dataset!H700</f>
        <v>4004</v>
      </c>
      <c r="M700">
        <f t="shared" si="21"/>
        <v>2</v>
      </c>
    </row>
    <row r="701" spans="1:13" x14ac:dyDescent="0.3">
      <c r="A701" s="1">
        <v>46267.125</v>
      </c>
      <c r="B701" t="s">
        <v>12</v>
      </c>
      <c r="C701">
        <v>14.9</v>
      </c>
      <c r="D701">
        <v>49.2</v>
      </c>
      <c r="E701">
        <v>6.9</v>
      </c>
      <c r="F701">
        <v>0</v>
      </c>
      <c r="G701">
        <v>31.6</v>
      </c>
      <c r="H701">
        <v>4000</v>
      </c>
      <c r="I701">
        <v>5036</v>
      </c>
      <c r="J701">
        <v>1</v>
      </c>
      <c r="K701">
        <f t="shared" si="20"/>
        <v>31.6</v>
      </c>
      <c r="L701">
        <f>K701+energy_grid_portfolio_dataset!H701</f>
        <v>4031.6</v>
      </c>
      <c r="M701">
        <f t="shared" si="21"/>
        <v>3</v>
      </c>
    </row>
    <row r="702" spans="1:13" x14ac:dyDescent="0.3">
      <c r="A702" s="1">
        <v>46267.166666666664</v>
      </c>
      <c r="B702" t="s">
        <v>12</v>
      </c>
      <c r="C702">
        <v>24.9</v>
      </c>
      <c r="D702">
        <v>70.5</v>
      </c>
      <c r="E702">
        <v>3</v>
      </c>
      <c r="F702">
        <v>0</v>
      </c>
      <c r="G702">
        <v>2.6</v>
      </c>
      <c r="H702">
        <v>4000</v>
      </c>
      <c r="I702">
        <v>4977.6000000000004</v>
      </c>
      <c r="J702">
        <v>1</v>
      </c>
      <c r="K702">
        <f t="shared" si="20"/>
        <v>2.6</v>
      </c>
      <c r="L702">
        <f>K702+energy_grid_portfolio_dataset!H702</f>
        <v>4002.6</v>
      </c>
      <c r="M702">
        <f t="shared" si="21"/>
        <v>4</v>
      </c>
    </row>
    <row r="703" spans="1:13" x14ac:dyDescent="0.3">
      <c r="A703" s="1">
        <v>46267.208333333336</v>
      </c>
      <c r="B703" t="s">
        <v>12</v>
      </c>
      <c r="C703">
        <v>17.2</v>
      </c>
      <c r="D703">
        <v>57.6</v>
      </c>
      <c r="E703">
        <v>3.5</v>
      </c>
      <c r="F703">
        <v>0</v>
      </c>
      <c r="G703">
        <v>4.0999999999999996</v>
      </c>
      <c r="H703">
        <v>4000</v>
      </c>
      <c r="I703">
        <v>4935.7</v>
      </c>
      <c r="J703">
        <v>1</v>
      </c>
      <c r="K703">
        <f t="shared" si="20"/>
        <v>4.0999999999999996</v>
      </c>
      <c r="L703">
        <f>K703+energy_grid_portfolio_dataset!H703</f>
        <v>4004.1</v>
      </c>
      <c r="M703">
        <f t="shared" si="21"/>
        <v>5</v>
      </c>
    </row>
    <row r="704" spans="1:13" x14ac:dyDescent="0.3">
      <c r="A704" s="1">
        <v>46267.25</v>
      </c>
      <c r="B704" t="s">
        <v>12</v>
      </c>
      <c r="C704">
        <v>20.9</v>
      </c>
      <c r="D704">
        <v>56.5</v>
      </c>
      <c r="E704">
        <v>4.0999999999999996</v>
      </c>
      <c r="F704">
        <v>243.9</v>
      </c>
      <c r="G704">
        <v>6.6</v>
      </c>
      <c r="H704">
        <v>4000</v>
      </c>
      <c r="I704">
        <v>5087.3</v>
      </c>
      <c r="J704">
        <v>1</v>
      </c>
      <c r="K704">
        <f t="shared" si="20"/>
        <v>250.5</v>
      </c>
      <c r="L704">
        <f>K704+energy_grid_portfolio_dataset!H704</f>
        <v>4250.5</v>
      </c>
      <c r="M704">
        <f t="shared" si="21"/>
        <v>6</v>
      </c>
    </row>
    <row r="705" spans="1:13" x14ac:dyDescent="0.3">
      <c r="A705" s="1">
        <v>46267.291666666664</v>
      </c>
      <c r="B705" t="s">
        <v>12</v>
      </c>
      <c r="C705">
        <v>22.7</v>
      </c>
      <c r="D705">
        <v>100</v>
      </c>
      <c r="E705">
        <v>8.4</v>
      </c>
      <c r="F705">
        <v>173.6</v>
      </c>
      <c r="G705">
        <v>57.8</v>
      </c>
      <c r="H705">
        <v>4000</v>
      </c>
      <c r="I705">
        <v>5210.8</v>
      </c>
      <c r="J705">
        <v>1</v>
      </c>
      <c r="K705">
        <f t="shared" si="20"/>
        <v>231.39999999999998</v>
      </c>
      <c r="L705">
        <f>K705+energy_grid_portfolio_dataset!H705</f>
        <v>4231.3999999999996</v>
      </c>
      <c r="M705">
        <f t="shared" si="21"/>
        <v>7</v>
      </c>
    </row>
    <row r="706" spans="1:13" x14ac:dyDescent="0.3">
      <c r="A706" s="1">
        <v>46267.333333333336</v>
      </c>
      <c r="B706" t="s">
        <v>12</v>
      </c>
      <c r="C706">
        <v>25.2</v>
      </c>
      <c r="D706">
        <v>71.8</v>
      </c>
      <c r="E706">
        <v>0.2</v>
      </c>
      <c r="F706">
        <v>530.6</v>
      </c>
      <c r="G706">
        <v>0</v>
      </c>
      <c r="H706">
        <v>4000</v>
      </c>
      <c r="I706">
        <v>5022.3</v>
      </c>
      <c r="J706">
        <v>1</v>
      </c>
      <c r="K706">
        <f t="shared" si="20"/>
        <v>530.6</v>
      </c>
      <c r="L706">
        <f>K706+energy_grid_portfolio_dataset!H706</f>
        <v>4530.6000000000004</v>
      </c>
      <c r="M706">
        <f t="shared" si="21"/>
        <v>8</v>
      </c>
    </row>
    <row r="707" spans="1:13" x14ac:dyDescent="0.3">
      <c r="A707" s="1">
        <v>46267.375</v>
      </c>
      <c r="B707" t="s">
        <v>12</v>
      </c>
      <c r="C707">
        <v>27.2</v>
      </c>
      <c r="D707">
        <v>58.5</v>
      </c>
      <c r="E707">
        <v>1.8</v>
      </c>
      <c r="F707">
        <v>831.5</v>
      </c>
      <c r="G707">
        <v>0.5</v>
      </c>
      <c r="H707">
        <v>4000</v>
      </c>
      <c r="I707">
        <v>4908.2</v>
      </c>
      <c r="J707">
        <v>1</v>
      </c>
      <c r="K707">
        <f t="shared" ref="K707:K770" si="22">F707+G707</f>
        <v>832</v>
      </c>
      <c r="L707">
        <f>K707+energy_grid_portfolio_dataset!H707</f>
        <v>4832</v>
      </c>
      <c r="M707">
        <f t="shared" ref="M707:M770" si="23">HOUR(A707)</f>
        <v>9</v>
      </c>
    </row>
    <row r="708" spans="1:13" x14ac:dyDescent="0.3">
      <c r="A708" s="1">
        <v>46267.416666666664</v>
      </c>
      <c r="B708" t="s">
        <v>12</v>
      </c>
      <c r="C708">
        <v>29.7</v>
      </c>
      <c r="D708">
        <v>97.4</v>
      </c>
      <c r="E708">
        <v>5.8</v>
      </c>
      <c r="F708">
        <v>397.8</v>
      </c>
      <c r="G708">
        <v>18.899999999999999</v>
      </c>
      <c r="H708">
        <v>4000</v>
      </c>
      <c r="I708">
        <v>7142.1</v>
      </c>
      <c r="J708">
        <v>1</v>
      </c>
      <c r="K708">
        <f t="shared" si="22"/>
        <v>416.7</v>
      </c>
      <c r="L708">
        <f>K708+energy_grid_portfolio_dataset!H708</f>
        <v>4416.7</v>
      </c>
      <c r="M708">
        <f t="shared" si="23"/>
        <v>10</v>
      </c>
    </row>
    <row r="709" spans="1:13" x14ac:dyDescent="0.3">
      <c r="A709" s="1">
        <v>46267.458333333336</v>
      </c>
      <c r="B709" t="s">
        <v>12</v>
      </c>
      <c r="C709">
        <v>26.1</v>
      </c>
      <c r="D709">
        <v>8.9</v>
      </c>
      <c r="E709">
        <v>3.2</v>
      </c>
      <c r="F709">
        <v>1811.3</v>
      </c>
      <c r="G709">
        <v>3.2</v>
      </c>
      <c r="H709">
        <v>4000</v>
      </c>
      <c r="I709">
        <v>7292.7</v>
      </c>
      <c r="J709">
        <v>1</v>
      </c>
      <c r="K709">
        <f t="shared" si="22"/>
        <v>1814.5</v>
      </c>
      <c r="L709">
        <f>K709+energy_grid_portfolio_dataset!H709</f>
        <v>5814.5</v>
      </c>
      <c r="M709">
        <f t="shared" si="23"/>
        <v>11</v>
      </c>
    </row>
    <row r="710" spans="1:13" x14ac:dyDescent="0.3">
      <c r="A710" s="1">
        <v>46267.5</v>
      </c>
      <c r="B710" t="s">
        <v>12</v>
      </c>
      <c r="C710">
        <v>26.5</v>
      </c>
      <c r="D710">
        <v>52.7</v>
      </c>
      <c r="E710">
        <v>5.0999999999999996</v>
      </c>
      <c r="F710">
        <v>1156.8</v>
      </c>
      <c r="G710">
        <v>12.7</v>
      </c>
      <c r="H710">
        <v>4000</v>
      </c>
      <c r="I710">
        <v>7384.4</v>
      </c>
      <c r="J710">
        <v>1</v>
      </c>
      <c r="K710">
        <f t="shared" si="22"/>
        <v>1169.5</v>
      </c>
      <c r="L710">
        <f>K710+energy_grid_portfolio_dataset!H710</f>
        <v>5169.5</v>
      </c>
      <c r="M710">
        <f t="shared" si="23"/>
        <v>12</v>
      </c>
    </row>
    <row r="711" spans="1:13" x14ac:dyDescent="0.3">
      <c r="A711" s="1">
        <v>46267.541666666664</v>
      </c>
      <c r="B711" t="s">
        <v>12</v>
      </c>
      <c r="C711">
        <v>30.1</v>
      </c>
      <c r="D711">
        <v>100</v>
      </c>
      <c r="E711">
        <v>5.5</v>
      </c>
      <c r="F711">
        <v>390</v>
      </c>
      <c r="G711">
        <v>16.2</v>
      </c>
      <c r="H711">
        <v>4000</v>
      </c>
      <c r="I711">
        <v>7435.6</v>
      </c>
      <c r="J711">
        <v>1</v>
      </c>
      <c r="K711">
        <f t="shared" si="22"/>
        <v>406.2</v>
      </c>
      <c r="L711">
        <f>K711+energy_grid_portfolio_dataset!H711</f>
        <v>4406.2</v>
      </c>
      <c r="M711">
        <f t="shared" si="23"/>
        <v>13</v>
      </c>
    </row>
    <row r="712" spans="1:13" x14ac:dyDescent="0.3">
      <c r="A712" s="1">
        <v>46267.583333333336</v>
      </c>
      <c r="B712" t="s">
        <v>12</v>
      </c>
      <c r="C712">
        <v>23.3</v>
      </c>
      <c r="D712">
        <v>100</v>
      </c>
      <c r="E712">
        <v>2.5</v>
      </c>
      <c r="F712">
        <v>360.4</v>
      </c>
      <c r="G712">
        <v>1.5</v>
      </c>
      <c r="H712">
        <v>4000</v>
      </c>
      <c r="I712">
        <v>7194.3</v>
      </c>
      <c r="J712">
        <v>1</v>
      </c>
      <c r="K712">
        <f t="shared" si="22"/>
        <v>361.9</v>
      </c>
      <c r="L712">
        <f>K712+energy_grid_portfolio_dataset!H712</f>
        <v>4361.8999999999996</v>
      </c>
      <c r="M712">
        <f t="shared" si="23"/>
        <v>14</v>
      </c>
    </row>
    <row r="713" spans="1:13" x14ac:dyDescent="0.3">
      <c r="A713" s="1">
        <v>46267.625</v>
      </c>
      <c r="B713" t="s">
        <v>12</v>
      </c>
      <c r="C713">
        <v>23.3</v>
      </c>
      <c r="D713">
        <v>42.3</v>
      </c>
      <c r="E713">
        <v>3.5</v>
      </c>
      <c r="F713">
        <v>1034.0999999999999</v>
      </c>
      <c r="G713">
        <v>4.0999999999999996</v>
      </c>
      <c r="H713">
        <v>3944.3</v>
      </c>
      <c r="I713">
        <v>4982.5</v>
      </c>
      <c r="J713">
        <v>0</v>
      </c>
      <c r="K713">
        <f t="shared" si="22"/>
        <v>1038.1999999999998</v>
      </c>
      <c r="L713">
        <f>K713+energy_grid_portfolio_dataset!H713</f>
        <v>4982.5</v>
      </c>
      <c r="M713">
        <f t="shared" si="23"/>
        <v>15</v>
      </c>
    </row>
    <row r="714" spans="1:13" x14ac:dyDescent="0.3">
      <c r="A714" s="1">
        <v>46267.666666666664</v>
      </c>
      <c r="B714" t="s">
        <v>12</v>
      </c>
      <c r="C714">
        <v>23.4</v>
      </c>
      <c r="D714">
        <v>43.6</v>
      </c>
      <c r="E714">
        <v>8.5</v>
      </c>
      <c r="F714">
        <v>812.5</v>
      </c>
      <c r="G714">
        <v>59</v>
      </c>
      <c r="H714">
        <v>3987.3</v>
      </c>
      <c r="I714">
        <v>4858.8</v>
      </c>
      <c r="J714">
        <v>0</v>
      </c>
      <c r="K714">
        <f t="shared" si="22"/>
        <v>871.5</v>
      </c>
      <c r="L714">
        <f>K714+energy_grid_portfolio_dataset!H714</f>
        <v>4858.8</v>
      </c>
      <c r="M714">
        <f t="shared" si="23"/>
        <v>16</v>
      </c>
    </row>
    <row r="715" spans="1:13" x14ac:dyDescent="0.3">
      <c r="A715" s="1">
        <v>46267.708333333336</v>
      </c>
      <c r="B715" t="s">
        <v>12</v>
      </c>
      <c r="C715">
        <v>23.7</v>
      </c>
      <c r="D715">
        <v>96.5</v>
      </c>
      <c r="E715">
        <v>4.5</v>
      </c>
      <c r="F715">
        <v>197.6</v>
      </c>
      <c r="G715">
        <v>8.5</v>
      </c>
      <c r="H715">
        <v>4000</v>
      </c>
      <c r="I715">
        <v>4784.3</v>
      </c>
      <c r="J715">
        <v>1</v>
      </c>
      <c r="K715">
        <f t="shared" si="22"/>
        <v>206.1</v>
      </c>
      <c r="L715">
        <f>K715+energy_grid_portfolio_dataset!H715</f>
        <v>4206.1000000000004</v>
      </c>
      <c r="M715">
        <f t="shared" si="23"/>
        <v>17</v>
      </c>
    </row>
    <row r="716" spans="1:13" x14ac:dyDescent="0.3">
      <c r="A716" s="1">
        <v>46267.75</v>
      </c>
      <c r="B716" t="s">
        <v>12</v>
      </c>
      <c r="C716">
        <v>21.5</v>
      </c>
      <c r="D716">
        <v>95.4</v>
      </c>
      <c r="E716">
        <v>6.6</v>
      </c>
      <c r="F716">
        <v>105.4</v>
      </c>
      <c r="G716">
        <v>27.4</v>
      </c>
      <c r="H716">
        <v>4000</v>
      </c>
      <c r="I716">
        <v>7592.3</v>
      </c>
      <c r="J716">
        <v>1</v>
      </c>
      <c r="K716">
        <f t="shared" si="22"/>
        <v>132.80000000000001</v>
      </c>
      <c r="L716">
        <f>K716+energy_grid_portfolio_dataset!H716</f>
        <v>4132.8</v>
      </c>
      <c r="M716">
        <f t="shared" si="23"/>
        <v>18</v>
      </c>
    </row>
    <row r="717" spans="1:13" x14ac:dyDescent="0.3">
      <c r="A717" s="1">
        <v>46267.791666666664</v>
      </c>
      <c r="B717" t="s">
        <v>12</v>
      </c>
      <c r="C717">
        <v>21.7</v>
      </c>
      <c r="D717">
        <v>26.9</v>
      </c>
      <c r="E717">
        <v>8</v>
      </c>
      <c r="F717">
        <v>0</v>
      </c>
      <c r="G717">
        <v>50</v>
      </c>
      <c r="H717">
        <v>4000</v>
      </c>
      <c r="I717">
        <v>7620.3</v>
      </c>
      <c r="J717">
        <v>1</v>
      </c>
      <c r="K717">
        <f t="shared" si="22"/>
        <v>50</v>
      </c>
      <c r="L717">
        <f>K717+energy_grid_portfolio_dataset!H717</f>
        <v>4050</v>
      </c>
      <c r="M717">
        <f t="shared" si="23"/>
        <v>19</v>
      </c>
    </row>
    <row r="718" spans="1:13" x14ac:dyDescent="0.3">
      <c r="A718" s="1">
        <v>46267.833333333336</v>
      </c>
      <c r="B718" t="s">
        <v>12</v>
      </c>
      <c r="C718">
        <v>18.899999999999999</v>
      </c>
      <c r="D718">
        <v>34.799999999999997</v>
      </c>
      <c r="E718">
        <v>3.3</v>
      </c>
      <c r="F718">
        <v>0</v>
      </c>
      <c r="G718">
        <v>3.6</v>
      </c>
      <c r="H718">
        <v>4000</v>
      </c>
      <c r="I718">
        <v>7761.3</v>
      </c>
      <c r="J718">
        <v>1</v>
      </c>
      <c r="K718">
        <f t="shared" si="22"/>
        <v>3.6</v>
      </c>
      <c r="L718">
        <f>K718+energy_grid_portfolio_dataset!H718</f>
        <v>4003.6</v>
      </c>
      <c r="M718">
        <f t="shared" si="23"/>
        <v>20</v>
      </c>
    </row>
    <row r="719" spans="1:13" x14ac:dyDescent="0.3">
      <c r="A719" s="1">
        <v>46267.875</v>
      </c>
      <c r="B719" t="s">
        <v>12</v>
      </c>
      <c r="C719">
        <v>20.9</v>
      </c>
      <c r="D719">
        <v>40.9</v>
      </c>
      <c r="E719">
        <v>7.4</v>
      </c>
      <c r="F719">
        <v>0</v>
      </c>
      <c r="G719">
        <v>38.5</v>
      </c>
      <c r="H719">
        <v>4000</v>
      </c>
      <c r="I719">
        <v>7780.2</v>
      </c>
      <c r="J719">
        <v>1</v>
      </c>
      <c r="K719">
        <f t="shared" si="22"/>
        <v>38.5</v>
      </c>
      <c r="L719">
        <f>K719+energy_grid_portfolio_dataset!H719</f>
        <v>4038.5</v>
      </c>
      <c r="M719">
        <f t="shared" si="23"/>
        <v>21</v>
      </c>
    </row>
    <row r="720" spans="1:13" x14ac:dyDescent="0.3">
      <c r="A720" s="1">
        <v>46267.916666666664</v>
      </c>
      <c r="B720" t="s">
        <v>12</v>
      </c>
      <c r="C720">
        <v>16.5</v>
      </c>
      <c r="D720">
        <v>59.1</v>
      </c>
      <c r="E720">
        <v>3.3</v>
      </c>
      <c r="F720">
        <v>0</v>
      </c>
      <c r="G720">
        <v>3.4</v>
      </c>
      <c r="H720">
        <v>4000</v>
      </c>
      <c r="I720">
        <v>4636.8999999999996</v>
      </c>
      <c r="J720">
        <v>1</v>
      </c>
      <c r="K720">
        <f t="shared" si="22"/>
        <v>3.4</v>
      </c>
      <c r="L720">
        <f>K720+energy_grid_portfolio_dataset!H720</f>
        <v>4003.4</v>
      </c>
      <c r="M720">
        <f t="shared" si="23"/>
        <v>22</v>
      </c>
    </row>
    <row r="721" spans="1:13" x14ac:dyDescent="0.3">
      <c r="A721" s="1">
        <v>46267.958333333336</v>
      </c>
      <c r="B721" t="s">
        <v>12</v>
      </c>
      <c r="C721">
        <v>15.8</v>
      </c>
      <c r="D721">
        <v>68.8</v>
      </c>
      <c r="E721">
        <v>5.4</v>
      </c>
      <c r="F721">
        <v>0</v>
      </c>
      <c r="G721">
        <v>15.4</v>
      </c>
      <c r="H721">
        <v>4000</v>
      </c>
      <c r="I721">
        <v>4809.5</v>
      </c>
      <c r="J721">
        <v>1</v>
      </c>
      <c r="K721">
        <f t="shared" si="22"/>
        <v>15.4</v>
      </c>
      <c r="L721">
        <f>K721+energy_grid_portfolio_dataset!H721</f>
        <v>4015.4</v>
      </c>
      <c r="M721">
        <f t="shared" si="23"/>
        <v>23</v>
      </c>
    </row>
    <row r="722" spans="1:13" x14ac:dyDescent="0.3">
      <c r="A722" s="1">
        <v>46268</v>
      </c>
      <c r="B722" t="s">
        <v>12</v>
      </c>
      <c r="C722">
        <v>12.8</v>
      </c>
      <c r="D722">
        <v>41.8</v>
      </c>
      <c r="E722">
        <v>7.4</v>
      </c>
      <c r="F722">
        <v>0</v>
      </c>
      <c r="G722">
        <v>38.5</v>
      </c>
      <c r="H722">
        <v>4000</v>
      </c>
      <c r="I722">
        <v>4614.3</v>
      </c>
      <c r="J722">
        <v>1</v>
      </c>
      <c r="K722">
        <f t="shared" si="22"/>
        <v>38.5</v>
      </c>
      <c r="L722">
        <f>K722+energy_grid_portfolio_dataset!H722</f>
        <v>4038.5</v>
      </c>
      <c r="M722">
        <f t="shared" si="23"/>
        <v>0</v>
      </c>
    </row>
    <row r="723" spans="1:13" x14ac:dyDescent="0.3">
      <c r="A723" s="1">
        <v>46268.041666666664</v>
      </c>
      <c r="B723" t="s">
        <v>12</v>
      </c>
      <c r="C723">
        <v>16.2</v>
      </c>
      <c r="D723">
        <v>44.2</v>
      </c>
      <c r="E723">
        <v>10.199999999999999</v>
      </c>
      <c r="F723">
        <v>0</v>
      </c>
      <c r="G723">
        <v>100.8</v>
      </c>
      <c r="H723">
        <v>4000</v>
      </c>
      <c r="I723">
        <v>4537.8999999999996</v>
      </c>
      <c r="J723">
        <v>1</v>
      </c>
      <c r="K723">
        <f t="shared" si="22"/>
        <v>100.8</v>
      </c>
      <c r="L723">
        <f>K723+energy_grid_portfolio_dataset!H723</f>
        <v>4100.8</v>
      </c>
      <c r="M723">
        <f t="shared" si="23"/>
        <v>1</v>
      </c>
    </row>
    <row r="724" spans="1:13" x14ac:dyDescent="0.3">
      <c r="A724" s="1">
        <v>46268.083333333336</v>
      </c>
      <c r="B724" t="s">
        <v>12</v>
      </c>
      <c r="C724">
        <v>18.399999999999999</v>
      </c>
      <c r="D724">
        <v>64.2</v>
      </c>
      <c r="E724">
        <v>0</v>
      </c>
      <c r="F724">
        <v>0</v>
      </c>
      <c r="G724">
        <v>0</v>
      </c>
      <c r="H724">
        <v>4000</v>
      </c>
      <c r="I724">
        <v>4892.2</v>
      </c>
      <c r="J724">
        <v>1</v>
      </c>
      <c r="K724">
        <f t="shared" si="22"/>
        <v>0</v>
      </c>
      <c r="L724">
        <f>K724+energy_grid_portfolio_dataset!H724</f>
        <v>4000</v>
      </c>
      <c r="M724">
        <f t="shared" si="23"/>
        <v>2</v>
      </c>
    </row>
    <row r="725" spans="1:13" x14ac:dyDescent="0.3">
      <c r="A725" s="1">
        <v>46268.125</v>
      </c>
      <c r="B725" t="s">
        <v>12</v>
      </c>
      <c r="C725">
        <v>18.899999999999999</v>
      </c>
      <c r="D725">
        <v>75.2</v>
      </c>
      <c r="E725">
        <v>17.8</v>
      </c>
      <c r="F725">
        <v>0</v>
      </c>
      <c r="G725">
        <v>539.5</v>
      </c>
      <c r="H725">
        <v>4000</v>
      </c>
      <c r="I725">
        <v>5065.2</v>
      </c>
      <c r="J725">
        <v>1</v>
      </c>
      <c r="K725">
        <f t="shared" si="22"/>
        <v>539.5</v>
      </c>
      <c r="L725">
        <f>K725+energy_grid_portfolio_dataset!H725</f>
        <v>4539.5</v>
      </c>
      <c r="M725">
        <f t="shared" si="23"/>
        <v>3</v>
      </c>
    </row>
    <row r="726" spans="1:13" x14ac:dyDescent="0.3">
      <c r="A726" s="1">
        <v>46268.166666666664</v>
      </c>
      <c r="B726" t="s">
        <v>12</v>
      </c>
      <c r="C726">
        <v>22.9</v>
      </c>
      <c r="D726">
        <v>51.4</v>
      </c>
      <c r="E726">
        <v>6.9</v>
      </c>
      <c r="F726">
        <v>0</v>
      </c>
      <c r="G726">
        <v>31</v>
      </c>
      <c r="H726">
        <v>4000</v>
      </c>
      <c r="I726">
        <v>4637.3999999999996</v>
      </c>
      <c r="J726">
        <v>1</v>
      </c>
      <c r="K726">
        <f t="shared" si="22"/>
        <v>31</v>
      </c>
      <c r="L726">
        <f>K726+energy_grid_portfolio_dataset!H726</f>
        <v>4031</v>
      </c>
      <c r="M726">
        <f t="shared" si="23"/>
        <v>4</v>
      </c>
    </row>
    <row r="727" spans="1:13" x14ac:dyDescent="0.3">
      <c r="A727" s="1">
        <v>46268.208333333336</v>
      </c>
      <c r="B727" t="s">
        <v>12</v>
      </c>
      <c r="C727">
        <v>19.899999999999999</v>
      </c>
      <c r="D727">
        <v>42.9</v>
      </c>
      <c r="E727">
        <v>7</v>
      </c>
      <c r="F727">
        <v>0</v>
      </c>
      <c r="G727">
        <v>32.799999999999997</v>
      </c>
      <c r="H727">
        <v>4000</v>
      </c>
      <c r="I727">
        <v>4943.2</v>
      </c>
      <c r="J727">
        <v>1</v>
      </c>
      <c r="K727">
        <f t="shared" si="22"/>
        <v>32.799999999999997</v>
      </c>
      <c r="L727">
        <f>K727+energy_grid_portfolio_dataset!H727</f>
        <v>4032.8</v>
      </c>
      <c r="M727">
        <f t="shared" si="23"/>
        <v>5</v>
      </c>
    </row>
    <row r="728" spans="1:13" x14ac:dyDescent="0.3">
      <c r="A728" s="1">
        <v>46268.25</v>
      </c>
      <c r="B728" t="s">
        <v>12</v>
      </c>
      <c r="C728">
        <v>23.5</v>
      </c>
      <c r="D728">
        <v>47.5</v>
      </c>
      <c r="E728">
        <v>2.6</v>
      </c>
      <c r="F728">
        <v>275.89999999999998</v>
      </c>
      <c r="G728">
        <v>1.7</v>
      </c>
      <c r="H728">
        <v>4000</v>
      </c>
      <c r="I728">
        <v>4722.3999999999996</v>
      </c>
      <c r="J728">
        <v>1</v>
      </c>
      <c r="K728">
        <f t="shared" si="22"/>
        <v>277.59999999999997</v>
      </c>
      <c r="L728">
        <f>K728+energy_grid_portfolio_dataset!H728</f>
        <v>4277.6000000000004</v>
      </c>
      <c r="M728">
        <f t="shared" si="23"/>
        <v>6</v>
      </c>
    </row>
    <row r="729" spans="1:13" x14ac:dyDescent="0.3">
      <c r="A729" s="1">
        <v>46268.291666666664</v>
      </c>
      <c r="B729" t="s">
        <v>12</v>
      </c>
      <c r="C729">
        <v>25.8</v>
      </c>
      <c r="D729">
        <v>43.9</v>
      </c>
      <c r="E729">
        <v>7.1</v>
      </c>
      <c r="F729">
        <v>562.70000000000005</v>
      </c>
      <c r="G729">
        <v>34</v>
      </c>
      <c r="H729">
        <v>4000</v>
      </c>
      <c r="I729">
        <v>4882.5</v>
      </c>
      <c r="J729">
        <v>1</v>
      </c>
      <c r="K729">
        <f t="shared" si="22"/>
        <v>596.70000000000005</v>
      </c>
      <c r="L729">
        <f>K729+energy_grid_portfolio_dataset!H729</f>
        <v>4596.7</v>
      </c>
      <c r="M729">
        <f t="shared" si="23"/>
        <v>7</v>
      </c>
    </row>
    <row r="730" spans="1:13" x14ac:dyDescent="0.3">
      <c r="A730" s="1">
        <v>46268.333333333336</v>
      </c>
      <c r="B730" t="s">
        <v>12</v>
      </c>
      <c r="C730">
        <v>26</v>
      </c>
      <c r="D730">
        <v>80.599999999999994</v>
      </c>
      <c r="E730">
        <v>11.5</v>
      </c>
      <c r="F730">
        <v>443.3</v>
      </c>
      <c r="G730">
        <v>147.80000000000001</v>
      </c>
      <c r="H730">
        <v>4000</v>
      </c>
      <c r="I730">
        <v>4840.3999999999996</v>
      </c>
      <c r="J730">
        <v>1</v>
      </c>
      <c r="K730">
        <f t="shared" si="22"/>
        <v>591.1</v>
      </c>
      <c r="L730">
        <f>K730+energy_grid_portfolio_dataset!H730</f>
        <v>4591.1000000000004</v>
      </c>
      <c r="M730">
        <f t="shared" si="23"/>
        <v>8</v>
      </c>
    </row>
    <row r="731" spans="1:13" x14ac:dyDescent="0.3">
      <c r="A731" s="1">
        <v>46268.375</v>
      </c>
      <c r="B731" t="s">
        <v>12</v>
      </c>
      <c r="C731">
        <v>26.9</v>
      </c>
      <c r="D731">
        <v>62.9</v>
      </c>
      <c r="E731">
        <v>9.9</v>
      </c>
      <c r="F731">
        <v>776.3</v>
      </c>
      <c r="G731">
        <v>92.8</v>
      </c>
      <c r="H731">
        <v>4000</v>
      </c>
      <c r="I731">
        <v>4923.7</v>
      </c>
      <c r="J731">
        <v>1</v>
      </c>
      <c r="K731">
        <f t="shared" si="22"/>
        <v>869.09999999999991</v>
      </c>
      <c r="L731">
        <f>K731+energy_grid_portfolio_dataset!H731</f>
        <v>4869.1000000000004</v>
      </c>
      <c r="M731">
        <f t="shared" si="23"/>
        <v>9</v>
      </c>
    </row>
    <row r="732" spans="1:13" x14ac:dyDescent="0.3">
      <c r="A732" s="1">
        <v>46268.416666666664</v>
      </c>
      <c r="B732" t="s">
        <v>12</v>
      </c>
      <c r="C732">
        <v>27.8</v>
      </c>
      <c r="D732">
        <v>54.2</v>
      </c>
      <c r="E732">
        <v>5.8</v>
      </c>
      <c r="F732">
        <v>1021.2</v>
      </c>
      <c r="G732">
        <v>18.8</v>
      </c>
      <c r="H732">
        <v>4000</v>
      </c>
      <c r="I732">
        <v>7042.2</v>
      </c>
      <c r="J732">
        <v>1</v>
      </c>
      <c r="K732">
        <f t="shared" si="22"/>
        <v>1040</v>
      </c>
      <c r="L732">
        <f>K732+energy_grid_portfolio_dataset!H732</f>
        <v>5040</v>
      </c>
      <c r="M732">
        <f t="shared" si="23"/>
        <v>10</v>
      </c>
    </row>
    <row r="733" spans="1:13" x14ac:dyDescent="0.3">
      <c r="A733" s="1">
        <v>46268.458333333336</v>
      </c>
      <c r="B733" t="s">
        <v>12</v>
      </c>
      <c r="C733">
        <v>27.3</v>
      </c>
      <c r="D733">
        <v>56.5</v>
      </c>
      <c r="E733">
        <v>6.6</v>
      </c>
      <c r="F733">
        <v>1068.3</v>
      </c>
      <c r="G733">
        <v>28.2</v>
      </c>
      <c r="H733">
        <v>4000</v>
      </c>
      <c r="I733">
        <v>7163.8</v>
      </c>
      <c r="J733">
        <v>1</v>
      </c>
      <c r="K733">
        <f t="shared" si="22"/>
        <v>1096.5</v>
      </c>
      <c r="L733">
        <f>K733+energy_grid_portfolio_dataset!H733</f>
        <v>5096.5</v>
      </c>
      <c r="M733">
        <f t="shared" si="23"/>
        <v>11</v>
      </c>
    </row>
    <row r="734" spans="1:13" x14ac:dyDescent="0.3">
      <c r="A734" s="1">
        <v>46268.5</v>
      </c>
      <c r="B734" t="s">
        <v>12</v>
      </c>
      <c r="C734">
        <v>29</v>
      </c>
      <c r="D734">
        <v>86.1</v>
      </c>
      <c r="E734">
        <v>4.5999999999999996</v>
      </c>
      <c r="F734">
        <v>622.79999999999995</v>
      </c>
      <c r="G734">
        <v>9.5</v>
      </c>
      <c r="H734">
        <v>4000</v>
      </c>
      <c r="I734">
        <v>7386.7</v>
      </c>
      <c r="J734">
        <v>1</v>
      </c>
      <c r="K734">
        <f t="shared" si="22"/>
        <v>632.29999999999995</v>
      </c>
      <c r="L734">
        <f>K734+energy_grid_portfolio_dataset!H734</f>
        <v>4632.3</v>
      </c>
      <c r="M734">
        <f t="shared" si="23"/>
        <v>12</v>
      </c>
    </row>
    <row r="735" spans="1:13" x14ac:dyDescent="0.3">
      <c r="A735" s="1">
        <v>46268.541666666664</v>
      </c>
      <c r="B735" t="s">
        <v>12</v>
      </c>
      <c r="C735">
        <v>28.7</v>
      </c>
      <c r="D735">
        <v>86.3</v>
      </c>
      <c r="E735">
        <v>10.4</v>
      </c>
      <c r="F735">
        <v>604</v>
      </c>
      <c r="G735">
        <v>108.5</v>
      </c>
      <c r="H735">
        <v>4000</v>
      </c>
      <c r="I735">
        <v>7016.6</v>
      </c>
      <c r="J735">
        <v>1</v>
      </c>
      <c r="K735">
        <f t="shared" si="22"/>
        <v>712.5</v>
      </c>
      <c r="L735">
        <f>K735+energy_grid_portfolio_dataset!H735</f>
        <v>4712.5</v>
      </c>
      <c r="M735">
        <f t="shared" si="23"/>
        <v>13</v>
      </c>
    </row>
    <row r="736" spans="1:13" x14ac:dyDescent="0.3">
      <c r="A736" s="1">
        <v>46268.583333333336</v>
      </c>
      <c r="B736" t="s">
        <v>12</v>
      </c>
      <c r="C736">
        <v>25.9</v>
      </c>
      <c r="D736">
        <v>10.8</v>
      </c>
      <c r="E736">
        <v>4.8</v>
      </c>
      <c r="F736">
        <v>1646</v>
      </c>
      <c r="G736">
        <v>10.8</v>
      </c>
      <c r="H736">
        <v>4000</v>
      </c>
      <c r="I736">
        <v>7059.4</v>
      </c>
      <c r="J736">
        <v>1</v>
      </c>
      <c r="K736">
        <f t="shared" si="22"/>
        <v>1656.8</v>
      </c>
      <c r="L736">
        <f>K736+energy_grid_portfolio_dataset!H736</f>
        <v>5656.8</v>
      </c>
      <c r="M736">
        <f t="shared" si="23"/>
        <v>14</v>
      </c>
    </row>
    <row r="737" spans="1:13" x14ac:dyDescent="0.3">
      <c r="A737" s="1">
        <v>46268.625</v>
      </c>
      <c r="B737" t="s">
        <v>12</v>
      </c>
      <c r="C737">
        <v>24.6</v>
      </c>
      <c r="D737">
        <v>79.2</v>
      </c>
      <c r="E737">
        <v>5.4</v>
      </c>
      <c r="F737">
        <v>572.70000000000005</v>
      </c>
      <c r="G737">
        <v>15.4</v>
      </c>
      <c r="H737">
        <v>4000</v>
      </c>
      <c r="I737">
        <v>5099.5</v>
      </c>
      <c r="J737">
        <v>1</v>
      </c>
      <c r="K737">
        <f t="shared" si="22"/>
        <v>588.1</v>
      </c>
      <c r="L737">
        <f>K737+energy_grid_portfolio_dataset!H737</f>
        <v>4588.1000000000004</v>
      </c>
      <c r="M737">
        <f t="shared" si="23"/>
        <v>15</v>
      </c>
    </row>
    <row r="738" spans="1:13" x14ac:dyDescent="0.3">
      <c r="A738" s="1">
        <v>46268.666666666664</v>
      </c>
      <c r="B738" t="s">
        <v>12</v>
      </c>
      <c r="C738">
        <v>22.2</v>
      </c>
      <c r="D738">
        <v>62.6</v>
      </c>
      <c r="E738">
        <v>0</v>
      </c>
      <c r="F738">
        <v>622.9</v>
      </c>
      <c r="G738">
        <v>0</v>
      </c>
      <c r="H738">
        <v>4000</v>
      </c>
      <c r="I738">
        <v>4998.6000000000004</v>
      </c>
      <c r="J738">
        <v>1</v>
      </c>
      <c r="K738">
        <f t="shared" si="22"/>
        <v>622.9</v>
      </c>
      <c r="L738">
        <f>K738+energy_grid_portfolio_dataset!H738</f>
        <v>4622.8999999999996</v>
      </c>
      <c r="M738">
        <f t="shared" si="23"/>
        <v>16</v>
      </c>
    </row>
    <row r="739" spans="1:13" x14ac:dyDescent="0.3">
      <c r="A739" s="1">
        <v>46268.708333333336</v>
      </c>
      <c r="B739" t="s">
        <v>12</v>
      </c>
      <c r="C739">
        <v>20</v>
      </c>
      <c r="D739">
        <v>96.2</v>
      </c>
      <c r="E739">
        <v>8.3000000000000007</v>
      </c>
      <c r="F739">
        <v>200.1</v>
      </c>
      <c r="G739">
        <v>55.5</v>
      </c>
      <c r="H739">
        <v>4000</v>
      </c>
      <c r="I739">
        <v>4922</v>
      </c>
      <c r="J739">
        <v>1</v>
      </c>
      <c r="K739">
        <f t="shared" si="22"/>
        <v>255.6</v>
      </c>
      <c r="L739">
        <f>K739+energy_grid_portfolio_dataset!H739</f>
        <v>4255.6000000000004</v>
      </c>
      <c r="M739">
        <f t="shared" si="23"/>
        <v>17</v>
      </c>
    </row>
    <row r="740" spans="1:13" x14ac:dyDescent="0.3">
      <c r="A740" s="1">
        <v>46268.75</v>
      </c>
      <c r="B740" t="s">
        <v>12</v>
      </c>
      <c r="C740">
        <v>25</v>
      </c>
      <c r="D740">
        <v>31.5</v>
      </c>
      <c r="E740">
        <v>11.2</v>
      </c>
      <c r="F740">
        <v>332.8</v>
      </c>
      <c r="G740">
        <v>136.4</v>
      </c>
      <c r="H740">
        <v>4000</v>
      </c>
      <c r="I740">
        <v>7770</v>
      </c>
      <c r="J740">
        <v>1</v>
      </c>
      <c r="K740">
        <f t="shared" si="22"/>
        <v>469.20000000000005</v>
      </c>
      <c r="L740">
        <f>K740+energy_grid_portfolio_dataset!H740</f>
        <v>4469.2</v>
      </c>
      <c r="M740">
        <f t="shared" si="23"/>
        <v>18</v>
      </c>
    </row>
    <row r="741" spans="1:13" x14ac:dyDescent="0.3">
      <c r="A741" s="1">
        <v>46268.791666666664</v>
      </c>
      <c r="B741" t="s">
        <v>12</v>
      </c>
      <c r="C741">
        <v>20.2</v>
      </c>
      <c r="D741">
        <v>94.1</v>
      </c>
      <c r="E741">
        <v>2.7</v>
      </c>
      <c r="F741">
        <v>0</v>
      </c>
      <c r="G741">
        <v>1.9</v>
      </c>
      <c r="H741">
        <v>4000</v>
      </c>
      <c r="I741">
        <v>7839.8</v>
      </c>
      <c r="J741">
        <v>1</v>
      </c>
      <c r="K741">
        <f t="shared" si="22"/>
        <v>1.9</v>
      </c>
      <c r="L741">
        <f>K741+energy_grid_portfolio_dataset!H741</f>
        <v>4001.9</v>
      </c>
      <c r="M741">
        <f t="shared" si="23"/>
        <v>19</v>
      </c>
    </row>
    <row r="742" spans="1:13" x14ac:dyDescent="0.3">
      <c r="A742" s="1">
        <v>46268.833333333336</v>
      </c>
      <c r="B742" t="s">
        <v>12</v>
      </c>
      <c r="C742">
        <v>18.3</v>
      </c>
      <c r="D742">
        <v>44.1</v>
      </c>
      <c r="E742">
        <v>2.8</v>
      </c>
      <c r="F742">
        <v>0</v>
      </c>
      <c r="G742">
        <v>2.2000000000000002</v>
      </c>
      <c r="H742">
        <v>4000</v>
      </c>
      <c r="I742">
        <v>7576.3</v>
      </c>
      <c r="J742">
        <v>1</v>
      </c>
      <c r="K742">
        <f t="shared" si="22"/>
        <v>2.2000000000000002</v>
      </c>
      <c r="L742">
        <f>K742+energy_grid_portfolio_dataset!H742</f>
        <v>4002.2</v>
      </c>
      <c r="M742">
        <f t="shared" si="23"/>
        <v>20</v>
      </c>
    </row>
    <row r="743" spans="1:13" x14ac:dyDescent="0.3">
      <c r="A743" s="1">
        <v>46268.875</v>
      </c>
      <c r="B743" t="s">
        <v>12</v>
      </c>
      <c r="C743">
        <v>17.899999999999999</v>
      </c>
      <c r="D743">
        <v>70.599999999999994</v>
      </c>
      <c r="E743">
        <v>4.3</v>
      </c>
      <c r="F743">
        <v>0</v>
      </c>
      <c r="G743">
        <v>7.6</v>
      </c>
      <c r="H743">
        <v>4000</v>
      </c>
      <c r="I743">
        <v>7883.5</v>
      </c>
      <c r="J743">
        <v>1</v>
      </c>
      <c r="K743">
        <f t="shared" si="22"/>
        <v>7.6</v>
      </c>
      <c r="L743">
        <f>K743+energy_grid_portfolio_dataset!H743</f>
        <v>4007.6</v>
      </c>
      <c r="M743">
        <f t="shared" si="23"/>
        <v>21</v>
      </c>
    </row>
    <row r="744" spans="1:13" x14ac:dyDescent="0.3">
      <c r="A744" s="1">
        <v>46268.916666666664</v>
      </c>
      <c r="B744" t="s">
        <v>12</v>
      </c>
      <c r="C744">
        <v>18.2</v>
      </c>
      <c r="D744">
        <v>2.6</v>
      </c>
      <c r="E744">
        <v>5.8</v>
      </c>
      <c r="F744">
        <v>0</v>
      </c>
      <c r="G744">
        <v>18.7</v>
      </c>
      <c r="H744">
        <v>4000</v>
      </c>
      <c r="I744">
        <v>4676.8999999999996</v>
      </c>
      <c r="J744">
        <v>1</v>
      </c>
      <c r="K744">
        <f t="shared" si="22"/>
        <v>18.7</v>
      </c>
      <c r="L744">
        <f>K744+energy_grid_portfolio_dataset!H744</f>
        <v>4018.7</v>
      </c>
      <c r="M744">
        <f t="shared" si="23"/>
        <v>22</v>
      </c>
    </row>
    <row r="745" spans="1:13" x14ac:dyDescent="0.3">
      <c r="A745" s="1">
        <v>46268.958333333336</v>
      </c>
      <c r="B745" t="s">
        <v>12</v>
      </c>
      <c r="C745">
        <v>21.1</v>
      </c>
      <c r="D745">
        <v>87.3</v>
      </c>
      <c r="E745">
        <v>6.3</v>
      </c>
      <c r="F745">
        <v>0</v>
      </c>
      <c r="G745">
        <v>24.2</v>
      </c>
      <c r="H745">
        <v>4000</v>
      </c>
      <c r="I745">
        <v>4744.8</v>
      </c>
      <c r="J745">
        <v>1</v>
      </c>
      <c r="K745">
        <f t="shared" si="22"/>
        <v>24.2</v>
      </c>
      <c r="L745">
        <f>K745+energy_grid_portfolio_dataset!H745</f>
        <v>4024.2</v>
      </c>
      <c r="M745">
        <f t="shared" si="23"/>
        <v>23</v>
      </c>
    </row>
    <row r="746" spans="1:13" x14ac:dyDescent="0.3">
      <c r="A746" s="1">
        <v>46269</v>
      </c>
      <c r="B746" t="s">
        <v>12</v>
      </c>
      <c r="C746">
        <v>15.3</v>
      </c>
      <c r="D746">
        <v>76.3</v>
      </c>
      <c r="E746">
        <v>6.6</v>
      </c>
      <c r="F746">
        <v>0</v>
      </c>
      <c r="G746">
        <v>27.6</v>
      </c>
      <c r="H746">
        <v>4000</v>
      </c>
      <c r="I746">
        <v>5139.6000000000004</v>
      </c>
      <c r="J746">
        <v>1</v>
      </c>
      <c r="K746">
        <f t="shared" si="22"/>
        <v>27.6</v>
      </c>
      <c r="L746">
        <f>K746+energy_grid_portfolio_dataset!H746</f>
        <v>4027.6</v>
      </c>
      <c r="M746">
        <f t="shared" si="23"/>
        <v>0</v>
      </c>
    </row>
    <row r="747" spans="1:13" x14ac:dyDescent="0.3">
      <c r="A747" s="1">
        <v>46269.041666666664</v>
      </c>
      <c r="B747" t="s">
        <v>12</v>
      </c>
      <c r="C747">
        <v>19.7</v>
      </c>
      <c r="D747">
        <v>82</v>
      </c>
      <c r="E747">
        <v>6.9</v>
      </c>
      <c r="F747">
        <v>0</v>
      </c>
      <c r="G747">
        <v>31.1</v>
      </c>
      <c r="H747">
        <v>4000</v>
      </c>
      <c r="I747">
        <v>4989.6000000000004</v>
      </c>
      <c r="J747">
        <v>1</v>
      </c>
      <c r="K747">
        <f t="shared" si="22"/>
        <v>31.1</v>
      </c>
      <c r="L747">
        <f>K747+energy_grid_portfolio_dataset!H747</f>
        <v>4031.1</v>
      </c>
      <c r="M747">
        <f t="shared" si="23"/>
        <v>1</v>
      </c>
    </row>
    <row r="748" spans="1:13" x14ac:dyDescent="0.3">
      <c r="A748" s="1">
        <v>46269.083333333336</v>
      </c>
      <c r="B748" t="s">
        <v>12</v>
      </c>
      <c r="C748">
        <v>15.7</v>
      </c>
      <c r="D748">
        <v>56.3</v>
      </c>
      <c r="E748">
        <v>6.3</v>
      </c>
      <c r="F748">
        <v>0</v>
      </c>
      <c r="G748">
        <v>23.8</v>
      </c>
      <c r="H748">
        <v>4000</v>
      </c>
      <c r="I748">
        <v>4701.8</v>
      </c>
      <c r="J748">
        <v>1</v>
      </c>
      <c r="K748">
        <f t="shared" si="22"/>
        <v>23.8</v>
      </c>
      <c r="L748">
        <f>K748+energy_grid_portfolio_dataset!H748</f>
        <v>4023.8</v>
      </c>
      <c r="M748">
        <f t="shared" si="23"/>
        <v>2</v>
      </c>
    </row>
    <row r="749" spans="1:13" x14ac:dyDescent="0.3">
      <c r="A749" s="1">
        <v>46269.125</v>
      </c>
      <c r="B749" t="s">
        <v>12</v>
      </c>
      <c r="C749">
        <v>23.3</v>
      </c>
      <c r="D749">
        <v>100</v>
      </c>
      <c r="E749">
        <v>7.8</v>
      </c>
      <c r="F749">
        <v>0</v>
      </c>
      <c r="G749">
        <v>45.7</v>
      </c>
      <c r="H749">
        <v>4000</v>
      </c>
      <c r="I749">
        <v>4780.5</v>
      </c>
      <c r="J749">
        <v>1</v>
      </c>
      <c r="K749">
        <f t="shared" si="22"/>
        <v>45.7</v>
      </c>
      <c r="L749">
        <f>K749+energy_grid_portfolio_dataset!H749</f>
        <v>4045.7</v>
      </c>
      <c r="M749">
        <f t="shared" si="23"/>
        <v>3</v>
      </c>
    </row>
    <row r="750" spans="1:13" x14ac:dyDescent="0.3">
      <c r="A750" s="1">
        <v>46269.166666666664</v>
      </c>
      <c r="B750" t="s">
        <v>12</v>
      </c>
      <c r="C750">
        <v>19.100000000000001</v>
      </c>
      <c r="D750">
        <v>31.4</v>
      </c>
      <c r="E750">
        <v>6.2</v>
      </c>
      <c r="F750">
        <v>0</v>
      </c>
      <c r="G750">
        <v>23.2</v>
      </c>
      <c r="H750">
        <v>4000</v>
      </c>
      <c r="I750">
        <v>4960.8</v>
      </c>
      <c r="J750">
        <v>1</v>
      </c>
      <c r="K750">
        <f t="shared" si="22"/>
        <v>23.2</v>
      </c>
      <c r="L750">
        <f>K750+energy_grid_portfolio_dataset!H750</f>
        <v>4023.2</v>
      </c>
      <c r="M750">
        <f t="shared" si="23"/>
        <v>4</v>
      </c>
    </row>
    <row r="751" spans="1:13" x14ac:dyDescent="0.3">
      <c r="A751" s="1">
        <v>46269.208333333336</v>
      </c>
      <c r="B751" t="s">
        <v>12</v>
      </c>
      <c r="C751">
        <v>18.2</v>
      </c>
      <c r="D751">
        <v>70</v>
      </c>
      <c r="E751">
        <v>5.5</v>
      </c>
      <c r="F751">
        <v>0</v>
      </c>
      <c r="G751">
        <v>16.3</v>
      </c>
      <c r="H751">
        <v>4000</v>
      </c>
      <c r="I751">
        <v>4988.7</v>
      </c>
      <c r="J751">
        <v>1</v>
      </c>
      <c r="K751">
        <f t="shared" si="22"/>
        <v>16.3</v>
      </c>
      <c r="L751">
        <f>K751+energy_grid_portfolio_dataset!H751</f>
        <v>4016.3</v>
      </c>
      <c r="M751">
        <f t="shared" si="23"/>
        <v>5</v>
      </c>
    </row>
    <row r="752" spans="1:13" x14ac:dyDescent="0.3">
      <c r="A752" s="1">
        <v>46269.25</v>
      </c>
      <c r="B752" t="s">
        <v>12</v>
      </c>
      <c r="C752">
        <v>20.3</v>
      </c>
      <c r="D752">
        <v>47.6</v>
      </c>
      <c r="E752">
        <v>11.7</v>
      </c>
      <c r="F752">
        <v>275.60000000000002</v>
      </c>
      <c r="G752">
        <v>152.30000000000001</v>
      </c>
      <c r="H752">
        <v>4000</v>
      </c>
      <c r="I752">
        <v>4663.8</v>
      </c>
      <c r="J752">
        <v>1</v>
      </c>
      <c r="K752">
        <f t="shared" si="22"/>
        <v>427.90000000000003</v>
      </c>
      <c r="L752">
        <f>K752+energy_grid_portfolio_dataset!H752</f>
        <v>4427.8999999999996</v>
      </c>
      <c r="M752">
        <f t="shared" si="23"/>
        <v>6</v>
      </c>
    </row>
    <row r="753" spans="1:13" x14ac:dyDescent="0.3">
      <c r="A753" s="1">
        <v>46269.291666666664</v>
      </c>
      <c r="B753" t="s">
        <v>12</v>
      </c>
      <c r="C753">
        <v>20.6</v>
      </c>
      <c r="D753">
        <v>74.599999999999994</v>
      </c>
      <c r="E753">
        <v>1.4</v>
      </c>
      <c r="F753">
        <v>350</v>
      </c>
      <c r="G753">
        <v>0.2</v>
      </c>
      <c r="H753">
        <v>4000</v>
      </c>
      <c r="I753">
        <v>5033.5</v>
      </c>
      <c r="J753">
        <v>1</v>
      </c>
      <c r="K753">
        <f t="shared" si="22"/>
        <v>350.2</v>
      </c>
      <c r="L753">
        <f>K753+energy_grid_portfolio_dataset!H753</f>
        <v>4350.2</v>
      </c>
      <c r="M753">
        <f t="shared" si="23"/>
        <v>7</v>
      </c>
    </row>
    <row r="754" spans="1:13" x14ac:dyDescent="0.3">
      <c r="A754" s="1">
        <v>46269.333333333336</v>
      </c>
      <c r="B754" t="s">
        <v>12</v>
      </c>
      <c r="C754">
        <v>23.6</v>
      </c>
      <c r="D754">
        <v>57.2</v>
      </c>
      <c r="E754">
        <v>10</v>
      </c>
      <c r="F754">
        <v>676.5</v>
      </c>
      <c r="G754">
        <v>95.4</v>
      </c>
      <c r="H754">
        <v>4000</v>
      </c>
      <c r="I754">
        <v>5112.3999999999996</v>
      </c>
      <c r="J754">
        <v>1</v>
      </c>
      <c r="K754">
        <f t="shared" si="22"/>
        <v>771.9</v>
      </c>
      <c r="L754">
        <f>K754+energy_grid_portfolio_dataset!H754</f>
        <v>4771.8999999999996</v>
      </c>
      <c r="M754">
        <f t="shared" si="23"/>
        <v>8</v>
      </c>
    </row>
    <row r="755" spans="1:13" x14ac:dyDescent="0.3">
      <c r="A755" s="1">
        <v>46269.375</v>
      </c>
      <c r="B755" t="s">
        <v>12</v>
      </c>
      <c r="C755">
        <v>22.7</v>
      </c>
      <c r="D755">
        <v>42.5</v>
      </c>
      <c r="E755">
        <v>9.1</v>
      </c>
      <c r="F755">
        <v>1032.0999999999999</v>
      </c>
      <c r="G755">
        <v>72.7</v>
      </c>
      <c r="H755">
        <v>3652.1</v>
      </c>
      <c r="I755">
        <v>4756.8999999999996</v>
      </c>
      <c r="J755">
        <v>0</v>
      </c>
      <c r="K755">
        <f t="shared" si="22"/>
        <v>1104.8</v>
      </c>
      <c r="L755">
        <f>K755+energy_grid_portfolio_dataset!H755</f>
        <v>4756.8999999999996</v>
      </c>
      <c r="M755">
        <f t="shared" si="23"/>
        <v>9</v>
      </c>
    </row>
    <row r="756" spans="1:13" x14ac:dyDescent="0.3">
      <c r="A756" s="1">
        <v>46269.416666666664</v>
      </c>
      <c r="B756" t="s">
        <v>12</v>
      </c>
      <c r="C756">
        <v>20.7</v>
      </c>
      <c r="D756">
        <v>46.5</v>
      </c>
      <c r="E756">
        <v>7.7</v>
      </c>
      <c r="F756">
        <v>1132.0999999999999</v>
      </c>
      <c r="G756">
        <v>43.1</v>
      </c>
      <c r="H756">
        <v>4000</v>
      </c>
      <c r="I756">
        <v>6922.1</v>
      </c>
      <c r="J756">
        <v>1</v>
      </c>
      <c r="K756">
        <f t="shared" si="22"/>
        <v>1175.1999999999998</v>
      </c>
      <c r="L756">
        <f>K756+energy_grid_portfolio_dataset!H756</f>
        <v>5175.2</v>
      </c>
      <c r="M756">
        <f t="shared" si="23"/>
        <v>10</v>
      </c>
    </row>
    <row r="757" spans="1:13" x14ac:dyDescent="0.3">
      <c r="A757" s="1">
        <v>46269.458333333336</v>
      </c>
      <c r="B757" t="s">
        <v>12</v>
      </c>
      <c r="C757">
        <v>25.9</v>
      </c>
      <c r="D757">
        <v>47.7</v>
      </c>
      <c r="E757">
        <v>9.5</v>
      </c>
      <c r="F757">
        <v>1206.5</v>
      </c>
      <c r="G757">
        <v>81.3</v>
      </c>
      <c r="H757">
        <v>4000</v>
      </c>
      <c r="I757">
        <v>7330</v>
      </c>
      <c r="J757">
        <v>1</v>
      </c>
      <c r="K757">
        <f t="shared" si="22"/>
        <v>1287.8</v>
      </c>
      <c r="L757">
        <f>K757+energy_grid_portfolio_dataset!H757</f>
        <v>5287.8</v>
      </c>
      <c r="M757">
        <f t="shared" si="23"/>
        <v>11</v>
      </c>
    </row>
    <row r="758" spans="1:13" x14ac:dyDescent="0.3">
      <c r="A758" s="1">
        <v>46269.5</v>
      </c>
      <c r="B758" t="s">
        <v>12</v>
      </c>
      <c r="C758">
        <v>26.2</v>
      </c>
      <c r="D758">
        <v>65.7</v>
      </c>
      <c r="E758">
        <v>7.3</v>
      </c>
      <c r="F758">
        <v>948.6</v>
      </c>
      <c r="G758">
        <v>38.1</v>
      </c>
      <c r="H758">
        <v>4000</v>
      </c>
      <c r="I758">
        <v>6869.5</v>
      </c>
      <c r="J758">
        <v>1</v>
      </c>
      <c r="K758">
        <f t="shared" si="22"/>
        <v>986.7</v>
      </c>
      <c r="L758">
        <f>K758+energy_grid_portfolio_dataset!H758</f>
        <v>4986.7</v>
      </c>
      <c r="M758">
        <f t="shared" si="23"/>
        <v>12</v>
      </c>
    </row>
    <row r="759" spans="1:13" x14ac:dyDescent="0.3">
      <c r="A759" s="1">
        <v>46269.541666666664</v>
      </c>
      <c r="B759" t="s">
        <v>12</v>
      </c>
      <c r="C759">
        <v>26.9</v>
      </c>
      <c r="D759">
        <v>0</v>
      </c>
      <c r="E759">
        <v>4</v>
      </c>
      <c r="F759">
        <v>1949.9</v>
      </c>
      <c r="G759">
        <v>6.3</v>
      </c>
      <c r="H759">
        <v>4000</v>
      </c>
      <c r="I759">
        <v>7073.5</v>
      </c>
      <c r="J759">
        <v>1</v>
      </c>
      <c r="K759">
        <f t="shared" si="22"/>
        <v>1956.2</v>
      </c>
      <c r="L759">
        <f>K759+energy_grid_portfolio_dataset!H759</f>
        <v>5956.2</v>
      </c>
      <c r="M759">
        <f t="shared" si="23"/>
        <v>13</v>
      </c>
    </row>
    <row r="760" spans="1:13" x14ac:dyDescent="0.3">
      <c r="A760" s="1">
        <v>46269.583333333336</v>
      </c>
      <c r="B760" t="s">
        <v>12</v>
      </c>
      <c r="C760">
        <v>24.4</v>
      </c>
      <c r="D760">
        <v>61.8</v>
      </c>
      <c r="E760">
        <v>7.3</v>
      </c>
      <c r="F760">
        <v>911.5</v>
      </c>
      <c r="G760">
        <v>38</v>
      </c>
      <c r="H760">
        <v>4000</v>
      </c>
      <c r="I760">
        <v>7218</v>
      </c>
      <c r="J760">
        <v>1</v>
      </c>
      <c r="K760">
        <f t="shared" si="22"/>
        <v>949.5</v>
      </c>
      <c r="L760">
        <f>K760+energy_grid_portfolio_dataset!H760</f>
        <v>4949.5</v>
      </c>
      <c r="M760">
        <f t="shared" si="23"/>
        <v>14</v>
      </c>
    </row>
    <row r="761" spans="1:13" x14ac:dyDescent="0.3">
      <c r="A761" s="1">
        <v>46269.625</v>
      </c>
      <c r="B761" t="s">
        <v>12</v>
      </c>
      <c r="C761">
        <v>25.9</v>
      </c>
      <c r="D761">
        <v>31.1</v>
      </c>
      <c r="E761">
        <v>5.4</v>
      </c>
      <c r="F761">
        <v>1174.4000000000001</v>
      </c>
      <c r="G761">
        <v>15</v>
      </c>
      <c r="H761">
        <v>3709.2</v>
      </c>
      <c r="I761">
        <v>4898.6000000000004</v>
      </c>
      <c r="J761">
        <v>0</v>
      </c>
      <c r="K761">
        <f t="shared" si="22"/>
        <v>1189.4000000000001</v>
      </c>
      <c r="L761">
        <f>K761+energy_grid_portfolio_dataset!H761</f>
        <v>4898.6000000000004</v>
      </c>
      <c r="M761">
        <f t="shared" si="23"/>
        <v>15</v>
      </c>
    </row>
    <row r="762" spans="1:13" x14ac:dyDescent="0.3">
      <c r="A762" s="1">
        <v>46269.666666666664</v>
      </c>
      <c r="B762" t="s">
        <v>12</v>
      </c>
      <c r="C762">
        <v>24.8</v>
      </c>
      <c r="D762">
        <v>42.4</v>
      </c>
      <c r="E762">
        <v>6.7</v>
      </c>
      <c r="F762">
        <v>824</v>
      </c>
      <c r="G762">
        <v>28.5</v>
      </c>
      <c r="H762">
        <v>4000</v>
      </c>
      <c r="I762">
        <v>5041.5</v>
      </c>
      <c r="J762">
        <v>1</v>
      </c>
      <c r="K762">
        <f t="shared" si="22"/>
        <v>852.5</v>
      </c>
      <c r="L762">
        <f>K762+energy_grid_portfolio_dataset!H762</f>
        <v>4852.5</v>
      </c>
      <c r="M762">
        <f t="shared" si="23"/>
        <v>16</v>
      </c>
    </row>
    <row r="763" spans="1:13" x14ac:dyDescent="0.3">
      <c r="A763" s="1">
        <v>46269.708333333336</v>
      </c>
      <c r="B763" t="s">
        <v>12</v>
      </c>
      <c r="C763">
        <v>19.2</v>
      </c>
      <c r="D763">
        <v>94.8</v>
      </c>
      <c r="E763">
        <v>5</v>
      </c>
      <c r="F763">
        <v>209.8</v>
      </c>
      <c r="G763">
        <v>11.9</v>
      </c>
      <c r="H763">
        <v>4000</v>
      </c>
      <c r="I763">
        <v>5057.2</v>
      </c>
      <c r="J763">
        <v>1</v>
      </c>
      <c r="K763">
        <f t="shared" si="22"/>
        <v>221.70000000000002</v>
      </c>
      <c r="L763">
        <f>K763+energy_grid_portfolio_dataset!H763</f>
        <v>4221.7</v>
      </c>
      <c r="M763">
        <f t="shared" si="23"/>
        <v>17</v>
      </c>
    </row>
    <row r="764" spans="1:13" x14ac:dyDescent="0.3">
      <c r="A764" s="1">
        <v>46269.75</v>
      </c>
      <c r="B764" t="s">
        <v>12</v>
      </c>
      <c r="C764">
        <v>24.4</v>
      </c>
      <c r="D764">
        <v>18.8</v>
      </c>
      <c r="E764">
        <v>3.9</v>
      </c>
      <c r="F764">
        <v>377.9</v>
      </c>
      <c r="G764">
        <v>5.6</v>
      </c>
      <c r="H764">
        <v>4000</v>
      </c>
      <c r="I764">
        <v>7763.8</v>
      </c>
      <c r="J764">
        <v>1</v>
      </c>
      <c r="K764">
        <f t="shared" si="22"/>
        <v>383.5</v>
      </c>
      <c r="L764">
        <f>K764+energy_grid_portfolio_dataset!H764</f>
        <v>4383.5</v>
      </c>
      <c r="M764">
        <f t="shared" si="23"/>
        <v>18</v>
      </c>
    </row>
    <row r="765" spans="1:13" x14ac:dyDescent="0.3">
      <c r="A765" s="1">
        <v>46269.791666666664</v>
      </c>
      <c r="B765" t="s">
        <v>12</v>
      </c>
      <c r="C765">
        <v>19.100000000000001</v>
      </c>
      <c r="D765">
        <v>100</v>
      </c>
      <c r="E765">
        <v>3.4</v>
      </c>
      <c r="F765">
        <v>0</v>
      </c>
      <c r="G765">
        <v>3.9</v>
      </c>
      <c r="H765">
        <v>4000</v>
      </c>
      <c r="I765">
        <v>7656.7</v>
      </c>
      <c r="J765">
        <v>1</v>
      </c>
      <c r="K765">
        <f t="shared" si="22"/>
        <v>3.9</v>
      </c>
      <c r="L765">
        <f>K765+energy_grid_portfolio_dataset!H765</f>
        <v>4003.9</v>
      </c>
      <c r="M765">
        <f t="shared" si="23"/>
        <v>19</v>
      </c>
    </row>
    <row r="766" spans="1:13" x14ac:dyDescent="0.3">
      <c r="A766" s="1">
        <v>46269.833333333336</v>
      </c>
      <c r="B766" t="s">
        <v>12</v>
      </c>
      <c r="C766">
        <v>19.899999999999999</v>
      </c>
      <c r="D766">
        <v>23.9</v>
      </c>
      <c r="E766">
        <v>4.8</v>
      </c>
      <c r="F766">
        <v>0</v>
      </c>
      <c r="G766">
        <v>10.7</v>
      </c>
      <c r="H766">
        <v>4000</v>
      </c>
      <c r="I766">
        <v>7616.7</v>
      </c>
      <c r="J766">
        <v>1</v>
      </c>
      <c r="K766">
        <f t="shared" si="22"/>
        <v>10.7</v>
      </c>
      <c r="L766">
        <f>K766+energy_grid_portfolio_dataset!H766</f>
        <v>4010.7</v>
      </c>
      <c r="M766">
        <f t="shared" si="23"/>
        <v>20</v>
      </c>
    </row>
    <row r="767" spans="1:13" x14ac:dyDescent="0.3">
      <c r="A767" s="1">
        <v>46269.875</v>
      </c>
      <c r="B767" t="s">
        <v>12</v>
      </c>
      <c r="C767">
        <v>17.8</v>
      </c>
      <c r="D767">
        <v>57.2</v>
      </c>
      <c r="E767">
        <v>4.4000000000000004</v>
      </c>
      <c r="F767">
        <v>0</v>
      </c>
      <c r="G767">
        <v>8.1999999999999993</v>
      </c>
      <c r="H767">
        <v>4000</v>
      </c>
      <c r="I767">
        <v>7747.6</v>
      </c>
      <c r="J767">
        <v>1</v>
      </c>
      <c r="K767">
        <f t="shared" si="22"/>
        <v>8.1999999999999993</v>
      </c>
      <c r="L767">
        <f>K767+energy_grid_portfolio_dataset!H767</f>
        <v>4008.2</v>
      </c>
      <c r="M767">
        <f t="shared" si="23"/>
        <v>21</v>
      </c>
    </row>
    <row r="768" spans="1:13" x14ac:dyDescent="0.3">
      <c r="A768" s="1">
        <v>46269.916666666664</v>
      </c>
      <c r="B768" t="s">
        <v>12</v>
      </c>
      <c r="C768">
        <v>18.3</v>
      </c>
      <c r="D768">
        <v>100</v>
      </c>
      <c r="E768">
        <v>6.1</v>
      </c>
      <c r="F768">
        <v>0</v>
      </c>
      <c r="G768">
        <v>21.3</v>
      </c>
      <c r="H768">
        <v>4000</v>
      </c>
      <c r="I768">
        <v>4722.8</v>
      </c>
      <c r="J768">
        <v>1</v>
      </c>
      <c r="K768">
        <f t="shared" si="22"/>
        <v>21.3</v>
      </c>
      <c r="L768">
        <f>K768+energy_grid_portfolio_dataset!H768</f>
        <v>4021.3</v>
      </c>
      <c r="M768">
        <f t="shared" si="23"/>
        <v>22</v>
      </c>
    </row>
    <row r="769" spans="1:13" x14ac:dyDescent="0.3">
      <c r="A769" s="1">
        <v>46269.958333333336</v>
      </c>
      <c r="B769" t="s">
        <v>12</v>
      </c>
      <c r="C769">
        <v>18.600000000000001</v>
      </c>
      <c r="D769">
        <v>21.9</v>
      </c>
      <c r="E769">
        <v>11.1</v>
      </c>
      <c r="F769">
        <v>0</v>
      </c>
      <c r="G769">
        <v>131.6</v>
      </c>
      <c r="H769">
        <v>4000</v>
      </c>
      <c r="I769">
        <v>4983.8</v>
      </c>
      <c r="J769">
        <v>1</v>
      </c>
      <c r="K769">
        <f t="shared" si="22"/>
        <v>131.6</v>
      </c>
      <c r="L769">
        <f>K769+energy_grid_portfolio_dataset!H769</f>
        <v>4131.6000000000004</v>
      </c>
      <c r="M769">
        <f t="shared" si="23"/>
        <v>23</v>
      </c>
    </row>
    <row r="770" spans="1:13" x14ac:dyDescent="0.3">
      <c r="A770" s="1">
        <v>46270</v>
      </c>
      <c r="B770" t="s">
        <v>12</v>
      </c>
      <c r="C770">
        <v>20.3</v>
      </c>
      <c r="D770">
        <v>38</v>
      </c>
      <c r="E770">
        <v>11.5</v>
      </c>
      <c r="F770">
        <v>0</v>
      </c>
      <c r="G770">
        <v>144.30000000000001</v>
      </c>
      <c r="H770">
        <v>4000</v>
      </c>
      <c r="I770">
        <v>4350.3</v>
      </c>
      <c r="J770">
        <v>1</v>
      </c>
      <c r="K770">
        <f t="shared" si="22"/>
        <v>144.30000000000001</v>
      </c>
      <c r="L770">
        <f>K770+energy_grid_portfolio_dataset!H770</f>
        <v>4144.3</v>
      </c>
      <c r="M770">
        <f t="shared" si="23"/>
        <v>0</v>
      </c>
    </row>
    <row r="771" spans="1:13" x14ac:dyDescent="0.3">
      <c r="A771" s="1">
        <v>46270.041666666664</v>
      </c>
      <c r="B771" t="s">
        <v>12</v>
      </c>
      <c r="C771">
        <v>18.3</v>
      </c>
      <c r="D771">
        <v>67</v>
      </c>
      <c r="E771">
        <v>5.3</v>
      </c>
      <c r="F771">
        <v>0</v>
      </c>
      <c r="G771">
        <v>13.9</v>
      </c>
      <c r="H771">
        <v>4000</v>
      </c>
      <c r="I771">
        <v>4436.3</v>
      </c>
      <c r="J771">
        <v>1</v>
      </c>
      <c r="K771">
        <f t="shared" ref="K771:K834" si="24">F771+G771</f>
        <v>13.9</v>
      </c>
      <c r="L771">
        <f>K771+energy_grid_portfolio_dataset!H771</f>
        <v>4013.9</v>
      </c>
      <c r="M771">
        <f t="shared" ref="M771:M834" si="25">HOUR(A771)</f>
        <v>1</v>
      </c>
    </row>
    <row r="772" spans="1:13" x14ac:dyDescent="0.3">
      <c r="A772" s="1">
        <v>46270.083333333336</v>
      </c>
      <c r="B772" t="s">
        <v>12</v>
      </c>
      <c r="C772">
        <v>18</v>
      </c>
      <c r="D772">
        <v>1</v>
      </c>
      <c r="E772">
        <v>2.6</v>
      </c>
      <c r="F772">
        <v>0</v>
      </c>
      <c r="G772">
        <v>1.8</v>
      </c>
      <c r="H772">
        <v>4000</v>
      </c>
      <c r="I772">
        <v>4500.1000000000004</v>
      </c>
      <c r="J772">
        <v>1</v>
      </c>
      <c r="K772">
        <f t="shared" si="24"/>
        <v>1.8</v>
      </c>
      <c r="L772">
        <f>K772+energy_grid_portfolio_dataset!H772</f>
        <v>4001.8</v>
      </c>
      <c r="M772">
        <f t="shared" si="25"/>
        <v>2</v>
      </c>
    </row>
    <row r="773" spans="1:13" x14ac:dyDescent="0.3">
      <c r="A773" s="1">
        <v>46270.125</v>
      </c>
      <c r="B773" t="s">
        <v>12</v>
      </c>
      <c r="C773">
        <v>19.100000000000001</v>
      </c>
      <c r="D773">
        <v>58.3</v>
      </c>
      <c r="E773">
        <v>9.6999999999999993</v>
      </c>
      <c r="F773">
        <v>0</v>
      </c>
      <c r="G773">
        <v>86.5</v>
      </c>
      <c r="H773">
        <v>4000</v>
      </c>
      <c r="I773">
        <v>4292.1000000000004</v>
      </c>
      <c r="J773">
        <v>1</v>
      </c>
      <c r="K773">
        <f t="shared" si="24"/>
        <v>86.5</v>
      </c>
      <c r="L773">
        <f>K773+energy_grid_portfolio_dataset!H773</f>
        <v>4086.5</v>
      </c>
      <c r="M773">
        <f t="shared" si="25"/>
        <v>3</v>
      </c>
    </row>
    <row r="774" spans="1:13" x14ac:dyDescent="0.3">
      <c r="A774" s="1">
        <v>46270.166666666664</v>
      </c>
      <c r="B774" t="s">
        <v>12</v>
      </c>
      <c r="C774">
        <v>19.8</v>
      </c>
      <c r="D774">
        <v>5.5</v>
      </c>
      <c r="E774">
        <v>8.3000000000000007</v>
      </c>
      <c r="F774">
        <v>0</v>
      </c>
      <c r="G774">
        <v>54.5</v>
      </c>
      <c r="H774">
        <v>3972.8</v>
      </c>
      <c r="I774">
        <v>4027.3</v>
      </c>
      <c r="J774">
        <v>0</v>
      </c>
      <c r="K774">
        <f t="shared" si="24"/>
        <v>54.5</v>
      </c>
      <c r="L774">
        <f>K774+energy_grid_portfolio_dataset!H774</f>
        <v>4027.3</v>
      </c>
      <c r="M774">
        <f t="shared" si="25"/>
        <v>4</v>
      </c>
    </row>
    <row r="775" spans="1:13" x14ac:dyDescent="0.3">
      <c r="A775" s="1">
        <v>46270.208333333336</v>
      </c>
      <c r="B775" t="s">
        <v>12</v>
      </c>
      <c r="C775">
        <v>21.5</v>
      </c>
      <c r="D775">
        <v>34.1</v>
      </c>
      <c r="E775">
        <v>9.8000000000000007</v>
      </c>
      <c r="F775">
        <v>0</v>
      </c>
      <c r="G775">
        <v>91.4</v>
      </c>
      <c r="H775">
        <v>4000</v>
      </c>
      <c r="I775">
        <v>4305.8</v>
      </c>
      <c r="J775">
        <v>1</v>
      </c>
      <c r="K775">
        <f t="shared" si="24"/>
        <v>91.4</v>
      </c>
      <c r="L775">
        <f>K775+energy_grid_portfolio_dataset!H775</f>
        <v>4091.4</v>
      </c>
      <c r="M775">
        <f t="shared" si="25"/>
        <v>5</v>
      </c>
    </row>
    <row r="776" spans="1:13" x14ac:dyDescent="0.3">
      <c r="A776" s="1">
        <v>46270.25</v>
      </c>
      <c r="B776" t="s">
        <v>12</v>
      </c>
      <c r="C776">
        <v>23.2</v>
      </c>
      <c r="D776">
        <v>56.1</v>
      </c>
      <c r="E776">
        <v>7.7</v>
      </c>
      <c r="F776">
        <v>245.3</v>
      </c>
      <c r="G776">
        <v>44.5</v>
      </c>
      <c r="H776">
        <v>4000</v>
      </c>
      <c r="I776">
        <v>4476.3</v>
      </c>
      <c r="J776">
        <v>1</v>
      </c>
      <c r="K776">
        <f t="shared" si="24"/>
        <v>289.8</v>
      </c>
      <c r="L776">
        <f>K776+energy_grid_portfolio_dataset!H776</f>
        <v>4289.8</v>
      </c>
      <c r="M776">
        <f t="shared" si="25"/>
        <v>6</v>
      </c>
    </row>
    <row r="777" spans="1:13" x14ac:dyDescent="0.3">
      <c r="A777" s="1">
        <v>46270.291666666664</v>
      </c>
      <c r="B777" t="s">
        <v>12</v>
      </c>
      <c r="C777">
        <v>25</v>
      </c>
      <c r="D777">
        <v>100</v>
      </c>
      <c r="E777">
        <v>9.1999999999999993</v>
      </c>
      <c r="F777">
        <v>173.6</v>
      </c>
      <c r="G777">
        <v>75</v>
      </c>
      <c r="H777">
        <v>3965.4</v>
      </c>
      <c r="I777">
        <v>4214</v>
      </c>
      <c r="J777">
        <v>0</v>
      </c>
      <c r="K777">
        <f t="shared" si="24"/>
        <v>248.6</v>
      </c>
      <c r="L777">
        <f>K777+energy_grid_portfolio_dataset!H777</f>
        <v>4214</v>
      </c>
      <c r="M777">
        <f t="shared" si="25"/>
        <v>7</v>
      </c>
    </row>
    <row r="778" spans="1:13" x14ac:dyDescent="0.3">
      <c r="A778" s="1">
        <v>46270.333333333336</v>
      </c>
      <c r="B778" t="s">
        <v>12</v>
      </c>
      <c r="C778">
        <v>25.2</v>
      </c>
      <c r="D778">
        <v>21.2</v>
      </c>
      <c r="E778">
        <v>7.7</v>
      </c>
      <c r="F778">
        <v>1035.4000000000001</v>
      </c>
      <c r="G778">
        <v>44.1</v>
      </c>
      <c r="H778">
        <v>3131.1</v>
      </c>
      <c r="I778">
        <v>4210.6000000000004</v>
      </c>
      <c r="J778">
        <v>0</v>
      </c>
      <c r="K778">
        <f t="shared" si="24"/>
        <v>1079.5</v>
      </c>
      <c r="L778">
        <f>K778+energy_grid_portfolio_dataset!H778</f>
        <v>4210.6000000000004</v>
      </c>
      <c r="M778">
        <f t="shared" si="25"/>
        <v>8</v>
      </c>
    </row>
    <row r="779" spans="1:13" x14ac:dyDescent="0.3">
      <c r="A779" s="1">
        <v>46270.375</v>
      </c>
      <c r="B779" t="s">
        <v>12</v>
      </c>
      <c r="C779">
        <v>21.8</v>
      </c>
      <c r="D779">
        <v>25.1</v>
      </c>
      <c r="E779">
        <v>5.2</v>
      </c>
      <c r="F779">
        <v>1249.0999999999999</v>
      </c>
      <c r="G779">
        <v>13.1</v>
      </c>
      <c r="H779">
        <v>3125.4</v>
      </c>
      <c r="I779">
        <v>4387.6000000000004</v>
      </c>
      <c r="J779">
        <v>0</v>
      </c>
      <c r="K779">
        <f t="shared" si="24"/>
        <v>1262.1999999999998</v>
      </c>
      <c r="L779">
        <f>K779+energy_grid_portfolio_dataset!H779</f>
        <v>4387.6000000000004</v>
      </c>
      <c r="M779">
        <f t="shared" si="25"/>
        <v>9</v>
      </c>
    </row>
    <row r="780" spans="1:13" x14ac:dyDescent="0.3">
      <c r="A780" s="1">
        <v>46270.416666666664</v>
      </c>
      <c r="B780" t="s">
        <v>12</v>
      </c>
      <c r="C780">
        <v>23.9</v>
      </c>
      <c r="D780">
        <v>71.7</v>
      </c>
      <c r="E780">
        <v>6.8</v>
      </c>
      <c r="F780">
        <v>768.8</v>
      </c>
      <c r="G780">
        <v>29.6</v>
      </c>
      <c r="H780">
        <v>4000</v>
      </c>
      <c r="I780">
        <v>6194.9</v>
      </c>
      <c r="J780">
        <v>1</v>
      </c>
      <c r="K780">
        <f t="shared" si="24"/>
        <v>798.4</v>
      </c>
      <c r="L780">
        <f>K780+energy_grid_portfolio_dataset!H780</f>
        <v>4798.3999999999996</v>
      </c>
      <c r="M780">
        <f t="shared" si="25"/>
        <v>10</v>
      </c>
    </row>
    <row r="781" spans="1:13" x14ac:dyDescent="0.3">
      <c r="A781" s="1">
        <v>46270.458333333336</v>
      </c>
      <c r="B781" t="s">
        <v>12</v>
      </c>
      <c r="C781">
        <v>25.3</v>
      </c>
      <c r="D781">
        <v>91.5</v>
      </c>
      <c r="E781">
        <v>11</v>
      </c>
      <c r="F781">
        <v>523.20000000000005</v>
      </c>
      <c r="G781">
        <v>126.6</v>
      </c>
      <c r="H781">
        <v>4000</v>
      </c>
      <c r="I781">
        <v>6210.9</v>
      </c>
      <c r="J781">
        <v>1</v>
      </c>
      <c r="K781">
        <f t="shared" si="24"/>
        <v>649.80000000000007</v>
      </c>
      <c r="L781">
        <f>K781+energy_grid_portfolio_dataset!H781</f>
        <v>4649.8</v>
      </c>
      <c r="M781">
        <f t="shared" si="25"/>
        <v>11</v>
      </c>
    </row>
    <row r="782" spans="1:13" x14ac:dyDescent="0.3">
      <c r="A782" s="1">
        <v>46270.5</v>
      </c>
      <c r="B782" t="s">
        <v>12</v>
      </c>
      <c r="C782">
        <v>25.8</v>
      </c>
      <c r="D782">
        <v>74.7</v>
      </c>
      <c r="E782">
        <v>4.9000000000000004</v>
      </c>
      <c r="F782">
        <v>804.2</v>
      </c>
      <c r="G782">
        <v>11.5</v>
      </c>
      <c r="H782">
        <v>4000</v>
      </c>
      <c r="I782">
        <v>6167.5</v>
      </c>
      <c r="J782">
        <v>1</v>
      </c>
      <c r="K782">
        <f t="shared" si="24"/>
        <v>815.7</v>
      </c>
      <c r="L782">
        <f>K782+energy_grid_portfolio_dataset!H782</f>
        <v>4815.7</v>
      </c>
      <c r="M782">
        <f t="shared" si="25"/>
        <v>12</v>
      </c>
    </row>
    <row r="783" spans="1:13" x14ac:dyDescent="0.3">
      <c r="A783" s="1">
        <v>46270.541666666664</v>
      </c>
      <c r="B783" t="s">
        <v>12</v>
      </c>
      <c r="C783">
        <v>28.3</v>
      </c>
      <c r="D783">
        <v>2.7</v>
      </c>
      <c r="E783">
        <v>10</v>
      </c>
      <c r="F783">
        <v>1907.4</v>
      </c>
      <c r="G783">
        <v>94.7</v>
      </c>
      <c r="H783">
        <v>4000</v>
      </c>
      <c r="I783">
        <v>6219.1</v>
      </c>
      <c r="J783">
        <v>1</v>
      </c>
      <c r="K783">
        <f t="shared" si="24"/>
        <v>2002.1000000000001</v>
      </c>
      <c r="L783">
        <f>K783+energy_grid_portfolio_dataset!H783</f>
        <v>6002.1</v>
      </c>
      <c r="M783">
        <f t="shared" si="25"/>
        <v>13</v>
      </c>
    </row>
    <row r="784" spans="1:13" x14ac:dyDescent="0.3">
      <c r="A784" s="1">
        <v>46270.583333333336</v>
      </c>
      <c r="B784" t="s">
        <v>12</v>
      </c>
      <c r="C784">
        <v>25.5</v>
      </c>
      <c r="D784">
        <v>57.3</v>
      </c>
      <c r="E784">
        <v>5.9</v>
      </c>
      <c r="F784">
        <v>975.6</v>
      </c>
      <c r="G784">
        <v>19.600000000000001</v>
      </c>
      <c r="H784">
        <v>4000</v>
      </c>
      <c r="I784">
        <v>6250.9</v>
      </c>
      <c r="J784">
        <v>1</v>
      </c>
      <c r="K784">
        <f t="shared" si="24"/>
        <v>995.2</v>
      </c>
      <c r="L784">
        <f>K784+energy_grid_portfolio_dataset!H784</f>
        <v>4995.2</v>
      </c>
      <c r="M784">
        <f t="shared" si="25"/>
        <v>14</v>
      </c>
    </row>
    <row r="785" spans="1:13" x14ac:dyDescent="0.3">
      <c r="A785" s="1">
        <v>46270.625</v>
      </c>
      <c r="B785" t="s">
        <v>12</v>
      </c>
      <c r="C785">
        <v>28.5</v>
      </c>
      <c r="D785">
        <v>61.2</v>
      </c>
      <c r="E785">
        <v>7.3</v>
      </c>
      <c r="F785">
        <v>797.6</v>
      </c>
      <c r="G785">
        <v>37.799999999999997</v>
      </c>
      <c r="H785">
        <v>3224.9</v>
      </c>
      <c r="I785">
        <v>4060.3</v>
      </c>
      <c r="J785">
        <v>0</v>
      </c>
      <c r="K785">
        <f t="shared" si="24"/>
        <v>835.4</v>
      </c>
      <c r="L785">
        <f>K785+energy_grid_portfolio_dataset!H785</f>
        <v>4060.3</v>
      </c>
      <c r="M785">
        <f t="shared" si="25"/>
        <v>15</v>
      </c>
    </row>
    <row r="786" spans="1:13" x14ac:dyDescent="0.3">
      <c r="A786" s="1">
        <v>46270.666666666664</v>
      </c>
      <c r="B786" t="s">
        <v>12</v>
      </c>
      <c r="C786">
        <v>22.5</v>
      </c>
      <c r="D786">
        <v>74.2</v>
      </c>
      <c r="E786">
        <v>5.2</v>
      </c>
      <c r="F786">
        <v>506.7</v>
      </c>
      <c r="G786">
        <v>13.5</v>
      </c>
      <c r="H786">
        <v>3942.5</v>
      </c>
      <c r="I786">
        <v>4462.7</v>
      </c>
      <c r="J786">
        <v>0</v>
      </c>
      <c r="K786">
        <f t="shared" si="24"/>
        <v>520.20000000000005</v>
      </c>
      <c r="L786">
        <f>K786+energy_grid_portfolio_dataset!H786</f>
        <v>4462.7</v>
      </c>
      <c r="M786">
        <f t="shared" si="25"/>
        <v>16</v>
      </c>
    </row>
    <row r="787" spans="1:13" x14ac:dyDescent="0.3">
      <c r="A787" s="1">
        <v>46270.708333333336</v>
      </c>
      <c r="B787" t="s">
        <v>12</v>
      </c>
      <c r="C787">
        <v>19</v>
      </c>
      <c r="D787">
        <v>57</v>
      </c>
      <c r="E787">
        <v>4.2</v>
      </c>
      <c r="F787">
        <v>471.9</v>
      </c>
      <c r="G787">
        <v>7.1</v>
      </c>
      <c r="H787">
        <v>3968</v>
      </c>
      <c r="I787">
        <v>4447</v>
      </c>
      <c r="J787">
        <v>0</v>
      </c>
      <c r="K787">
        <f t="shared" si="24"/>
        <v>479</v>
      </c>
      <c r="L787">
        <f>K787+energy_grid_portfolio_dataset!H787</f>
        <v>4447</v>
      </c>
      <c r="M787">
        <f t="shared" si="25"/>
        <v>17</v>
      </c>
    </row>
    <row r="788" spans="1:13" x14ac:dyDescent="0.3">
      <c r="A788" s="1">
        <v>46270.75</v>
      </c>
      <c r="B788" t="s">
        <v>12</v>
      </c>
      <c r="C788">
        <v>22.9</v>
      </c>
      <c r="D788">
        <v>38.799999999999997</v>
      </c>
      <c r="E788">
        <v>3.9</v>
      </c>
      <c r="F788">
        <v>307</v>
      </c>
      <c r="G788">
        <v>5.5</v>
      </c>
      <c r="H788">
        <v>4000</v>
      </c>
      <c r="I788">
        <v>6784.8</v>
      </c>
      <c r="J788">
        <v>1</v>
      </c>
      <c r="K788">
        <f t="shared" si="24"/>
        <v>312.5</v>
      </c>
      <c r="L788">
        <f>K788+energy_grid_portfolio_dataset!H788</f>
        <v>4312.5</v>
      </c>
      <c r="M788">
        <f t="shared" si="25"/>
        <v>18</v>
      </c>
    </row>
    <row r="789" spans="1:13" x14ac:dyDescent="0.3">
      <c r="A789" s="1">
        <v>46270.791666666664</v>
      </c>
      <c r="B789" t="s">
        <v>12</v>
      </c>
      <c r="C789">
        <v>18.899999999999999</v>
      </c>
      <c r="D789">
        <v>85.3</v>
      </c>
      <c r="E789">
        <v>4.9000000000000004</v>
      </c>
      <c r="F789">
        <v>0</v>
      </c>
      <c r="G789">
        <v>11.2</v>
      </c>
      <c r="H789">
        <v>4000</v>
      </c>
      <c r="I789">
        <v>6703.4</v>
      </c>
      <c r="J789">
        <v>1</v>
      </c>
      <c r="K789">
        <f t="shared" si="24"/>
        <v>11.2</v>
      </c>
      <c r="L789">
        <f>K789+energy_grid_portfolio_dataset!H789</f>
        <v>4011.2</v>
      </c>
      <c r="M789">
        <f t="shared" si="25"/>
        <v>19</v>
      </c>
    </row>
    <row r="790" spans="1:13" x14ac:dyDescent="0.3">
      <c r="A790" s="1">
        <v>46270.833333333336</v>
      </c>
      <c r="B790" t="s">
        <v>12</v>
      </c>
      <c r="C790">
        <v>18.8</v>
      </c>
      <c r="D790">
        <v>28.8</v>
      </c>
      <c r="E790">
        <v>1.1000000000000001</v>
      </c>
      <c r="F790">
        <v>0</v>
      </c>
      <c r="G790">
        <v>0.1</v>
      </c>
      <c r="H790">
        <v>4000</v>
      </c>
      <c r="I790">
        <v>6284</v>
      </c>
      <c r="J790">
        <v>1</v>
      </c>
      <c r="K790">
        <f t="shared" si="24"/>
        <v>0.1</v>
      </c>
      <c r="L790">
        <f>K790+energy_grid_portfolio_dataset!H790</f>
        <v>4000.1</v>
      </c>
      <c r="M790">
        <f t="shared" si="25"/>
        <v>20</v>
      </c>
    </row>
    <row r="791" spans="1:13" x14ac:dyDescent="0.3">
      <c r="A791" s="1">
        <v>46270.875</v>
      </c>
      <c r="B791" t="s">
        <v>12</v>
      </c>
      <c r="C791">
        <v>18.7</v>
      </c>
      <c r="D791">
        <v>99.9</v>
      </c>
      <c r="E791">
        <v>6.9</v>
      </c>
      <c r="F791">
        <v>0</v>
      </c>
      <c r="G791">
        <v>32.1</v>
      </c>
      <c r="H791">
        <v>4000</v>
      </c>
      <c r="I791">
        <v>6534.4</v>
      </c>
      <c r="J791">
        <v>1</v>
      </c>
      <c r="K791">
        <f t="shared" si="24"/>
        <v>32.1</v>
      </c>
      <c r="L791">
        <f>K791+energy_grid_portfolio_dataset!H791</f>
        <v>4032.1</v>
      </c>
      <c r="M791">
        <f t="shared" si="25"/>
        <v>21</v>
      </c>
    </row>
    <row r="792" spans="1:13" x14ac:dyDescent="0.3">
      <c r="A792" s="1">
        <v>46270.916666666664</v>
      </c>
      <c r="B792" t="s">
        <v>12</v>
      </c>
      <c r="C792">
        <v>18.600000000000001</v>
      </c>
      <c r="D792">
        <v>46.2</v>
      </c>
      <c r="E792">
        <v>3.9</v>
      </c>
      <c r="F792">
        <v>0</v>
      </c>
      <c r="G792">
        <v>5.8</v>
      </c>
      <c r="H792">
        <v>4000</v>
      </c>
      <c r="I792">
        <v>4229</v>
      </c>
      <c r="J792">
        <v>1</v>
      </c>
      <c r="K792">
        <f t="shared" si="24"/>
        <v>5.8</v>
      </c>
      <c r="L792">
        <f>K792+energy_grid_portfolio_dataset!H792</f>
        <v>4005.8</v>
      </c>
      <c r="M792">
        <f t="shared" si="25"/>
        <v>22</v>
      </c>
    </row>
    <row r="793" spans="1:13" x14ac:dyDescent="0.3">
      <c r="A793" s="1">
        <v>46270.958333333336</v>
      </c>
      <c r="B793" t="s">
        <v>12</v>
      </c>
      <c r="C793">
        <v>13.7</v>
      </c>
      <c r="D793">
        <v>48.3</v>
      </c>
      <c r="E793">
        <v>6.5</v>
      </c>
      <c r="F793">
        <v>0</v>
      </c>
      <c r="G793">
        <v>26.1</v>
      </c>
      <c r="H793">
        <v>4000</v>
      </c>
      <c r="I793">
        <v>4146.8</v>
      </c>
      <c r="J793">
        <v>1</v>
      </c>
      <c r="K793">
        <f t="shared" si="24"/>
        <v>26.1</v>
      </c>
      <c r="L793">
        <f>K793+energy_grid_portfolio_dataset!H793</f>
        <v>4026.1</v>
      </c>
      <c r="M793">
        <f t="shared" si="25"/>
        <v>23</v>
      </c>
    </row>
    <row r="794" spans="1:13" x14ac:dyDescent="0.3">
      <c r="A794" s="1">
        <v>46271</v>
      </c>
      <c r="B794" t="s">
        <v>12</v>
      </c>
      <c r="C794">
        <v>16.2</v>
      </c>
      <c r="D794">
        <v>31.6</v>
      </c>
      <c r="E794">
        <v>7.8</v>
      </c>
      <c r="F794">
        <v>0</v>
      </c>
      <c r="G794">
        <v>46</v>
      </c>
      <c r="H794">
        <v>4000</v>
      </c>
      <c r="I794">
        <v>4305.5</v>
      </c>
      <c r="J794">
        <v>1</v>
      </c>
      <c r="K794">
        <f t="shared" si="24"/>
        <v>46</v>
      </c>
      <c r="L794">
        <f>K794+energy_grid_portfolio_dataset!H794</f>
        <v>4046</v>
      </c>
      <c r="M794">
        <f t="shared" si="25"/>
        <v>0</v>
      </c>
    </row>
    <row r="795" spans="1:13" x14ac:dyDescent="0.3">
      <c r="A795" s="1">
        <v>46271.041666666664</v>
      </c>
      <c r="B795" t="s">
        <v>12</v>
      </c>
      <c r="C795">
        <v>18.7</v>
      </c>
      <c r="D795">
        <v>29.9</v>
      </c>
      <c r="E795">
        <v>3.7</v>
      </c>
      <c r="F795">
        <v>0</v>
      </c>
      <c r="G795">
        <v>5</v>
      </c>
      <c r="H795">
        <v>4000</v>
      </c>
      <c r="I795">
        <v>4122.3999999999996</v>
      </c>
      <c r="J795">
        <v>1</v>
      </c>
      <c r="K795">
        <f t="shared" si="24"/>
        <v>5</v>
      </c>
      <c r="L795">
        <f>K795+energy_grid_portfolio_dataset!H795</f>
        <v>4005</v>
      </c>
      <c r="M795">
        <f t="shared" si="25"/>
        <v>1</v>
      </c>
    </row>
    <row r="796" spans="1:13" x14ac:dyDescent="0.3">
      <c r="A796" s="1">
        <v>46271.083333333336</v>
      </c>
      <c r="B796" t="s">
        <v>12</v>
      </c>
      <c r="C796">
        <v>16.7</v>
      </c>
      <c r="D796">
        <v>89.3</v>
      </c>
      <c r="E796">
        <v>7.5</v>
      </c>
      <c r="F796">
        <v>0</v>
      </c>
      <c r="G796">
        <v>41.3</v>
      </c>
      <c r="H796">
        <v>4000</v>
      </c>
      <c r="I796">
        <v>4100</v>
      </c>
      <c r="J796">
        <v>1</v>
      </c>
      <c r="K796">
        <f t="shared" si="24"/>
        <v>41.3</v>
      </c>
      <c r="L796">
        <f>K796+energy_grid_portfolio_dataset!H796</f>
        <v>4041.3</v>
      </c>
      <c r="M796">
        <f t="shared" si="25"/>
        <v>2</v>
      </c>
    </row>
    <row r="797" spans="1:13" x14ac:dyDescent="0.3">
      <c r="A797" s="1">
        <v>46271.125</v>
      </c>
      <c r="B797" t="s">
        <v>12</v>
      </c>
      <c r="C797">
        <v>19.5</v>
      </c>
      <c r="D797">
        <v>26.9</v>
      </c>
      <c r="E797">
        <v>5</v>
      </c>
      <c r="F797">
        <v>0</v>
      </c>
      <c r="G797">
        <v>12.1</v>
      </c>
      <c r="H797">
        <v>4000</v>
      </c>
      <c r="I797">
        <v>4466.8</v>
      </c>
      <c r="J797">
        <v>1</v>
      </c>
      <c r="K797">
        <f t="shared" si="24"/>
        <v>12.1</v>
      </c>
      <c r="L797">
        <f>K797+energy_grid_portfolio_dataset!H797</f>
        <v>4012.1</v>
      </c>
      <c r="M797">
        <f t="shared" si="25"/>
        <v>3</v>
      </c>
    </row>
    <row r="798" spans="1:13" x14ac:dyDescent="0.3">
      <c r="A798" s="1">
        <v>46271.166666666664</v>
      </c>
      <c r="B798" t="s">
        <v>12</v>
      </c>
      <c r="C798">
        <v>22.2</v>
      </c>
      <c r="D798">
        <v>24.1</v>
      </c>
      <c r="E798">
        <v>8.6999999999999993</v>
      </c>
      <c r="F798">
        <v>0</v>
      </c>
      <c r="G798">
        <v>62.8</v>
      </c>
      <c r="H798">
        <v>4000</v>
      </c>
      <c r="I798">
        <v>4203</v>
      </c>
      <c r="J798">
        <v>1</v>
      </c>
      <c r="K798">
        <f t="shared" si="24"/>
        <v>62.8</v>
      </c>
      <c r="L798">
        <f>K798+energy_grid_portfolio_dataset!H798</f>
        <v>4062.8</v>
      </c>
      <c r="M798">
        <f t="shared" si="25"/>
        <v>4</v>
      </c>
    </row>
    <row r="799" spans="1:13" x14ac:dyDescent="0.3">
      <c r="A799" s="1">
        <v>46271.208333333336</v>
      </c>
      <c r="B799" t="s">
        <v>12</v>
      </c>
      <c r="C799">
        <v>24.4</v>
      </c>
      <c r="D799">
        <v>47.7</v>
      </c>
      <c r="E799">
        <v>8.1</v>
      </c>
      <c r="F799">
        <v>0</v>
      </c>
      <c r="G799">
        <v>51.7</v>
      </c>
      <c r="H799">
        <v>4000</v>
      </c>
      <c r="I799">
        <v>4453.8999999999996</v>
      </c>
      <c r="J799">
        <v>1</v>
      </c>
      <c r="K799">
        <f t="shared" si="24"/>
        <v>51.7</v>
      </c>
      <c r="L799">
        <f>K799+energy_grid_portfolio_dataset!H799</f>
        <v>4051.7</v>
      </c>
      <c r="M799">
        <f t="shared" si="25"/>
        <v>5</v>
      </c>
    </row>
    <row r="800" spans="1:13" x14ac:dyDescent="0.3">
      <c r="A800" s="1">
        <v>46271.25</v>
      </c>
      <c r="B800" t="s">
        <v>12</v>
      </c>
      <c r="C800">
        <v>20.8</v>
      </c>
      <c r="D800">
        <v>13.9</v>
      </c>
      <c r="E800">
        <v>0.4</v>
      </c>
      <c r="F800">
        <v>395.4</v>
      </c>
      <c r="G800">
        <v>0</v>
      </c>
      <c r="H800">
        <v>4000</v>
      </c>
      <c r="I800">
        <v>4662.2</v>
      </c>
      <c r="J800">
        <v>1</v>
      </c>
      <c r="K800">
        <f t="shared" si="24"/>
        <v>395.4</v>
      </c>
      <c r="L800">
        <f>K800+energy_grid_portfolio_dataset!H800</f>
        <v>4395.3999999999996</v>
      </c>
      <c r="M800">
        <f t="shared" si="25"/>
        <v>6</v>
      </c>
    </row>
    <row r="801" spans="1:13" x14ac:dyDescent="0.3">
      <c r="A801" s="1">
        <v>46271.291666666664</v>
      </c>
      <c r="B801" t="s">
        <v>12</v>
      </c>
      <c r="C801">
        <v>19.5</v>
      </c>
      <c r="D801">
        <v>48.8</v>
      </c>
      <c r="E801">
        <v>7.3</v>
      </c>
      <c r="F801">
        <v>528.79999999999995</v>
      </c>
      <c r="G801">
        <v>37.5</v>
      </c>
      <c r="H801">
        <v>3860.6</v>
      </c>
      <c r="I801">
        <v>4426.8999999999996</v>
      </c>
      <c r="J801">
        <v>0</v>
      </c>
      <c r="K801">
        <f t="shared" si="24"/>
        <v>566.29999999999995</v>
      </c>
      <c r="L801">
        <f>K801+energy_grid_portfolio_dataset!H801</f>
        <v>4426.8999999999996</v>
      </c>
      <c r="M801">
        <f t="shared" si="25"/>
        <v>7</v>
      </c>
    </row>
    <row r="802" spans="1:13" x14ac:dyDescent="0.3">
      <c r="A802" s="1">
        <v>46271.333333333336</v>
      </c>
      <c r="B802" t="s">
        <v>12</v>
      </c>
      <c r="C802">
        <v>25.4</v>
      </c>
      <c r="D802">
        <v>66.7</v>
      </c>
      <c r="E802">
        <v>9.8000000000000007</v>
      </c>
      <c r="F802">
        <v>581.9</v>
      </c>
      <c r="G802">
        <v>91.4</v>
      </c>
      <c r="H802">
        <v>3674.5</v>
      </c>
      <c r="I802">
        <v>4347.8</v>
      </c>
      <c r="J802">
        <v>0</v>
      </c>
      <c r="K802">
        <f t="shared" si="24"/>
        <v>673.3</v>
      </c>
      <c r="L802">
        <f>K802+energy_grid_portfolio_dataset!H802</f>
        <v>4347.8</v>
      </c>
      <c r="M802">
        <f t="shared" si="25"/>
        <v>8</v>
      </c>
    </row>
    <row r="803" spans="1:13" x14ac:dyDescent="0.3">
      <c r="A803" s="1">
        <v>46271.375</v>
      </c>
      <c r="B803" t="s">
        <v>12</v>
      </c>
      <c r="C803">
        <v>24.2</v>
      </c>
      <c r="D803">
        <v>36.799999999999997</v>
      </c>
      <c r="E803">
        <v>8.5</v>
      </c>
      <c r="F803">
        <v>1103.0999999999999</v>
      </c>
      <c r="G803">
        <v>58.8</v>
      </c>
      <c r="H803">
        <v>3015.3</v>
      </c>
      <c r="I803">
        <v>4177.2</v>
      </c>
      <c r="J803">
        <v>0</v>
      </c>
      <c r="K803">
        <f t="shared" si="24"/>
        <v>1161.8999999999999</v>
      </c>
      <c r="L803">
        <f>K803+energy_grid_portfolio_dataset!H803</f>
        <v>4177.2</v>
      </c>
      <c r="M803">
        <f t="shared" si="25"/>
        <v>9</v>
      </c>
    </row>
    <row r="804" spans="1:13" x14ac:dyDescent="0.3">
      <c r="A804" s="1">
        <v>46271.416666666664</v>
      </c>
      <c r="B804" t="s">
        <v>12</v>
      </c>
      <c r="C804">
        <v>27.2</v>
      </c>
      <c r="D804">
        <v>95.5</v>
      </c>
      <c r="E804">
        <v>2.5</v>
      </c>
      <c r="F804">
        <v>425.2</v>
      </c>
      <c r="G804">
        <v>1.4</v>
      </c>
      <c r="H804">
        <v>4000</v>
      </c>
      <c r="I804">
        <v>6375.1</v>
      </c>
      <c r="J804">
        <v>1</v>
      </c>
      <c r="K804">
        <f t="shared" si="24"/>
        <v>426.59999999999997</v>
      </c>
      <c r="L804">
        <f>K804+energy_grid_portfolio_dataset!H804</f>
        <v>4426.6000000000004</v>
      </c>
      <c r="M804">
        <f t="shared" si="25"/>
        <v>10</v>
      </c>
    </row>
    <row r="805" spans="1:13" x14ac:dyDescent="0.3">
      <c r="A805" s="1">
        <v>46271.458333333336</v>
      </c>
      <c r="B805" t="s">
        <v>12</v>
      </c>
      <c r="C805">
        <v>29.9</v>
      </c>
      <c r="D805">
        <v>82.1</v>
      </c>
      <c r="E805">
        <v>11.3</v>
      </c>
      <c r="F805">
        <v>669.7</v>
      </c>
      <c r="G805">
        <v>140.19999999999999</v>
      </c>
      <c r="H805">
        <v>4000</v>
      </c>
      <c r="I805">
        <v>6490.1</v>
      </c>
      <c r="J805">
        <v>1</v>
      </c>
      <c r="K805">
        <f t="shared" si="24"/>
        <v>809.90000000000009</v>
      </c>
      <c r="L805">
        <f>K805+energy_grid_portfolio_dataset!H805</f>
        <v>4809.8999999999996</v>
      </c>
      <c r="M805">
        <f t="shared" si="25"/>
        <v>11</v>
      </c>
    </row>
    <row r="806" spans="1:13" x14ac:dyDescent="0.3">
      <c r="A806" s="1">
        <v>46271.5</v>
      </c>
      <c r="B806" t="s">
        <v>12</v>
      </c>
      <c r="C806">
        <v>26</v>
      </c>
      <c r="D806">
        <v>37.9</v>
      </c>
      <c r="E806">
        <v>8.1999999999999993</v>
      </c>
      <c r="F806">
        <v>1392.9</v>
      </c>
      <c r="G806">
        <v>52.2</v>
      </c>
      <c r="H806">
        <v>4000</v>
      </c>
      <c r="I806">
        <v>5991.5</v>
      </c>
      <c r="J806">
        <v>1</v>
      </c>
      <c r="K806">
        <f t="shared" si="24"/>
        <v>1445.1000000000001</v>
      </c>
      <c r="L806">
        <f>K806+energy_grid_portfolio_dataset!H806</f>
        <v>5445.1</v>
      </c>
      <c r="M806">
        <f t="shared" si="25"/>
        <v>12</v>
      </c>
    </row>
    <row r="807" spans="1:13" x14ac:dyDescent="0.3">
      <c r="A807" s="1">
        <v>46271.541666666664</v>
      </c>
      <c r="B807" t="s">
        <v>12</v>
      </c>
      <c r="C807">
        <v>28.3</v>
      </c>
      <c r="D807">
        <v>100</v>
      </c>
      <c r="E807">
        <v>8.1</v>
      </c>
      <c r="F807">
        <v>390</v>
      </c>
      <c r="G807">
        <v>50.7</v>
      </c>
      <c r="H807">
        <v>4000</v>
      </c>
      <c r="I807">
        <v>6082.5</v>
      </c>
      <c r="J807">
        <v>1</v>
      </c>
      <c r="K807">
        <f t="shared" si="24"/>
        <v>440.7</v>
      </c>
      <c r="L807">
        <f>K807+energy_grid_portfolio_dataset!H807</f>
        <v>4440.7</v>
      </c>
      <c r="M807">
        <f t="shared" si="25"/>
        <v>13</v>
      </c>
    </row>
    <row r="808" spans="1:13" x14ac:dyDescent="0.3">
      <c r="A808" s="1">
        <v>46271.583333333336</v>
      </c>
      <c r="B808" t="s">
        <v>12</v>
      </c>
      <c r="C808">
        <v>24.4</v>
      </c>
      <c r="D808">
        <v>34.6</v>
      </c>
      <c r="E808">
        <v>9.6999999999999993</v>
      </c>
      <c r="F808">
        <v>1303.2</v>
      </c>
      <c r="G808">
        <v>88.9</v>
      </c>
      <c r="H808">
        <v>4000</v>
      </c>
      <c r="I808">
        <v>6282.6</v>
      </c>
      <c r="J808">
        <v>1</v>
      </c>
      <c r="K808">
        <f t="shared" si="24"/>
        <v>1392.1000000000001</v>
      </c>
      <c r="L808">
        <f>K808+energy_grid_portfolio_dataset!H808</f>
        <v>5392.1</v>
      </c>
      <c r="M808">
        <f t="shared" si="25"/>
        <v>14</v>
      </c>
    </row>
    <row r="809" spans="1:13" x14ac:dyDescent="0.3">
      <c r="A809" s="1">
        <v>46271.625</v>
      </c>
      <c r="B809" t="s">
        <v>12</v>
      </c>
      <c r="C809">
        <v>25.5</v>
      </c>
      <c r="D809">
        <v>47.5</v>
      </c>
      <c r="E809">
        <v>0</v>
      </c>
      <c r="F809">
        <v>969.9</v>
      </c>
      <c r="G809">
        <v>0</v>
      </c>
      <c r="H809">
        <v>3467</v>
      </c>
      <c r="I809">
        <v>4436.8999999999996</v>
      </c>
      <c r="J809">
        <v>0</v>
      </c>
      <c r="K809">
        <f t="shared" si="24"/>
        <v>969.9</v>
      </c>
      <c r="L809">
        <f>K809+energy_grid_portfolio_dataset!H809</f>
        <v>4436.8999999999996</v>
      </c>
      <c r="M809">
        <f t="shared" si="25"/>
        <v>15</v>
      </c>
    </row>
    <row r="810" spans="1:13" x14ac:dyDescent="0.3">
      <c r="A810" s="1">
        <v>46271.666666666664</v>
      </c>
      <c r="B810" t="s">
        <v>12</v>
      </c>
      <c r="C810">
        <v>28.3</v>
      </c>
      <c r="D810">
        <v>21.6</v>
      </c>
      <c r="E810">
        <v>6.6</v>
      </c>
      <c r="F810">
        <v>1031.5999999999999</v>
      </c>
      <c r="G810">
        <v>27.2</v>
      </c>
      <c r="H810">
        <v>3100.6</v>
      </c>
      <c r="I810">
        <v>4159.3999999999996</v>
      </c>
      <c r="J810">
        <v>0</v>
      </c>
      <c r="K810">
        <f t="shared" si="24"/>
        <v>1058.8</v>
      </c>
      <c r="L810">
        <f>K810+energy_grid_portfolio_dataset!H810</f>
        <v>4159.3999999999996</v>
      </c>
      <c r="M810">
        <f t="shared" si="25"/>
        <v>16</v>
      </c>
    </row>
    <row r="811" spans="1:13" x14ac:dyDescent="0.3">
      <c r="A811" s="1">
        <v>46271.708333333336</v>
      </c>
      <c r="B811" t="s">
        <v>12</v>
      </c>
      <c r="C811">
        <v>20.8</v>
      </c>
      <c r="D811">
        <v>65.5</v>
      </c>
      <c r="E811">
        <v>8.8000000000000007</v>
      </c>
      <c r="F811">
        <v>412.8</v>
      </c>
      <c r="G811">
        <v>65.7</v>
      </c>
      <c r="H811">
        <v>3992.6</v>
      </c>
      <c r="I811">
        <v>4471.1000000000004</v>
      </c>
      <c r="J811">
        <v>0</v>
      </c>
      <c r="K811">
        <f t="shared" si="24"/>
        <v>478.5</v>
      </c>
      <c r="L811">
        <f>K811+energy_grid_portfolio_dataset!H811</f>
        <v>4471.1000000000004</v>
      </c>
      <c r="M811">
        <f t="shared" si="25"/>
        <v>17</v>
      </c>
    </row>
    <row r="812" spans="1:13" x14ac:dyDescent="0.3">
      <c r="A812" s="1">
        <v>46271.75</v>
      </c>
      <c r="B812" t="s">
        <v>12</v>
      </c>
      <c r="C812">
        <v>27.7</v>
      </c>
      <c r="D812">
        <v>9.9</v>
      </c>
      <c r="E812">
        <v>9.1999999999999993</v>
      </c>
      <c r="F812">
        <v>409.6</v>
      </c>
      <c r="G812">
        <v>74.2</v>
      </c>
      <c r="H812">
        <v>4000</v>
      </c>
      <c r="I812">
        <v>6721.9</v>
      </c>
      <c r="J812">
        <v>1</v>
      </c>
      <c r="K812">
        <f t="shared" si="24"/>
        <v>483.8</v>
      </c>
      <c r="L812">
        <f>K812+energy_grid_portfolio_dataset!H812</f>
        <v>4483.8</v>
      </c>
      <c r="M812">
        <f t="shared" si="25"/>
        <v>18</v>
      </c>
    </row>
    <row r="813" spans="1:13" x14ac:dyDescent="0.3">
      <c r="A813" s="1">
        <v>46271.791666666664</v>
      </c>
      <c r="B813" t="s">
        <v>12</v>
      </c>
      <c r="C813">
        <v>22.2</v>
      </c>
      <c r="D813">
        <v>73.2</v>
      </c>
      <c r="E813">
        <v>3.8</v>
      </c>
      <c r="F813">
        <v>0</v>
      </c>
      <c r="G813">
        <v>5.3</v>
      </c>
      <c r="H813">
        <v>4000</v>
      </c>
      <c r="I813">
        <v>6694.1</v>
      </c>
      <c r="J813">
        <v>1</v>
      </c>
      <c r="K813">
        <f t="shared" si="24"/>
        <v>5.3</v>
      </c>
      <c r="L813">
        <f>K813+energy_grid_portfolio_dataset!H813</f>
        <v>4005.3</v>
      </c>
      <c r="M813">
        <f t="shared" si="25"/>
        <v>19</v>
      </c>
    </row>
    <row r="814" spans="1:13" x14ac:dyDescent="0.3">
      <c r="A814" s="1">
        <v>46271.833333333336</v>
      </c>
      <c r="B814" t="s">
        <v>12</v>
      </c>
      <c r="C814">
        <v>15.8</v>
      </c>
      <c r="D814">
        <v>78.099999999999994</v>
      </c>
      <c r="E814">
        <v>6.9</v>
      </c>
      <c r="F814">
        <v>0</v>
      </c>
      <c r="G814">
        <v>31.5</v>
      </c>
      <c r="H814">
        <v>4000</v>
      </c>
      <c r="I814">
        <v>6754.3</v>
      </c>
      <c r="J814">
        <v>1</v>
      </c>
      <c r="K814">
        <f t="shared" si="24"/>
        <v>31.5</v>
      </c>
      <c r="L814">
        <f>K814+energy_grid_portfolio_dataset!H814</f>
        <v>4031.5</v>
      </c>
      <c r="M814">
        <f t="shared" si="25"/>
        <v>20</v>
      </c>
    </row>
    <row r="815" spans="1:13" x14ac:dyDescent="0.3">
      <c r="A815" s="1">
        <v>46271.875</v>
      </c>
      <c r="B815" t="s">
        <v>12</v>
      </c>
      <c r="C815">
        <v>20.6</v>
      </c>
      <c r="D815">
        <v>71</v>
      </c>
      <c r="E815">
        <v>6.4</v>
      </c>
      <c r="F815">
        <v>0</v>
      </c>
      <c r="G815">
        <v>25.7</v>
      </c>
      <c r="H815">
        <v>4000</v>
      </c>
      <c r="I815">
        <v>6815.8</v>
      </c>
      <c r="J815">
        <v>1</v>
      </c>
      <c r="K815">
        <f t="shared" si="24"/>
        <v>25.7</v>
      </c>
      <c r="L815">
        <f>K815+energy_grid_portfolio_dataset!H815</f>
        <v>4025.7</v>
      </c>
      <c r="M815">
        <f t="shared" si="25"/>
        <v>21</v>
      </c>
    </row>
    <row r="816" spans="1:13" x14ac:dyDescent="0.3">
      <c r="A816" s="1">
        <v>46271.916666666664</v>
      </c>
      <c r="B816" t="s">
        <v>12</v>
      </c>
      <c r="C816">
        <v>16.2</v>
      </c>
      <c r="D816">
        <v>95.6</v>
      </c>
      <c r="E816">
        <v>10.3</v>
      </c>
      <c r="F816">
        <v>0</v>
      </c>
      <c r="G816">
        <v>105.2</v>
      </c>
      <c r="H816">
        <v>4000</v>
      </c>
      <c r="I816">
        <v>4187.8</v>
      </c>
      <c r="J816">
        <v>1</v>
      </c>
      <c r="K816">
        <f t="shared" si="24"/>
        <v>105.2</v>
      </c>
      <c r="L816">
        <f>K816+energy_grid_portfolio_dataset!H816</f>
        <v>4105.2</v>
      </c>
      <c r="M816">
        <f t="shared" si="25"/>
        <v>22</v>
      </c>
    </row>
    <row r="817" spans="1:13" x14ac:dyDescent="0.3">
      <c r="A817" s="1">
        <v>46271.958333333336</v>
      </c>
      <c r="B817" t="s">
        <v>12</v>
      </c>
      <c r="C817">
        <v>17.3</v>
      </c>
      <c r="D817">
        <v>32.9</v>
      </c>
      <c r="E817">
        <v>9.5</v>
      </c>
      <c r="F817">
        <v>0</v>
      </c>
      <c r="G817">
        <v>82.8</v>
      </c>
      <c r="H817">
        <v>4000</v>
      </c>
      <c r="I817">
        <v>4284.3</v>
      </c>
      <c r="J817">
        <v>1</v>
      </c>
      <c r="K817">
        <f t="shared" si="24"/>
        <v>82.8</v>
      </c>
      <c r="L817">
        <f>K817+energy_grid_portfolio_dataset!H817</f>
        <v>4082.8</v>
      </c>
      <c r="M817">
        <f t="shared" si="25"/>
        <v>23</v>
      </c>
    </row>
    <row r="818" spans="1:13" x14ac:dyDescent="0.3">
      <c r="A818" s="1">
        <v>46272</v>
      </c>
      <c r="B818" t="s">
        <v>12</v>
      </c>
      <c r="C818">
        <v>20.9</v>
      </c>
      <c r="D818">
        <v>33.700000000000003</v>
      </c>
      <c r="E818">
        <v>4.9000000000000004</v>
      </c>
      <c r="F818">
        <v>0</v>
      </c>
      <c r="G818">
        <v>11.1</v>
      </c>
      <c r="H818">
        <v>4000</v>
      </c>
      <c r="I818">
        <v>5049.8</v>
      </c>
      <c r="J818">
        <v>1</v>
      </c>
      <c r="K818">
        <f t="shared" si="24"/>
        <v>11.1</v>
      </c>
      <c r="L818">
        <f>K818+energy_grid_portfolio_dataset!H818</f>
        <v>4011.1</v>
      </c>
      <c r="M818">
        <f t="shared" si="25"/>
        <v>0</v>
      </c>
    </row>
    <row r="819" spans="1:13" x14ac:dyDescent="0.3">
      <c r="A819" s="1">
        <v>46272.041666666664</v>
      </c>
      <c r="B819" t="s">
        <v>12</v>
      </c>
      <c r="C819">
        <v>18.5</v>
      </c>
      <c r="D819">
        <v>53.5</v>
      </c>
      <c r="E819">
        <v>3.4</v>
      </c>
      <c r="F819">
        <v>0</v>
      </c>
      <c r="G819">
        <v>3.7</v>
      </c>
      <c r="H819">
        <v>4000</v>
      </c>
      <c r="I819">
        <v>4984.7</v>
      </c>
      <c r="J819">
        <v>1</v>
      </c>
      <c r="K819">
        <f t="shared" si="24"/>
        <v>3.7</v>
      </c>
      <c r="L819">
        <f>K819+energy_grid_portfolio_dataset!H819</f>
        <v>4003.7</v>
      </c>
      <c r="M819">
        <f t="shared" si="25"/>
        <v>1</v>
      </c>
    </row>
    <row r="820" spans="1:13" x14ac:dyDescent="0.3">
      <c r="A820" s="1">
        <v>46272.083333333336</v>
      </c>
      <c r="B820" t="s">
        <v>12</v>
      </c>
      <c r="C820">
        <v>19.100000000000001</v>
      </c>
      <c r="D820">
        <v>32.5</v>
      </c>
      <c r="E820">
        <v>10.1</v>
      </c>
      <c r="F820">
        <v>0</v>
      </c>
      <c r="G820">
        <v>97.9</v>
      </c>
      <c r="H820">
        <v>4000</v>
      </c>
      <c r="I820">
        <v>5082.2</v>
      </c>
      <c r="J820">
        <v>1</v>
      </c>
      <c r="K820">
        <f t="shared" si="24"/>
        <v>97.9</v>
      </c>
      <c r="L820">
        <f>K820+energy_grid_portfolio_dataset!H820</f>
        <v>4097.8999999999996</v>
      </c>
      <c r="M820">
        <f t="shared" si="25"/>
        <v>2</v>
      </c>
    </row>
    <row r="821" spans="1:13" x14ac:dyDescent="0.3">
      <c r="A821" s="1">
        <v>46272.125</v>
      </c>
      <c r="B821" t="s">
        <v>12</v>
      </c>
      <c r="C821">
        <v>18.7</v>
      </c>
      <c r="D821">
        <v>62.4</v>
      </c>
      <c r="E821">
        <v>7.7</v>
      </c>
      <c r="F821">
        <v>0</v>
      </c>
      <c r="G821">
        <v>43.2</v>
      </c>
      <c r="H821">
        <v>4000</v>
      </c>
      <c r="I821">
        <v>5125.5</v>
      </c>
      <c r="J821">
        <v>1</v>
      </c>
      <c r="K821">
        <f t="shared" si="24"/>
        <v>43.2</v>
      </c>
      <c r="L821">
        <f>K821+energy_grid_portfolio_dataset!H821</f>
        <v>4043.2</v>
      </c>
      <c r="M821">
        <f t="shared" si="25"/>
        <v>3</v>
      </c>
    </row>
    <row r="822" spans="1:13" x14ac:dyDescent="0.3">
      <c r="A822" s="1">
        <v>46272.166666666664</v>
      </c>
      <c r="B822" t="s">
        <v>12</v>
      </c>
      <c r="C822">
        <v>19.600000000000001</v>
      </c>
      <c r="D822">
        <v>0</v>
      </c>
      <c r="E822">
        <v>8.6</v>
      </c>
      <c r="F822">
        <v>0</v>
      </c>
      <c r="G822">
        <v>61.7</v>
      </c>
      <c r="H822">
        <v>4000</v>
      </c>
      <c r="I822">
        <v>4820.7</v>
      </c>
      <c r="J822">
        <v>1</v>
      </c>
      <c r="K822">
        <f t="shared" si="24"/>
        <v>61.7</v>
      </c>
      <c r="L822">
        <f>K822+energy_grid_portfolio_dataset!H822</f>
        <v>4061.7</v>
      </c>
      <c r="M822">
        <f t="shared" si="25"/>
        <v>4</v>
      </c>
    </row>
    <row r="823" spans="1:13" x14ac:dyDescent="0.3">
      <c r="A823" s="1">
        <v>46272.208333333336</v>
      </c>
      <c r="B823" t="s">
        <v>12</v>
      </c>
      <c r="C823">
        <v>23.7</v>
      </c>
      <c r="D823">
        <v>50.1</v>
      </c>
      <c r="E823">
        <v>5.4</v>
      </c>
      <c r="F823">
        <v>0</v>
      </c>
      <c r="G823">
        <v>14.8</v>
      </c>
      <c r="H823">
        <v>4000</v>
      </c>
      <c r="I823">
        <v>4715.8</v>
      </c>
      <c r="J823">
        <v>1</v>
      </c>
      <c r="K823">
        <f t="shared" si="24"/>
        <v>14.8</v>
      </c>
      <c r="L823">
        <f>K823+energy_grid_portfolio_dataset!H823</f>
        <v>4014.8</v>
      </c>
      <c r="M823">
        <f t="shared" si="25"/>
        <v>5</v>
      </c>
    </row>
    <row r="824" spans="1:13" x14ac:dyDescent="0.3">
      <c r="A824" s="1">
        <v>46272.25</v>
      </c>
      <c r="B824" t="s">
        <v>12</v>
      </c>
      <c r="C824">
        <v>21.4</v>
      </c>
      <c r="D824">
        <v>100</v>
      </c>
      <c r="E824">
        <v>0</v>
      </c>
      <c r="F824">
        <v>89</v>
      </c>
      <c r="G824">
        <v>0</v>
      </c>
      <c r="H824">
        <v>4000</v>
      </c>
      <c r="I824">
        <v>4855.8</v>
      </c>
      <c r="J824">
        <v>1</v>
      </c>
      <c r="K824">
        <f t="shared" si="24"/>
        <v>89</v>
      </c>
      <c r="L824">
        <f>K824+energy_grid_portfolio_dataset!H824</f>
        <v>4089</v>
      </c>
      <c r="M824">
        <f t="shared" si="25"/>
        <v>6</v>
      </c>
    </row>
    <row r="825" spans="1:13" x14ac:dyDescent="0.3">
      <c r="A825" s="1">
        <v>46272.291666666664</v>
      </c>
      <c r="B825" t="s">
        <v>12</v>
      </c>
      <c r="C825">
        <v>24</v>
      </c>
      <c r="D825">
        <v>23.8</v>
      </c>
      <c r="E825">
        <v>2.8</v>
      </c>
      <c r="F825">
        <v>702.6</v>
      </c>
      <c r="G825">
        <v>2</v>
      </c>
      <c r="H825">
        <v>4000</v>
      </c>
      <c r="I825">
        <v>5141.5</v>
      </c>
      <c r="J825">
        <v>1</v>
      </c>
      <c r="K825">
        <f t="shared" si="24"/>
        <v>704.6</v>
      </c>
      <c r="L825">
        <f>K825+energy_grid_portfolio_dataset!H825</f>
        <v>4704.6000000000004</v>
      </c>
      <c r="M825">
        <f t="shared" si="25"/>
        <v>7</v>
      </c>
    </row>
    <row r="826" spans="1:13" x14ac:dyDescent="0.3">
      <c r="A826" s="1">
        <v>46272.333333333336</v>
      </c>
      <c r="B826" t="s">
        <v>12</v>
      </c>
      <c r="C826">
        <v>22.6</v>
      </c>
      <c r="D826">
        <v>25.4</v>
      </c>
      <c r="E826">
        <v>9.4</v>
      </c>
      <c r="F826">
        <v>993.6</v>
      </c>
      <c r="G826">
        <v>80</v>
      </c>
      <c r="H826">
        <v>4000</v>
      </c>
      <c r="I826">
        <v>5201.5</v>
      </c>
      <c r="J826">
        <v>1</v>
      </c>
      <c r="K826">
        <f t="shared" si="24"/>
        <v>1073.5999999999999</v>
      </c>
      <c r="L826">
        <f>K826+energy_grid_portfolio_dataset!H826</f>
        <v>5073.6000000000004</v>
      </c>
      <c r="M826">
        <f t="shared" si="25"/>
        <v>8</v>
      </c>
    </row>
    <row r="827" spans="1:13" x14ac:dyDescent="0.3">
      <c r="A827" s="1">
        <v>46272.375</v>
      </c>
      <c r="B827" t="s">
        <v>12</v>
      </c>
      <c r="C827">
        <v>23.7</v>
      </c>
      <c r="D827">
        <v>66.5</v>
      </c>
      <c r="E827">
        <v>2.9</v>
      </c>
      <c r="F827">
        <v>731.8</v>
      </c>
      <c r="G827">
        <v>2.4</v>
      </c>
      <c r="H827">
        <v>4000</v>
      </c>
      <c r="I827">
        <v>5000.8</v>
      </c>
      <c r="J827">
        <v>1</v>
      </c>
      <c r="K827">
        <f t="shared" si="24"/>
        <v>734.19999999999993</v>
      </c>
      <c r="L827">
        <f>K827+energy_grid_portfolio_dataset!H827</f>
        <v>4734.2</v>
      </c>
      <c r="M827">
        <f t="shared" si="25"/>
        <v>9</v>
      </c>
    </row>
    <row r="828" spans="1:13" x14ac:dyDescent="0.3">
      <c r="A828" s="1">
        <v>46272.416666666664</v>
      </c>
      <c r="B828" t="s">
        <v>12</v>
      </c>
      <c r="C828">
        <v>28.5</v>
      </c>
      <c r="D828">
        <v>76</v>
      </c>
      <c r="E828">
        <v>7.1</v>
      </c>
      <c r="F828">
        <v>706.9</v>
      </c>
      <c r="G828">
        <v>34.1</v>
      </c>
      <c r="H828">
        <v>4000</v>
      </c>
      <c r="I828">
        <v>7315.1</v>
      </c>
      <c r="J828">
        <v>1</v>
      </c>
      <c r="K828">
        <f t="shared" si="24"/>
        <v>741</v>
      </c>
      <c r="L828">
        <f>K828+energy_grid_portfolio_dataset!H828</f>
        <v>4741</v>
      </c>
      <c r="M828">
        <f t="shared" si="25"/>
        <v>10</v>
      </c>
    </row>
    <row r="829" spans="1:13" x14ac:dyDescent="0.3">
      <c r="A829" s="1">
        <v>46272.458333333336</v>
      </c>
      <c r="B829" t="s">
        <v>12</v>
      </c>
      <c r="C829">
        <v>26.8</v>
      </c>
      <c r="D829">
        <v>24.5</v>
      </c>
      <c r="E829">
        <v>7.3</v>
      </c>
      <c r="F829">
        <v>1567</v>
      </c>
      <c r="G829">
        <v>38.1</v>
      </c>
      <c r="H829">
        <v>4000</v>
      </c>
      <c r="I829">
        <v>7414.2</v>
      </c>
      <c r="J829">
        <v>1</v>
      </c>
      <c r="K829">
        <f t="shared" si="24"/>
        <v>1605.1</v>
      </c>
      <c r="L829">
        <f>K829+energy_grid_portfolio_dataset!H829</f>
        <v>5605.1</v>
      </c>
      <c r="M829">
        <f t="shared" si="25"/>
        <v>11</v>
      </c>
    </row>
    <row r="830" spans="1:13" x14ac:dyDescent="0.3">
      <c r="A830" s="1">
        <v>46272.5</v>
      </c>
      <c r="B830" t="s">
        <v>12</v>
      </c>
      <c r="C830">
        <v>25</v>
      </c>
      <c r="D830">
        <v>49.2</v>
      </c>
      <c r="E830">
        <v>7.2</v>
      </c>
      <c r="F830">
        <v>1213.5</v>
      </c>
      <c r="G830">
        <v>36.6</v>
      </c>
      <c r="H830">
        <v>4000</v>
      </c>
      <c r="I830">
        <v>7462.9</v>
      </c>
      <c r="J830">
        <v>1</v>
      </c>
      <c r="K830">
        <f t="shared" si="24"/>
        <v>1250.0999999999999</v>
      </c>
      <c r="L830">
        <f>K830+energy_grid_portfolio_dataset!H830</f>
        <v>5250.1</v>
      </c>
      <c r="M830">
        <f t="shared" si="25"/>
        <v>12</v>
      </c>
    </row>
    <row r="831" spans="1:13" x14ac:dyDescent="0.3">
      <c r="A831" s="1">
        <v>46272.541666666664</v>
      </c>
      <c r="B831" t="s">
        <v>12</v>
      </c>
      <c r="C831">
        <v>24.9</v>
      </c>
      <c r="D831">
        <v>93.7</v>
      </c>
      <c r="E831">
        <v>13</v>
      </c>
      <c r="F831">
        <v>488.9</v>
      </c>
      <c r="G831">
        <v>209</v>
      </c>
      <c r="H831">
        <v>4000</v>
      </c>
      <c r="I831">
        <v>7141.9</v>
      </c>
      <c r="J831">
        <v>1</v>
      </c>
      <c r="K831">
        <f t="shared" si="24"/>
        <v>697.9</v>
      </c>
      <c r="L831">
        <f>K831+energy_grid_portfolio_dataset!H831</f>
        <v>4697.8999999999996</v>
      </c>
      <c r="M831">
        <f t="shared" si="25"/>
        <v>13</v>
      </c>
    </row>
    <row r="832" spans="1:13" x14ac:dyDescent="0.3">
      <c r="A832" s="1">
        <v>46272.583333333336</v>
      </c>
      <c r="B832" t="s">
        <v>12</v>
      </c>
      <c r="C832">
        <v>24.5</v>
      </c>
      <c r="D832">
        <v>13.5</v>
      </c>
      <c r="E832">
        <v>6.8</v>
      </c>
      <c r="F832">
        <v>1606.9</v>
      </c>
      <c r="G832">
        <v>29.8</v>
      </c>
      <c r="H832">
        <v>4000</v>
      </c>
      <c r="I832">
        <v>7179.4</v>
      </c>
      <c r="J832">
        <v>1</v>
      </c>
      <c r="K832">
        <f t="shared" si="24"/>
        <v>1636.7</v>
      </c>
      <c r="L832">
        <f>K832+energy_grid_portfolio_dataset!H832</f>
        <v>5636.7</v>
      </c>
      <c r="M832">
        <f t="shared" si="25"/>
        <v>14</v>
      </c>
    </row>
    <row r="833" spans="1:13" x14ac:dyDescent="0.3">
      <c r="A833" s="1">
        <v>46272.625</v>
      </c>
      <c r="B833" t="s">
        <v>12</v>
      </c>
      <c r="C833">
        <v>26.5</v>
      </c>
      <c r="D833">
        <v>59.9</v>
      </c>
      <c r="E833">
        <v>4.2</v>
      </c>
      <c r="F833">
        <v>814</v>
      </c>
      <c r="G833">
        <v>7.3</v>
      </c>
      <c r="H833">
        <v>4000</v>
      </c>
      <c r="I833">
        <v>5115.6000000000004</v>
      </c>
      <c r="J833">
        <v>1</v>
      </c>
      <c r="K833">
        <f t="shared" si="24"/>
        <v>821.3</v>
      </c>
      <c r="L833">
        <f>K833+energy_grid_portfolio_dataset!H833</f>
        <v>4821.3</v>
      </c>
      <c r="M833">
        <f t="shared" si="25"/>
        <v>15</v>
      </c>
    </row>
    <row r="834" spans="1:13" x14ac:dyDescent="0.3">
      <c r="A834" s="1">
        <v>46272.666666666664</v>
      </c>
      <c r="B834" t="s">
        <v>12</v>
      </c>
      <c r="C834">
        <v>26.2</v>
      </c>
      <c r="D834">
        <v>87.4</v>
      </c>
      <c r="E834">
        <v>1.4</v>
      </c>
      <c r="F834">
        <v>375</v>
      </c>
      <c r="G834">
        <v>0.2</v>
      </c>
      <c r="H834">
        <v>4000</v>
      </c>
      <c r="I834">
        <v>4786.2</v>
      </c>
      <c r="J834">
        <v>1</v>
      </c>
      <c r="K834">
        <f t="shared" si="24"/>
        <v>375.2</v>
      </c>
      <c r="L834">
        <f>K834+energy_grid_portfolio_dataset!H834</f>
        <v>4375.2</v>
      </c>
      <c r="M834">
        <f t="shared" si="25"/>
        <v>16</v>
      </c>
    </row>
    <row r="835" spans="1:13" x14ac:dyDescent="0.3">
      <c r="A835" s="1">
        <v>46272.708333333336</v>
      </c>
      <c r="B835" t="s">
        <v>12</v>
      </c>
      <c r="C835">
        <v>24.4</v>
      </c>
      <c r="D835">
        <v>100</v>
      </c>
      <c r="E835">
        <v>2</v>
      </c>
      <c r="F835">
        <v>173.6</v>
      </c>
      <c r="G835">
        <v>0.7</v>
      </c>
      <c r="H835">
        <v>4000</v>
      </c>
      <c r="I835">
        <v>5188.5</v>
      </c>
      <c r="J835">
        <v>1</v>
      </c>
      <c r="K835">
        <f t="shared" ref="K835:K898" si="26">F835+G835</f>
        <v>174.29999999999998</v>
      </c>
      <c r="L835">
        <f>K835+energy_grid_portfolio_dataset!H835</f>
        <v>4174.3</v>
      </c>
      <c r="M835">
        <f t="shared" ref="M835:M898" si="27">HOUR(A835)</f>
        <v>17</v>
      </c>
    </row>
    <row r="836" spans="1:13" x14ac:dyDescent="0.3">
      <c r="A836" s="1">
        <v>46272.75</v>
      </c>
      <c r="B836" t="s">
        <v>12</v>
      </c>
      <c r="C836">
        <v>21.7</v>
      </c>
      <c r="D836">
        <v>75.099999999999994</v>
      </c>
      <c r="E836">
        <v>11.4</v>
      </c>
      <c r="F836">
        <v>177.7</v>
      </c>
      <c r="G836">
        <v>141.80000000000001</v>
      </c>
      <c r="H836">
        <v>4000</v>
      </c>
      <c r="I836">
        <v>7495.1</v>
      </c>
      <c r="J836">
        <v>1</v>
      </c>
      <c r="K836">
        <f t="shared" si="26"/>
        <v>319.5</v>
      </c>
      <c r="L836">
        <f>K836+energy_grid_portfolio_dataset!H836</f>
        <v>4319.5</v>
      </c>
      <c r="M836">
        <f t="shared" si="27"/>
        <v>18</v>
      </c>
    </row>
    <row r="837" spans="1:13" x14ac:dyDescent="0.3">
      <c r="A837" s="1">
        <v>46272.791666666664</v>
      </c>
      <c r="B837" t="s">
        <v>12</v>
      </c>
      <c r="C837">
        <v>20.2</v>
      </c>
      <c r="D837">
        <v>29.2</v>
      </c>
      <c r="E837">
        <v>9.6999999999999993</v>
      </c>
      <c r="F837">
        <v>0</v>
      </c>
      <c r="G837">
        <v>87.3</v>
      </c>
      <c r="H837">
        <v>4000</v>
      </c>
      <c r="I837">
        <v>7805.9</v>
      </c>
      <c r="J837">
        <v>1</v>
      </c>
      <c r="K837">
        <f t="shared" si="26"/>
        <v>87.3</v>
      </c>
      <c r="L837">
        <f>K837+energy_grid_portfolio_dataset!H837</f>
        <v>4087.3</v>
      </c>
      <c r="M837">
        <f t="shared" si="27"/>
        <v>19</v>
      </c>
    </row>
    <row r="838" spans="1:13" x14ac:dyDescent="0.3">
      <c r="A838" s="1">
        <v>46272.833333333336</v>
      </c>
      <c r="B838" t="s">
        <v>12</v>
      </c>
      <c r="C838">
        <v>22.8</v>
      </c>
      <c r="D838">
        <v>51.5</v>
      </c>
      <c r="E838">
        <v>10.8</v>
      </c>
      <c r="F838">
        <v>0</v>
      </c>
      <c r="G838">
        <v>120</v>
      </c>
      <c r="H838">
        <v>4000</v>
      </c>
      <c r="I838">
        <v>7555.3</v>
      </c>
      <c r="J838">
        <v>1</v>
      </c>
      <c r="K838">
        <f t="shared" si="26"/>
        <v>120</v>
      </c>
      <c r="L838">
        <f>K838+energy_grid_portfolio_dataset!H838</f>
        <v>4120</v>
      </c>
      <c r="M838">
        <f t="shared" si="27"/>
        <v>20</v>
      </c>
    </row>
    <row r="839" spans="1:13" x14ac:dyDescent="0.3">
      <c r="A839" s="1">
        <v>46272.875</v>
      </c>
      <c r="B839" t="s">
        <v>12</v>
      </c>
      <c r="C839">
        <v>18.2</v>
      </c>
      <c r="D839">
        <v>44.4</v>
      </c>
      <c r="E839">
        <v>5</v>
      </c>
      <c r="F839">
        <v>0</v>
      </c>
      <c r="G839">
        <v>11.8</v>
      </c>
      <c r="H839">
        <v>4000</v>
      </c>
      <c r="I839">
        <v>7801.8</v>
      </c>
      <c r="J839">
        <v>1</v>
      </c>
      <c r="K839">
        <f t="shared" si="26"/>
        <v>11.8</v>
      </c>
      <c r="L839">
        <f>K839+energy_grid_portfolio_dataset!H839</f>
        <v>4011.8</v>
      </c>
      <c r="M839">
        <f t="shared" si="27"/>
        <v>21</v>
      </c>
    </row>
    <row r="840" spans="1:13" x14ac:dyDescent="0.3">
      <c r="A840" s="1">
        <v>46272.916666666664</v>
      </c>
      <c r="B840" t="s">
        <v>12</v>
      </c>
      <c r="C840">
        <v>17.8</v>
      </c>
      <c r="D840">
        <v>42.2</v>
      </c>
      <c r="E840">
        <v>5.5</v>
      </c>
      <c r="F840">
        <v>0</v>
      </c>
      <c r="G840">
        <v>16</v>
      </c>
      <c r="H840">
        <v>4000</v>
      </c>
      <c r="I840">
        <v>5014.2</v>
      </c>
      <c r="J840">
        <v>1</v>
      </c>
      <c r="K840">
        <f t="shared" si="26"/>
        <v>16</v>
      </c>
      <c r="L840">
        <f>K840+energy_grid_portfolio_dataset!H840</f>
        <v>4016</v>
      </c>
      <c r="M840">
        <f t="shared" si="27"/>
        <v>22</v>
      </c>
    </row>
    <row r="841" spans="1:13" x14ac:dyDescent="0.3">
      <c r="A841" s="1">
        <v>46272.958333333336</v>
      </c>
      <c r="B841" t="s">
        <v>12</v>
      </c>
      <c r="C841">
        <v>12.9</v>
      </c>
      <c r="D841">
        <v>73.7</v>
      </c>
      <c r="E841">
        <v>3.1</v>
      </c>
      <c r="F841">
        <v>0</v>
      </c>
      <c r="G841">
        <v>2.8</v>
      </c>
      <c r="H841">
        <v>4000</v>
      </c>
      <c r="I841">
        <v>4961.8</v>
      </c>
      <c r="J841">
        <v>1</v>
      </c>
      <c r="K841">
        <f t="shared" si="26"/>
        <v>2.8</v>
      </c>
      <c r="L841">
        <f>K841+energy_grid_portfolio_dataset!H841</f>
        <v>4002.8</v>
      </c>
      <c r="M841">
        <f t="shared" si="27"/>
        <v>23</v>
      </c>
    </row>
    <row r="842" spans="1:13" x14ac:dyDescent="0.3">
      <c r="A842" s="1">
        <v>46273</v>
      </c>
      <c r="B842" t="s">
        <v>12</v>
      </c>
      <c r="C842">
        <v>13.6</v>
      </c>
      <c r="D842">
        <v>6.2</v>
      </c>
      <c r="E842">
        <v>1.9</v>
      </c>
      <c r="F842">
        <v>0</v>
      </c>
      <c r="G842">
        <v>0.7</v>
      </c>
      <c r="H842">
        <v>4000</v>
      </c>
      <c r="I842">
        <v>4777</v>
      </c>
      <c r="J842">
        <v>1</v>
      </c>
      <c r="K842">
        <f t="shared" si="26"/>
        <v>0.7</v>
      </c>
      <c r="L842">
        <f>K842+energy_grid_portfolio_dataset!H842</f>
        <v>4000.7</v>
      </c>
      <c r="M842">
        <f t="shared" si="27"/>
        <v>0</v>
      </c>
    </row>
    <row r="843" spans="1:13" x14ac:dyDescent="0.3">
      <c r="A843" s="1">
        <v>46273.041666666664</v>
      </c>
      <c r="B843" t="s">
        <v>12</v>
      </c>
      <c r="C843">
        <v>21.1</v>
      </c>
      <c r="D843">
        <v>44.2</v>
      </c>
      <c r="E843">
        <v>6.5</v>
      </c>
      <c r="F843">
        <v>0</v>
      </c>
      <c r="G843">
        <v>26.8</v>
      </c>
      <c r="H843">
        <v>4000</v>
      </c>
      <c r="I843">
        <v>4843.6000000000004</v>
      </c>
      <c r="J843">
        <v>1</v>
      </c>
      <c r="K843">
        <f t="shared" si="26"/>
        <v>26.8</v>
      </c>
      <c r="L843">
        <f>K843+energy_grid_portfolio_dataset!H843</f>
        <v>4026.8</v>
      </c>
      <c r="M843">
        <f t="shared" si="27"/>
        <v>1</v>
      </c>
    </row>
    <row r="844" spans="1:13" x14ac:dyDescent="0.3">
      <c r="A844" s="1">
        <v>46273.083333333336</v>
      </c>
      <c r="B844" t="s">
        <v>12</v>
      </c>
      <c r="C844">
        <v>17.899999999999999</v>
      </c>
      <c r="D844">
        <v>57.7</v>
      </c>
      <c r="E844">
        <v>2.4</v>
      </c>
      <c r="F844">
        <v>0</v>
      </c>
      <c r="G844">
        <v>1.4</v>
      </c>
      <c r="H844">
        <v>4000</v>
      </c>
      <c r="I844">
        <v>5010.1000000000004</v>
      </c>
      <c r="J844">
        <v>1</v>
      </c>
      <c r="K844">
        <f t="shared" si="26"/>
        <v>1.4</v>
      </c>
      <c r="L844">
        <f>K844+energy_grid_portfolio_dataset!H844</f>
        <v>4001.4</v>
      </c>
      <c r="M844">
        <f t="shared" si="27"/>
        <v>2</v>
      </c>
    </row>
    <row r="845" spans="1:13" x14ac:dyDescent="0.3">
      <c r="A845" s="1">
        <v>46273.125</v>
      </c>
      <c r="B845" t="s">
        <v>12</v>
      </c>
      <c r="C845">
        <v>22.1</v>
      </c>
      <c r="D845">
        <v>9.5</v>
      </c>
      <c r="E845">
        <v>2.9</v>
      </c>
      <c r="F845">
        <v>0</v>
      </c>
      <c r="G845">
        <v>2.4</v>
      </c>
      <c r="H845">
        <v>4000</v>
      </c>
      <c r="I845">
        <v>5167.6000000000004</v>
      </c>
      <c r="J845">
        <v>1</v>
      </c>
      <c r="K845">
        <f t="shared" si="26"/>
        <v>2.4</v>
      </c>
      <c r="L845">
        <f>K845+energy_grid_portfolio_dataset!H845</f>
        <v>4002.4</v>
      </c>
      <c r="M845">
        <f t="shared" si="27"/>
        <v>3</v>
      </c>
    </row>
    <row r="846" spans="1:13" x14ac:dyDescent="0.3">
      <c r="A846" s="1">
        <v>46273.166666666664</v>
      </c>
      <c r="B846" t="s">
        <v>12</v>
      </c>
      <c r="C846">
        <v>17.600000000000001</v>
      </c>
      <c r="D846">
        <v>75.2</v>
      </c>
      <c r="E846">
        <v>3.8</v>
      </c>
      <c r="F846">
        <v>0</v>
      </c>
      <c r="G846">
        <v>5.3</v>
      </c>
      <c r="H846">
        <v>4000</v>
      </c>
      <c r="I846">
        <v>4908</v>
      </c>
      <c r="J846">
        <v>1</v>
      </c>
      <c r="K846">
        <f t="shared" si="26"/>
        <v>5.3</v>
      </c>
      <c r="L846">
        <f>K846+energy_grid_portfolio_dataset!H846</f>
        <v>4005.3</v>
      </c>
      <c r="M846">
        <f t="shared" si="27"/>
        <v>4</v>
      </c>
    </row>
    <row r="847" spans="1:13" x14ac:dyDescent="0.3">
      <c r="A847" s="1">
        <v>46273.208333333336</v>
      </c>
      <c r="B847" t="s">
        <v>12</v>
      </c>
      <c r="C847">
        <v>23.1</v>
      </c>
      <c r="D847">
        <v>66.400000000000006</v>
      </c>
      <c r="E847">
        <v>9.1</v>
      </c>
      <c r="F847">
        <v>0</v>
      </c>
      <c r="G847">
        <v>71.900000000000006</v>
      </c>
      <c r="H847">
        <v>4000</v>
      </c>
      <c r="I847">
        <v>5274.8</v>
      </c>
      <c r="J847">
        <v>1</v>
      </c>
      <c r="K847">
        <f t="shared" si="26"/>
        <v>71.900000000000006</v>
      </c>
      <c r="L847">
        <f>K847+energy_grid_portfolio_dataset!H847</f>
        <v>4071.9</v>
      </c>
      <c r="M847">
        <f t="shared" si="27"/>
        <v>5</v>
      </c>
    </row>
    <row r="848" spans="1:13" x14ac:dyDescent="0.3">
      <c r="A848" s="1">
        <v>46273.25</v>
      </c>
      <c r="B848" t="s">
        <v>12</v>
      </c>
      <c r="C848">
        <v>20.9</v>
      </c>
      <c r="D848">
        <v>35.5</v>
      </c>
      <c r="E848">
        <v>6.2</v>
      </c>
      <c r="F848">
        <v>318.60000000000002</v>
      </c>
      <c r="G848">
        <v>23.3</v>
      </c>
      <c r="H848">
        <v>4000</v>
      </c>
      <c r="I848">
        <v>5115.8999999999996</v>
      </c>
      <c r="J848">
        <v>1</v>
      </c>
      <c r="K848">
        <f t="shared" si="26"/>
        <v>341.90000000000003</v>
      </c>
      <c r="L848">
        <f>K848+energy_grid_portfolio_dataset!H848</f>
        <v>4341.8999999999996</v>
      </c>
      <c r="M848">
        <f t="shared" si="27"/>
        <v>6</v>
      </c>
    </row>
    <row r="849" spans="1:13" x14ac:dyDescent="0.3">
      <c r="A849" s="1">
        <v>46273.291666666664</v>
      </c>
      <c r="B849" t="s">
        <v>12</v>
      </c>
      <c r="C849">
        <v>23.6</v>
      </c>
      <c r="D849">
        <v>12.7</v>
      </c>
      <c r="E849">
        <v>3.6</v>
      </c>
      <c r="F849">
        <v>779.7</v>
      </c>
      <c r="G849">
        <v>4.4000000000000004</v>
      </c>
      <c r="H849">
        <v>4000</v>
      </c>
      <c r="I849">
        <v>5079.2</v>
      </c>
      <c r="J849">
        <v>1</v>
      </c>
      <c r="K849">
        <f t="shared" si="26"/>
        <v>784.1</v>
      </c>
      <c r="L849">
        <f>K849+energy_grid_portfolio_dataset!H849</f>
        <v>4784.1000000000004</v>
      </c>
      <c r="M849">
        <f t="shared" si="27"/>
        <v>7</v>
      </c>
    </row>
    <row r="850" spans="1:13" x14ac:dyDescent="0.3">
      <c r="A850" s="1">
        <v>46273.333333333336</v>
      </c>
      <c r="B850" t="s">
        <v>12</v>
      </c>
      <c r="C850">
        <v>24.3</v>
      </c>
      <c r="D850">
        <v>100</v>
      </c>
      <c r="E850">
        <v>1.8</v>
      </c>
      <c r="F850">
        <v>249.4</v>
      </c>
      <c r="G850">
        <v>0.6</v>
      </c>
      <c r="H850">
        <v>4000</v>
      </c>
      <c r="I850">
        <v>4938.8999999999996</v>
      </c>
      <c r="J850">
        <v>1</v>
      </c>
      <c r="K850">
        <f t="shared" si="26"/>
        <v>250</v>
      </c>
      <c r="L850">
        <f>K850+energy_grid_portfolio_dataset!H850</f>
        <v>4250</v>
      </c>
      <c r="M850">
        <f t="shared" si="27"/>
        <v>8</v>
      </c>
    </row>
    <row r="851" spans="1:13" x14ac:dyDescent="0.3">
      <c r="A851" s="1">
        <v>46273.375</v>
      </c>
      <c r="B851" t="s">
        <v>12</v>
      </c>
      <c r="C851">
        <v>28.5</v>
      </c>
      <c r="D851">
        <v>100</v>
      </c>
      <c r="E851">
        <v>4.8</v>
      </c>
      <c r="F851">
        <v>312.7</v>
      </c>
      <c r="G851">
        <v>10.5</v>
      </c>
      <c r="H851">
        <v>4000</v>
      </c>
      <c r="I851">
        <v>5025.8</v>
      </c>
      <c r="J851">
        <v>1</v>
      </c>
      <c r="K851">
        <f t="shared" si="26"/>
        <v>323.2</v>
      </c>
      <c r="L851">
        <f>K851+energy_grid_portfolio_dataset!H851</f>
        <v>4323.2</v>
      </c>
      <c r="M851">
        <f t="shared" si="27"/>
        <v>9</v>
      </c>
    </row>
    <row r="852" spans="1:13" x14ac:dyDescent="0.3">
      <c r="A852" s="1">
        <v>46273.416666666664</v>
      </c>
      <c r="B852" t="s">
        <v>12</v>
      </c>
      <c r="C852">
        <v>27.5</v>
      </c>
      <c r="D852">
        <v>65.900000000000006</v>
      </c>
      <c r="E852">
        <v>5.7</v>
      </c>
      <c r="F852">
        <v>852.5</v>
      </c>
      <c r="G852">
        <v>17.8</v>
      </c>
      <c r="H852">
        <v>4000</v>
      </c>
      <c r="I852">
        <v>7223.7</v>
      </c>
      <c r="J852">
        <v>1</v>
      </c>
      <c r="K852">
        <f t="shared" si="26"/>
        <v>870.3</v>
      </c>
      <c r="L852">
        <f>K852+energy_grid_portfolio_dataset!H852</f>
        <v>4870.3</v>
      </c>
      <c r="M852">
        <f t="shared" si="27"/>
        <v>10</v>
      </c>
    </row>
    <row r="853" spans="1:13" x14ac:dyDescent="0.3">
      <c r="A853" s="1">
        <v>46273.458333333336</v>
      </c>
      <c r="B853" t="s">
        <v>12</v>
      </c>
      <c r="C853">
        <v>21.8</v>
      </c>
      <c r="D853">
        <v>80.5</v>
      </c>
      <c r="E853">
        <v>6.4</v>
      </c>
      <c r="F853">
        <v>694.7</v>
      </c>
      <c r="G853">
        <v>24.9</v>
      </c>
      <c r="H853">
        <v>4000</v>
      </c>
      <c r="I853">
        <v>7215.4</v>
      </c>
      <c r="J853">
        <v>1</v>
      </c>
      <c r="K853">
        <f t="shared" si="26"/>
        <v>719.6</v>
      </c>
      <c r="L853">
        <f>K853+energy_grid_portfolio_dataset!H853</f>
        <v>4719.6000000000004</v>
      </c>
      <c r="M853">
        <f t="shared" si="27"/>
        <v>11</v>
      </c>
    </row>
    <row r="854" spans="1:13" x14ac:dyDescent="0.3">
      <c r="A854" s="1">
        <v>46273.5</v>
      </c>
      <c r="B854" t="s">
        <v>12</v>
      </c>
      <c r="C854">
        <v>31.1</v>
      </c>
      <c r="D854">
        <v>39.799999999999997</v>
      </c>
      <c r="E854">
        <v>4.8</v>
      </c>
      <c r="F854">
        <v>1364</v>
      </c>
      <c r="G854">
        <v>10.6</v>
      </c>
      <c r="H854">
        <v>4000</v>
      </c>
      <c r="I854">
        <v>7116.6</v>
      </c>
      <c r="J854">
        <v>1</v>
      </c>
      <c r="K854">
        <f t="shared" si="26"/>
        <v>1374.6</v>
      </c>
      <c r="L854">
        <f>K854+energy_grid_portfolio_dataset!H854</f>
        <v>5374.6</v>
      </c>
      <c r="M854">
        <f t="shared" si="27"/>
        <v>12</v>
      </c>
    </row>
    <row r="855" spans="1:13" x14ac:dyDescent="0.3">
      <c r="A855" s="1">
        <v>46273.541666666664</v>
      </c>
      <c r="B855" t="s">
        <v>12</v>
      </c>
      <c r="C855">
        <v>25.2</v>
      </c>
      <c r="D855">
        <v>43.5</v>
      </c>
      <c r="E855">
        <v>5.6</v>
      </c>
      <c r="F855">
        <v>1271.4000000000001</v>
      </c>
      <c r="G855">
        <v>16.5</v>
      </c>
      <c r="H855">
        <v>4000</v>
      </c>
      <c r="I855">
        <v>7448.7</v>
      </c>
      <c r="J855">
        <v>1</v>
      </c>
      <c r="K855">
        <f t="shared" si="26"/>
        <v>1287.9000000000001</v>
      </c>
      <c r="L855">
        <f>K855+energy_grid_portfolio_dataset!H855</f>
        <v>5287.9</v>
      </c>
      <c r="M855">
        <f t="shared" si="27"/>
        <v>13</v>
      </c>
    </row>
    <row r="856" spans="1:13" x14ac:dyDescent="0.3">
      <c r="A856" s="1">
        <v>46273.583333333336</v>
      </c>
      <c r="B856" t="s">
        <v>12</v>
      </c>
      <c r="C856">
        <v>26.7</v>
      </c>
      <c r="D856">
        <v>21.2</v>
      </c>
      <c r="E856">
        <v>4.4000000000000004</v>
      </c>
      <c r="F856">
        <v>1496</v>
      </c>
      <c r="G856">
        <v>8.1999999999999993</v>
      </c>
      <c r="H856">
        <v>4000</v>
      </c>
      <c r="I856">
        <v>7276.1</v>
      </c>
      <c r="J856">
        <v>1</v>
      </c>
      <c r="K856">
        <f t="shared" si="26"/>
        <v>1504.2</v>
      </c>
      <c r="L856">
        <f>K856+energy_grid_portfolio_dataset!H856</f>
        <v>5504.2</v>
      </c>
      <c r="M856">
        <f t="shared" si="27"/>
        <v>14</v>
      </c>
    </row>
    <row r="857" spans="1:13" x14ac:dyDescent="0.3">
      <c r="A857" s="1">
        <v>46273.625</v>
      </c>
      <c r="B857" t="s">
        <v>12</v>
      </c>
      <c r="C857">
        <v>25.4</v>
      </c>
      <c r="D857">
        <v>72.8</v>
      </c>
      <c r="E857">
        <v>7.3</v>
      </c>
      <c r="F857">
        <v>653.29999999999995</v>
      </c>
      <c r="G857">
        <v>36.700000000000003</v>
      </c>
      <c r="H857">
        <v>4000</v>
      </c>
      <c r="I857">
        <v>4858.8999999999996</v>
      </c>
      <c r="J857">
        <v>1</v>
      </c>
      <c r="K857">
        <f t="shared" si="26"/>
        <v>690</v>
      </c>
      <c r="L857">
        <f>K857+energy_grid_portfolio_dataset!H857</f>
        <v>4690</v>
      </c>
      <c r="M857">
        <f t="shared" si="27"/>
        <v>15</v>
      </c>
    </row>
    <row r="858" spans="1:13" x14ac:dyDescent="0.3">
      <c r="A858" s="1">
        <v>46273.666666666664</v>
      </c>
      <c r="B858" t="s">
        <v>12</v>
      </c>
      <c r="C858">
        <v>26.6</v>
      </c>
      <c r="D858">
        <v>67.599999999999994</v>
      </c>
      <c r="E858">
        <v>10.199999999999999</v>
      </c>
      <c r="F858">
        <v>572.79999999999995</v>
      </c>
      <c r="G858">
        <v>100.5</v>
      </c>
      <c r="H858">
        <v>4000</v>
      </c>
      <c r="I858">
        <v>4683.6000000000004</v>
      </c>
      <c r="J858">
        <v>1</v>
      </c>
      <c r="K858">
        <f t="shared" si="26"/>
        <v>673.3</v>
      </c>
      <c r="L858">
        <f>K858+energy_grid_portfolio_dataset!H858</f>
        <v>4673.3</v>
      </c>
      <c r="M858">
        <f t="shared" si="27"/>
        <v>16</v>
      </c>
    </row>
    <row r="859" spans="1:13" x14ac:dyDescent="0.3">
      <c r="A859" s="1">
        <v>46273.708333333336</v>
      </c>
      <c r="B859" t="s">
        <v>12</v>
      </c>
      <c r="C859">
        <v>25.5</v>
      </c>
      <c r="D859">
        <v>74</v>
      </c>
      <c r="E859">
        <v>10</v>
      </c>
      <c r="F859">
        <v>354.1</v>
      </c>
      <c r="G859">
        <v>97.1</v>
      </c>
      <c r="H859">
        <v>4000</v>
      </c>
      <c r="I859">
        <v>5016.6000000000004</v>
      </c>
      <c r="J859">
        <v>1</v>
      </c>
      <c r="K859">
        <f t="shared" si="26"/>
        <v>451.20000000000005</v>
      </c>
      <c r="L859">
        <f>K859+energy_grid_portfolio_dataset!H859</f>
        <v>4451.2</v>
      </c>
      <c r="M859">
        <f t="shared" si="27"/>
        <v>17</v>
      </c>
    </row>
    <row r="860" spans="1:13" x14ac:dyDescent="0.3">
      <c r="A860" s="1">
        <v>46273.75</v>
      </c>
      <c r="B860" t="s">
        <v>12</v>
      </c>
      <c r="C860">
        <v>21.8</v>
      </c>
      <c r="D860">
        <v>100</v>
      </c>
      <c r="E860">
        <v>8.6999999999999993</v>
      </c>
      <c r="F860">
        <v>89</v>
      </c>
      <c r="G860">
        <v>62.5</v>
      </c>
      <c r="H860">
        <v>4000</v>
      </c>
      <c r="I860">
        <v>7778.3</v>
      </c>
      <c r="J860">
        <v>1</v>
      </c>
      <c r="K860">
        <f t="shared" si="26"/>
        <v>151.5</v>
      </c>
      <c r="L860">
        <f>K860+energy_grid_portfolio_dataset!H860</f>
        <v>4151.5</v>
      </c>
      <c r="M860">
        <f t="shared" si="27"/>
        <v>18</v>
      </c>
    </row>
    <row r="861" spans="1:13" x14ac:dyDescent="0.3">
      <c r="A861" s="1">
        <v>46273.791666666664</v>
      </c>
      <c r="B861" t="s">
        <v>12</v>
      </c>
      <c r="C861">
        <v>18.2</v>
      </c>
      <c r="D861">
        <v>21.4</v>
      </c>
      <c r="E861">
        <v>6.9</v>
      </c>
      <c r="F861">
        <v>0</v>
      </c>
      <c r="G861">
        <v>31.2</v>
      </c>
      <c r="H861">
        <v>4000</v>
      </c>
      <c r="I861">
        <v>7786.1</v>
      </c>
      <c r="J861">
        <v>1</v>
      </c>
      <c r="K861">
        <f t="shared" si="26"/>
        <v>31.2</v>
      </c>
      <c r="L861">
        <f>K861+energy_grid_portfolio_dataset!H861</f>
        <v>4031.2</v>
      </c>
      <c r="M861">
        <f t="shared" si="27"/>
        <v>19</v>
      </c>
    </row>
    <row r="862" spans="1:13" x14ac:dyDescent="0.3">
      <c r="A862" s="1">
        <v>46273.833333333336</v>
      </c>
      <c r="B862" t="s">
        <v>12</v>
      </c>
      <c r="C862">
        <v>18.3</v>
      </c>
      <c r="D862">
        <v>64.2</v>
      </c>
      <c r="E862">
        <v>10.8</v>
      </c>
      <c r="F862">
        <v>0</v>
      </c>
      <c r="G862">
        <v>119.8</v>
      </c>
      <c r="H862">
        <v>4000</v>
      </c>
      <c r="I862">
        <v>7721.8</v>
      </c>
      <c r="J862">
        <v>1</v>
      </c>
      <c r="K862">
        <f t="shared" si="26"/>
        <v>119.8</v>
      </c>
      <c r="L862">
        <f>K862+energy_grid_portfolio_dataset!H862</f>
        <v>4119.8</v>
      </c>
      <c r="M862">
        <f t="shared" si="27"/>
        <v>20</v>
      </c>
    </row>
    <row r="863" spans="1:13" x14ac:dyDescent="0.3">
      <c r="A863" s="1">
        <v>46273.875</v>
      </c>
      <c r="B863" t="s">
        <v>12</v>
      </c>
      <c r="C863">
        <v>16.2</v>
      </c>
      <c r="D863">
        <v>56.7</v>
      </c>
      <c r="E863">
        <v>3.6</v>
      </c>
      <c r="F863">
        <v>0</v>
      </c>
      <c r="G863">
        <v>4.4000000000000004</v>
      </c>
      <c r="H863">
        <v>4000</v>
      </c>
      <c r="I863">
        <v>7804.3</v>
      </c>
      <c r="J863">
        <v>1</v>
      </c>
      <c r="K863">
        <f t="shared" si="26"/>
        <v>4.4000000000000004</v>
      </c>
      <c r="L863">
        <f>K863+energy_grid_portfolio_dataset!H863</f>
        <v>4004.4</v>
      </c>
      <c r="M863">
        <f t="shared" si="27"/>
        <v>21</v>
      </c>
    </row>
    <row r="864" spans="1:13" x14ac:dyDescent="0.3">
      <c r="A864" s="1">
        <v>46273.916666666664</v>
      </c>
      <c r="B864" t="s">
        <v>12</v>
      </c>
      <c r="C864">
        <v>16.8</v>
      </c>
      <c r="D864">
        <v>45.7</v>
      </c>
      <c r="E864">
        <v>2.2000000000000002</v>
      </c>
      <c r="F864">
        <v>0</v>
      </c>
      <c r="G864">
        <v>1.1000000000000001</v>
      </c>
      <c r="H864">
        <v>4000</v>
      </c>
      <c r="I864">
        <v>4891.8</v>
      </c>
      <c r="J864">
        <v>1</v>
      </c>
      <c r="K864">
        <f t="shared" si="26"/>
        <v>1.1000000000000001</v>
      </c>
      <c r="L864">
        <f>K864+energy_grid_portfolio_dataset!H864</f>
        <v>4001.1</v>
      </c>
      <c r="M864">
        <f t="shared" si="27"/>
        <v>22</v>
      </c>
    </row>
    <row r="865" spans="1:13" x14ac:dyDescent="0.3">
      <c r="A865" s="1">
        <v>46273.958333333336</v>
      </c>
      <c r="B865" t="s">
        <v>12</v>
      </c>
      <c r="C865">
        <v>16</v>
      </c>
      <c r="D865">
        <v>0</v>
      </c>
      <c r="E865">
        <v>12.2</v>
      </c>
      <c r="F865">
        <v>0</v>
      </c>
      <c r="G865">
        <v>172.6</v>
      </c>
      <c r="H865">
        <v>4000</v>
      </c>
      <c r="I865">
        <v>4930.8999999999996</v>
      </c>
      <c r="J865">
        <v>1</v>
      </c>
      <c r="K865">
        <f t="shared" si="26"/>
        <v>172.6</v>
      </c>
      <c r="L865">
        <f>K865+energy_grid_portfolio_dataset!H865</f>
        <v>4172.6000000000004</v>
      </c>
      <c r="M865">
        <f t="shared" si="27"/>
        <v>23</v>
      </c>
    </row>
    <row r="866" spans="1:13" x14ac:dyDescent="0.3">
      <c r="A866" s="1">
        <v>46274</v>
      </c>
      <c r="B866" t="s">
        <v>12</v>
      </c>
      <c r="C866">
        <v>16.2</v>
      </c>
      <c r="D866">
        <v>60.6</v>
      </c>
      <c r="E866">
        <v>2.5</v>
      </c>
      <c r="F866">
        <v>0</v>
      </c>
      <c r="G866">
        <v>1.5</v>
      </c>
      <c r="H866">
        <v>4000</v>
      </c>
      <c r="I866">
        <v>5113.3</v>
      </c>
      <c r="J866">
        <v>1</v>
      </c>
      <c r="K866">
        <f t="shared" si="26"/>
        <v>1.5</v>
      </c>
      <c r="L866">
        <f>K866+energy_grid_portfolio_dataset!H866</f>
        <v>4001.5</v>
      </c>
      <c r="M866">
        <f t="shared" si="27"/>
        <v>0</v>
      </c>
    </row>
    <row r="867" spans="1:13" x14ac:dyDescent="0.3">
      <c r="A867" s="1">
        <v>46274.041666666664</v>
      </c>
      <c r="B867" t="s">
        <v>12</v>
      </c>
      <c r="C867">
        <v>21</v>
      </c>
      <c r="D867">
        <v>64.7</v>
      </c>
      <c r="E867">
        <v>9.1</v>
      </c>
      <c r="F867">
        <v>0</v>
      </c>
      <c r="G867">
        <v>71.599999999999994</v>
      </c>
      <c r="H867">
        <v>4000</v>
      </c>
      <c r="I867">
        <v>5204.3999999999996</v>
      </c>
      <c r="J867">
        <v>1</v>
      </c>
      <c r="K867">
        <f t="shared" si="26"/>
        <v>71.599999999999994</v>
      </c>
      <c r="L867">
        <f>K867+energy_grid_portfolio_dataset!H867</f>
        <v>4071.6</v>
      </c>
      <c r="M867">
        <f t="shared" si="27"/>
        <v>1</v>
      </c>
    </row>
    <row r="868" spans="1:13" x14ac:dyDescent="0.3">
      <c r="A868" s="1">
        <v>46274.083333333336</v>
      </c>
      <c r="B868" t="s">
        <v>12</v>
      </c>
      <c r="C868">
        <v>15</v>
      </c>
      <c r="D868">
        <v>47.6</v>
      </c>
      <c r="E868">
        <v>6.4</v>
      </c>
      <c r="F868">
        <v>0</v>
      </c>
      <c r="G868">
        <v>25.1</v>
      </c>
      <c r="H868">
        <v>4000</v>
      </c>
      <c r="I868">
        <v>4976.3</v>
      </c>
      <c r="J868">
        <v>1</v>
      </c>
      <c r="K868">
        <f t="shared" si="26"/>
        <v>25.1</v>
      </c>
      <c r="L868">
        <f>K868+energy_grid_portfolio_dataset!H868</f>
        <v>4025.1</v>
      </c>
      <c r="M868">
        <f t="shared" si="27"/>
        <v>2</v>
      </c>
    </row>
    <row r="869" spans="1:13" x14ac:dyDescent="0.3">
      <c r="A869" s="1">
        <v>46274.125</v>
      </c>
      <c r="B869" t="s">
        <v>12</v>
      </c>
      <c r="C869">
        <v>18</v>
      </c>
      <c r="D869">
        <v>57.3</v>
      </c>
      <c r="E869">
        <v>5.8</v>
      </c>
      <c r="F869">
        <v>0</v>
      </c>
      <c r="G869">
        <v>18.3</v>
      </c>
      <c r="H869">
        <v>4000</v>
      </c>
      <c r="I869">
        <v>4881.8</v>
      </c>
      <c r="J869">
        <v>1</v>
      </c>
      <c r="K869">
        <f t="shared" si="26"/>
        <v>18.3</v>
      </c>
      <c r="L869">
        <f>K869+energy_grid_portfolio_dataset!H869</f>
        <v>4018.3</v>
      </c>
      <c r="M869">
        <f t="shared" si="27"/>
        <v>3</v>
      </c>
    </row>
    <row r="870" spans="1:13" x14ac:dyDescent="0.3">
      <c r="A870" s="1">
        <v>46274.166666666664</v>
      </c>
      <c r="B870" t="s">
        <v>12</v>
      </c>
      <c r="C870">
        <v>17.399999999999999</v>
      </c>
      <c r="D870">
        <v>38.5</v>
      </c>
      <c r="E870">
        <v>2.1</v>
      </c>
      <c r="F870">
        <v>0</v>
      </c>
      <c r="G870">
        <v>0.9</v>
      </c>
      <c r="H870">
        <v>4000</v>
      </c>
      <c r="I870">
        <v>4957.8</v>
      </c>
      <c r="J870">
        <v>1</v>
      </c>
      <c r="K870">
        <f t="shared" si="26"/>
        <v>0.9</v>
      </c>
      <c r="L870">
        <f>K870+energy_grid_portfolio_dataset!H870</f>
        <v>4000.9</v>
      </c>
      <c r="M870">
        <f t="shared" si="27"/>
        <v>4</v>
      </c>
    </row>
    <row r="871" spans="1:13" x14ac:dyDescent="0.3">
      <c r="A871" s="1">
        <v>46274.208333333336</v>
      </c>
      <c r="B871" t="s">
        <v>12</v>
      </c>
      <c r="C871">
        <v>16.5</v>
      </c>
      <c r="D871">
        <v>94.6</v>
      </c>
      <c r="E871">
        <v>10.199999999999999</v>
      </c>
      <c r="F871">
        <v>0</v>
      </c>
      <c r="G871">
        <v>100.7</v>
      </c>
      <c r="H871">
        <v>4000</v>
      </c>
      <c r="I871">
        <v>5096.7</v>
      </c>
      <c r="J871">
        <v>1</v>
      </c>
      <c r="K871">
        <f t="shared" si="26"/>
        <v>100.7</v>
      </c>
      <c r="L871">
        <f>K871+energy_grid_portfolio_dataset!H871</f>
        <v>4100.7</v>
      </c>
      <c r="M871">
        <f t="shared" si="27"/>
        <v>5</v>
      </c>
    </row>
    <row r="872" spans="1:13" x14ac:dyDescent="0.3">
      <c r="A872" s="1">
        <v>46274.25</v>
      </c>
      <c r="B872" t="s">
        <v>12</v>
      </c>
      <c r="C872">
        <v>16.8</v>
      </c>
      <c r="D872">
        <v>49.2</v>
      </c>
      <c r="E872">
        <v>5.8</v>
      </c>
      <c r="F872">
        <v>270</v>
      </c>
      <c r="G872">
        <v>18.8</v>
      </c>
      <c r="H872">
        <v>4000</v>
      </c>
      <c r="I872">
        <v>4904.7</v>
      </c>
      <c r="J872">
        <v>1</v>
      </c>
      <c r="K872">
        <f t="shared" si="26"/>
        <v>288.8</v>
      </c>
      <c r="L872">
        <f>K872+energy_grid_portfolio_dataset!H872</f>
        <v>4288.8</v>
      </c>
      <c r="M872">
        <f t="shared" si="27"/>
        <v>6</v>
      </c>
    </row>
    <row r="873" spans="1:13" x14ac:dyDescent="0.3">
      <c r="A873" s="1">
        <v>46274.291666666664</v>
      </c>
      <c r="B873" t="s">
        <v>12</v>
      </c>
      <c r="C873">
        <v>22.3</v>
      </c>
      <c r="D873">
        <v>100</v>
      </c>
      <c r="E873">
        <v>8</v>
      </c>
      <c r="F873">
        <v>173.6</v>
      </c>
      <c r="G873">
        <v>49.1</v>
      </c>
      <c r="H873">
        <v>4000</v>
      </c>
      <c r="I873">
        <v>4798.3999999999996</v>
      </c>
      <c r="J873">
        <v>1</v>
      </c>
      <c r="K873">
        <f t="shared" si="26"/>
        <v>222.7</v>
      </c>
      <c r="L873">
        <f>K873+energy_grid_portfolio_dataset!H873</f>
        <v>4222.7</v>
      </c>
      <c r="M873">
        <f t="shared" si="27"/>
        <v>7</v>
      </c>
    </row>
    <row r="874" spans="1:13" x14ac:dyDescent="0.3">
      <c r="A874" s="1">
        <v>46274.333333333336</v>
      </c>
      <c r="B874" t="s">
        <v>12</v>
      </c>
      <c r="C874">
        <v>21.3</v>
      </c>
      <c r="D874">
        <v>50.2</v>
      </c>
      <c r="E874">
        <v>5.4</v>
      </c>
      <c r="F874">
        <v>746.3</v>
      </c>
      <c r="G874">
        <v>14.8</v>
      </c>
      <c r="H874">
        <v>4000</v>
      </c>
      <c r="I874">
        <v>4811.3</v>
      </c>
      <c r="J874">
        <v>1</v>
      </c>
      <c r="K874">
        <f t="shared" si="26"/>
        <v>761.09999999999991</v>
      </c>
      <c r="L874">
        <f>K874+energy_grid_portfolio_dataset!H874</f>
        <v>4761.1000000000004</v>
      </c>
      <c r="M874">
        <f t="shared" si="27"/>
        <v>8</v>
      </c>
    </row>
    <row r="875" spans="1:13" x14ac:dyDescent="0.3">
      <c r="A875" s="1">
        <v>46274.375</v>
      </c>
      <c r="B875" t="s">
        <v>12</v>
      </c>
      <c r="C875">
        <v>24.5</v>
      </c>
      <c r="D875">
        <v>75.3</v>
      </c>
      <c r="E875">
        <v>11.8</v>
      </c>
      <c r="F875">
        <v>621.1</v>
      </c>
      <c r="G875">
        <v>158</v>
      </c>
      <c r="H875">
        <v>4000</v>
      </c>
      <c r="I875">
        <v>5024.3999999999996</v>
      </c>
      <c r="J875">
        <v>1</v>
      </c>
      <c r="K875">
        <f t="shared" si="26"/>
        <v>779.1</v>
      </c>
      <c r="L875">
        <f>K875+energy_grid_portfolio_dataset!H875</f>
        <v>4779.1000000000004</v>
      </c>
      <c r="M875">
        <f t="shared" si="27"/>
        <v>9</v>
      </c>
    </row>
    <row r="876" spans="1:13" x14ac:dyDescent="0.3">
      <c r="A876" s="1">
        <v>46274.416666666664</v>
      </c>
      <c r="B876" t="s">
        <v>12</v>
      </c>
      <c r="C876">
        <v>26.2</v>
      </c>
      <c r="D876">
        <v>54.5</v>
      </c>
      <c r="E876">
        <v>4.9000000000000004</v>
      </c>
      <c r="F876">
        <v>1016.2</v>
      </c>
      <c r="G876">
        <v>11.5</v>
      </c>
      <c r="H876">
        <v>4000</v>
      </c>
      <c r="I876">
        <v>7272.3</v>
      </c>
      <c r="J876">
        <v>1</v>
      </c>
      <c r="K876">
        <f t="shared" si="26"/>
        <v>1027.7</v>
      </c>
      <c r="L876">
        <f>K876+energy_grid_portfolio_dataset!H876</f>
        <v>5027.7</v>
      </c>
      <c r="M876">
        <f t="shared" si="27"/>
        <v>10</v>
      </c>
    </row>
    <row r="877" spans="1:13" x14ac:dyDescent="0.3">
      <c r="A877" s="1">
        <v>46274.458333333336</v>
      </c>
      <c r="B877" t="s">
        <v>12</v>
      </c>
      <c r="C877">
        <v>25.6</v>
      </c>
      <c r="D877">
        <v>61.4</v>
      </c>
      <c r="E877">
        <v>6.2</v>
      </c>
      <c r="F877">
        <v>992.8</v>
      </c>
      <c r="G877">
        <v>22.4</v>
      </c>
      <c r="H877">
        <v>4000</v>
      </c>
      <c r="I877">
        <v>7327.1</v>
      </c>
      <c r="J877">
        <v>1</v>
      </c>
      <c r="K877">
        <f t="shared" si="26"/>
        <v>1015.1999999999999</v>
      </c>
      <c r="L877">
        <f>K877+energy_grid_portfolio_dataset!H877</f>
        <v>5015.2</v>
      </c>
      <c r="M877">
        <f t="shared" si="27"/>
        <v>11</v>
      </c>
    </row>
    <row r="878" spans="1:13" x14ac:dyDescent="0.3">
      <c r="A878" s="1">
        <v>46274.5</v>
      </c>
      <c r="B878" t="s">
        <v>12</v>
      </c>
      <c r="C878">
        <v>24.3</v>
      </c>
      <c r="D878">
        <v>69.7</v>
      </c>
      <c r="E878">
        <v>5.8</v>
      </c>
      <c r="F878">
        <v>885</v>
      </c>
      <c r="G878">
        <v>18.899999999999999</v>
      </c>
      <c r="H878">
        <v>4000</v>
      </c>
      <c r="I878">
        <v>7074.7</v>
      </c>
      <c r="J878">
        <v>1</v>
      </c>
      <c r="K878">
        <f t="shared" si="26"/>
        <v>903.9</v>
      </c>
      <c r="L878">
        <f>K878+energy_grid_portfolio_dataset!H878</f>
        <v>4903.8999999999996</v>
      </c>
      <c r="M878">
        <f t="shared" si="27"/>
        <v>12</v>
      </c>
    </row>
    <row r="879" spans="1:13" x14ac:dyDescent="0.3">
      <c r="A879" s="1">
        <v>46274.541666666664</v>
      </c>
      <c r="B879" t="s">
        <v>12</v>
      </c>
      <c r="C879">
        <v>25.8</v>
      </c>
      <c r="D879">
        <v>96.6</v>
      </c>
      <c r="E879">
        <v>3.4</v>
      </c>
      <c r="F879">
        <v>442.6</v>
      </c>
      <c r="G879">
        <v>3.7</v>
      </c>
      <c r="H879">
        <v>4000</v>
      </c>
      <c r="I879">
        <v>7225</v>
      </c>
      <c r="J879">
        <v>1</v>
      </c>
      <c r="K879">
        <f t="shared" si="26"/>
        <v>446.3</v>
      </c>
      <c r="L879">
        <f>K879+energy_grid_portfolio_dataset!H879</f>
        <v>4446.3</v>
      </c>
      <c r="M879">
        <f t="shared" si="27"/>
        <v>13</v>
      </c>
    </row>
    <row r="880" spans="1:13" x14ac:dyDescent="0.3">
      <c r="A880" s="1">
        <v>46274.583333333336</v>
      </c>
      <c r="B880" t="s">
        <v>12</v>
      </c>
      <c r="C880">
        <v>22.8</v>
      </c>
      <c r="D880">
        <v>73</v>
      </c>
      <c r="E880">
        <v>7.4</v>
      </c>
      <c r="F880">
        <v>749</v>
      </c>
      <c r="G880">
        <v>39.299999999999997</v>
      </c>
      <c r="H880">
        <v>4000</v>
      </c>
      <c r="I880">
        <v>7406.8</v>
      </c>
      <c r="J880">
        <v>1</v>
      </c>
      <c r="K880">
        <f t="shared" si="26"/>
        <v>788.3</v>
      </c>
      <c r="L880">
        <f>K880+energy_grid_portfolio_dataset!H880</f>
        <v>4788.3</v>
      </c>
      <c r="M880">
        <f t="shared" si="27"/>
        <v>14</v>
      </c>
    </row>
    <row r="881" spans="1:13" x14ac:dyDescent="0.3">
      <c r="A881" s="1">
        <v>46274.625</v>
      </c>
      <c r="B881" t="s">
        <v>12</v>
      </c>
      <c r="C881">
        <v>26.4</v>
      </c>
      <c r="D881">
        <v>98.4</v>
      </c>
      <c r="E881">
        <v>0</v>
      </c>
      <c r="F881">
        <v>332.9</v>
      </c>
      <c r="G881">
        <v>0</v>
      </c>
      <c r="H881">
        <v>4000</v>
      </c>
      <c r="I881">
        <v>4830.7</v>
      </c>
      <c r="J881">
        <v>1</v>
      </c>
      <c r="K881">
        <f t="shared" si="26"/>
        <v>332.9</v>
      </c>
      <c r="L881">
        <f>K881+energy_grid_portfolio_dataset!H881</f>
        <v>4332.8999999999996</v>
      </c>
      <c r="M881">
        <f t="shared" si="27"/>
        <v>15</v>
      </c>
    </row>
    <row r="882" spans="1:13" x14ac:dyDescent="0.3">
      <c r="A882" s="1">
        <v>46274.666666666664</v>
      </c>
      <c r="B882" t="s">
        <v>12</v>
      </c>
      <c r="C882">
        <v>19.5</v>
      </c>
      <c r="D882">
        <v>31</v>
      </c>
      <c r="E882">
        <v>10.9</v>
      </c>
      <c r="F882">
        <v>937.4</v>
      </c>
      <c r="G882">
        <v>123.9</v>
      </c>
      <c r="H882">
        <v>3964.1</v>
      </c>
      <c r="I882">
        <v>5025.3999999999996</v>
      </c>
      <c r="J882">
        <v>0</v>
      </c>
      <c r="K882">
        <f t="shared" si="26"/>
        <v>1061.3</v>
      </c>
      <c r="L882">
        <f>K882+energy_grid_portfolio_dataset!H882</f>
        <v>5025.3999999999996</v>
      </c>
      <c r="M882">
        <f t="shared" si="27"/>
        <v>16</v>
      </c>
    </row>
    <row r="883" spans="1:13" x14ac:dyDescent="0.3">
      <c r="A883" s="1">
        <v>46274.708333333336</v>
      </c>
      <c r="B883" t="s">
        <v>12</v>
      </c>
      <c r="C883">
        <v>20.9</v>
      </c>
      <c r="D883">
        <v>54.1</v>
      </c>
      <c r="E883">
        <v>12.2</v>
      </c>
      <c r="F883">
        <v>492.5</v>
      </c>
      <c r="G883">
        <v>174.5</v>
      </c>
      <c r="H883">
        <v>4000</v>
      </c>
      <c r="I883">
        <v>4862.7</v>
      </c>
      <c r="J883">
        <v>1</v>
      </c>
      <c r="K883">
        <f t="shared" si="26"/>
        <v>667</v>
      </c>
      <c r="L883">
        <f>K883+energy_grid_portfolio_dataset!H883</f>
        <v>4667</v>
      </c>
      <c r="M883">
        <f t="shared" si="27"/>
        <v>17</v>
      </c>
    </row>
    <row r="884" spans="1:13" x14ac:dyDescent="0.3">
      <c r="A884" s="1">
        <v>46274.75</v>
      </c>
      <c r="B884" t="s">
        <v>12</v>
      </c>
      <c r="C884">
        <v>19.899999999999999</v>
      </c>
      <c r="D884">
        <v>100</v>
      </c>
      <c r="E884">
        <v>11.6</v>
      </c>
      <c r="F884">
        <v>89</v>
      </c>
      <c r="G884">
        <v>148.80000000000001</v>
      </c>
      <c r="H884">
        <v>4000</v>
      </c>
      <c r="I884">
        <v>7425.2</v>
      </c>
      <c r="J884">
        <v>1</v>
      </c>
      <c r="K884">
        <f t="shared" si="26"/>
        <v>237.8</v>
      </c>
      <c r="L884">
        <f>K884+energy_grid_portfolio_dataset!H884</f>
        <v>4237.8</v>
      </c>
      <c r="M884">
        <f t="shared" si="27"/>
        <v>18</v>
      </c>
    </row>
    <row r="885" spans="1:13" x14ac:dyDescent="0.3">
      <c r="A885" s="1">
        <v>46274.791666666664</v>
      </c>
      <c r="B885" t="s">
        <v>12</v>
      </c>
      <c r="C885">
        <v>18.2</v>
      </c>
      <c r="D885">
        <v>100</v>
      </c>
      <c r="E885">
        <v>10.8</v>
      </c>
      <c r="F885">
        <v>0</v>
      </c>
      <c r="G885">
        <v>120.4</v>
      </c>
      <c r="H885">
        <v>4000</v>
      </c>
      <c r="I885">
        <v>7684.5</v>
      </c>
      <c r="J885">
        <v>1</v>
      </c>
      <c r="K885">
        <f t="shared" si="26"/>
        <v>120.4</v>
      </c>
      <c r="L885">
        <f>K885+energy_grid_portfolio_dataset!H885</f>
        <v>4120.3999999999996</v>
      </c>
      <c r="M885">
        <f t="shared" si="27"/>
        <v>19</v>
      </c>
    </row>
    <row r="886" spans="1:13" x14ac:dyDescent="0.3">
      <c r="A886" s="1">
        <v>46274.833333333336</v>
      </c>
      <c r="B886" t="s">
        <v>12</v>
      </c>
      <c r="C886">
        <v>17.899999999999999</v>
      </c>
      <c r="D886">
        <v>58.5</v>
      </c>
      <c r="E886">
        <v>5.5</v>
      </c>
      <c r="F886">
        <v>0</v>
      </c>
      <c r="G886">
        <v>16.100000000000001</v>
      </c>
      <c r="H886">
        <v>4000</v>
      </c>
      <c r="I886">
        <v>7801.8</v>
      </c>
      <c r="J886">
        <v>1</v>
      </c>
      <c r="K886">
        <f t="shared" si="26"/>
        <v>16.100000000000001</v>
      </c>
      <c r="L886">
        <f>K886+energy_grid_portfolio_dataset!H886</f>
        <v>4016.1</v>
      </c>
      <c r="M886">
        <f t="shared" si="27"/>
        <v>20</v>
      </c>
    </row>
    <row r="887" spans="1:13" x14ac:dyDescent="0.3">
      <c r="A887" s="1">
        <v>46274.875</v>
      </c>
      <c r="B887" t="s">
        <v>12</v>
      </c>
      <c r="C887">
        <v>21.4</v>
      </c>
      <c r="D887">
        <v>86.4</v>
      </c>
      <c r="E887">
        <v>2.8</v>
      </c>
      <c r="F887">
        <v>0</v>
      </c>
      <c r="G887">
        <v>2</v>
      </c>
      <c r="H887">
        <v>4000</v>
      </c>
      <c r="I887">
        <v>7749.6</v>
      </c>
      <c r="J887">
        <v>1</v>
      </c>
      <c r="K887">
        <f t="shared" si="26"/>
        <v>2</v>
      </c>
      <c r="L887">
        <f>K887+energy_grid_portfolio_dataset!H887</f>
        <v>4002</v>
      </c>
      <c r="M887">
        <f t="shared" si="27"/>
        <v>21</v>
      </c>
    </row>
    <row r="888" spans="1:13" x14ac:dyDescent="0.3">
      <c r="A888" s="1">
        <v>46274.916666666664</v>
      </c>
      <c r="B888" t="s">
        <v>12</v>
      </c>
      <c r="C888">
        <v>18.3</v>
      </c>
      <c r="D888">
        <v>80.599999999999994</v>
      </c>
      <c r="E888">
        <v>10.4</v>
      </c>
      <c r="F888">
        <v>0</v>
      </c>
      <c r="G888">
        <v>108</v>
      </c>
      <c r="H888">
        <v>4000</v>
      </c>
      <c r="I888">
        <v>5156.5</v>
      </c>
      <c r="J888">
        <v>1</v>
      </c>
      <c r="K888">
        <f t="shared" si="26"/>
        <v>108</v>
      </c>
      <c r="L888">
        <f>K888+energy_grid_portfolio_dataset!H888</f>
        <v>4108</v>
      </c>
      <c r="M888">
        <f t="shared" si="27"/>
        <v>22</v>
      </c>
    </row>
    <row r="889" spans="1:13" x14ac:dyDescent="0.3">
      <c r="A889" s="1">
        <v>46274.958333333336</v>
      </c>
      <c r="B889" t="s">
        <v>12</v>
      </c>
      <c r="C889">
        <v>17.100000000000001</v>
      </c>
      <c r="D889">
        <v>44.1</v>
      </c>
      <c r="E889">
        <v>1.3</v>
      </c>
      <c r="F889">
        <v>0</v>
      </c>
      <c r="G889">
        <v>0.2</v>
      </c>
      <c r="H889">
        <v>4000</v>
      </c>
      <c r="I889">
        <v>4783.3</v>
      </c>
      <c r="J889">
        <v>1</v>
      </c>
      <c r="K889">
        <f t="shared" si="26"/>
        <v>0.2</v>
      </c>
      <c r="L889">
        <f>K889+energy_grid_portfolio_dataset!H889</f>
        <v>4000.2</v>
      </c>
      <c r="M889">
        <f t="shared" si="27"/>
        <v>23</v>
      </c>
    </row>
    <row r="890" spans="1:13" x14ac:dyDescent="0.3">
      <c r="A890" s="1">
        <v>46275</v>
      </c>
      <c r="B890" t="s">
        <v>12</v>
      </c>
      <c r="C890">
        <v>22</v>
      </c>
      <c r="D890">
        <v>4.8</v>
      </c>
      <c r="E890">
        <v>5.9</v>
      </c>
      <c r="F890">
        <v>0</v>
      </c>
      <c r="G890">
        <v>19.7</v>
      </c>
      <c r="H890">
        <v>4000</v>
      </c>
      <c r="I890">
        <v>5002</v>
      </c>
      <c r="J890">
        <v>1</v>
      </c>
      <c r="K890">
        <f t="shared" si="26"/>
        <v>19.7</v>
      </c>
      <c r="L890">
        <f>K890+energy_grid_portfolio_dataset!H890</f>
        <v>4019.7</v>
      </c>
      <c r="M890">
        <f t="shared" si="27"/>
        <v>0</v>
      </c>
    </row>
    <row r="891" spans="1:13" x14ac:dyDescent="0.3">
      <c r="A891" s="1">
        <v>46275.041666666664</v>
      </c>
      <c r="B891" t="s">
        <v>12</v>
      </c>
      <c r="C891">
        <v>17.399999999999999</v>
      </c>
      <c r="D891">
        <v>56.6</v>
      </c>
      <c r="E891">
        <v>2.1</v>
      </c>
      <c r="F891">
        <v>0</v>
      </c>
      <c r="G891">
        <v>0.9</v>
      </c>
      <c r="H891">
        <v>4000</v>
      </c>
      <c r="I891">
        <v>5046.1000000000004</v>
      </c>
      <c r="J891">
        <v>1</v>
      </c>
      <c r="K891">
        <f t="shared" si="26"/>
        <v>0.9</v>
      </c>
      <c r="L891">
        <f>K891+energy_grid_portfolio_dataset!H891</f>
        <v>4000.9</v>
      </c>
      <c r="M891">
        <f t="shared" si="27"/>
        <v>1</v>
      </c>
    </row>
    <row r="892" spans="1:13" x14ac:dyDescent="0.3">
      <c r="A892" s="1">
        <v>46275.083333333336</v>
      </c>
      <c r="B892" t="s">
        <v>12</v>
      </c>
      <c r="C892">
        <v>16.2</v>
      </c>
      <c r="D892">
        <v>0</v>
      </c>
      <c r="E892">
        <v>9.6</v>
      </c>
      <c r="F892">
        <v>0</v>
      </c>
      <c r="G892">
        <v>84.5</v>
      </c>
      <c r="H892">
        <v>4000</v>
      </c>
      <c r="I892">
        <v>4984.8999999999996</v>
      </c>
      <c r="J892">
        <v>1</v>
      </c>
      <c r="K892">
        <f t="shared" si="26"/>
        <v>84.5</v>
      </c>
      <c r="L892">
        <f>K892+energy_grid_portfolio_dataset!H892</f>
        <v>4084.5</v>
      </c>
      <c r="M892">
        <f t="shared" si="27"/>
        <v>2</v>
      </c>
    </row>
    <row r="893" spans="1:13" x14ac:dyDescent="0.3">
      <c r="A893" s="1">
        <v>46275.125</v>
      </c>
      <c r="B893" t="s">
        <v>12</v>
      </c>
      <c r="C893">
        <v>18.600000000000001</v>
      </c>
      <c r="D893">
        <v>66.900000000000006</v>
      </c>
      <c r="E893">
        <v>9.1999999999999993</v>
      </c>
      <c r="F893">
        <v>0</v>
      </c>
      <c r="G893">
        <v>75.3</v>
      </c>
      <c r="H893">
        <v>4000</v>
      </c>
      <c r="I893">
        <v>5093.8</v>
      </c>
      <c r="J893">
        <v>1</v>
      </c>
      <c r="K893">
        <f t="shared" si="26"/>
        <v>75.3</v>
      </c>
      <c r="L893">
        <f>K893+energy_grid_portfolio_dataset!H893</f>
        <v>4075.3</v>
      </c>
      <c r="M893">
        <f t="shared" si="27"/>
        <v>3</v>
      </c>
    </row>
    <row r="894" spans="1:13" x14ac:dyDescent="0.3">
      <c r="A894" s="1">
        <v>46275.166666666664</v>
      </c>
      <c r="B894" t="s">
        <v>12</v>
      </c>
      <c r="C894">
        <v>21.3</v>
      </c>
      <c r="D894">
        <v>51.1</v>
      </c>
      <c r="E894">
        <v>9.9</v>
      </c>
      <c r="F894">
        <v>0</v>
      </c>
      <c r="G894">
        <v>94.2</v>
      </c>
      <c r="H894">
        <v>4000</v>
      </c>
      <c r="I894">
        <v>4983.7</v>
      </c>
      <c r="J894">
        <v>1</v>
      </c>
      <c r="K894">
        <f t="shared" si="26"/>
        <v>94.2</v>
      </c>
      <c r="L894">
        <f>K894+energy_grid_portfolio_dataset!H894</f>
        <v>4094.2</v>
      </c>
      <c r="M894">
        <f t="shared" si="27"/>
        <v>4</v>
      </c>
    </row>
    <row r="895" spans="1:13" x14ac:dyDescent="0.3">
      <c r="A895" s="1">
        <v>46275.208333333336</v>
      </c>
      <c r="B895" t="s">
        <v>12</v>
      </c>
      <c r="C895">
        <v>21.1</v>
      </c>
      <c r="D895">
        <v>21.9</v>
      </c>
      <c r="E895">
        <v>6.9</v>
      </c>
      <c r="F895">
        <v>0</v>
      </c>
      <c r="G895">
        <v>31</v>
      </c>
      <c r="H895">
        <v>4000</v>
      </c>
      <c r="I895">
        <v>4998.1000000000004</v>
      </c>
      <c r="J895">
        <v>1</v>
      </c>
      <c r="K895">
        <f t="shared" si="26"/>
        <v>31</v>
      </c>
      <c r="L895">
        <f>K895+energy_grid_portfolio_dataset!H895</f>
        <v>4031</v>
      </c>
      <c r="M895">
        <f t="shared" si="27"/>
        <v>5</v>
      </c>
    </row>
    <row r="896" spans="1:13" x14ac:dyDescent="0.3">
      <c r="A896" s="1">
        <v>46275.25</v>
      </c>
      <c r="B896" t="s">
        <v>12</v>
      </c>
      <c r="C896">
        <v>20.7</v>
      </c>
      <c r="D896">
        <v>35.5</v>
      </c>
      <c r="E896">
        <v>2.8</v>
      </c>
      <c r="F896">
        <v>318.5</v>
      </c>
      <c r="G896">
        <v>2.1</v>
      </c>
      <c r="H896">
        <v>4000</v>
      </c>
      <c r="I896">
        <v>4825.2</v>
      </c>
      <c r="J896">
        <v>1</v>
      </c>
      <c r="K896">
        <f t="shared" si="26"/>
        <v>320.60000000000002</v>
      </c>
      <c r="L896">
        <f>K896+energy_grid_portfolio_dataset!H896</f>
        <v>4320.6000000000004</v>
      </c>
      <c r="M896">
        <f t="shared" si="27"/>
        <v>6</v>
      </c>
    </row>
    <row r="897" spans="1:13" x14ac:dyDescent="0.3">
      <c r="A897" s="1">
        <v>46275.291666666664</v>
      </c>
      <c r="B897" t="s">
        <v>12</v>
      </c>
      <c r="C897">
        <v>26</v>
      </c>
      <c r="D897">
        <v>100</v>
      </c>
      <c r="E897">
        <v>2.2999999999999998</v>
      </c>
      <c r="F897">
        <v>173.6</v>
      </c>
      <c r="G897">
        <v>1.2</v>
      </c>
      <c r="H897">
        <v>4000</v>
      </c>
      <c r="I897">
        <v>5268.7</v>
      </c>
      <c r="J897">
        <v>1</v>
      </c>
      <c r="K897">
        <f t="shared" si="26"/>
        <v>174.79999999999998</v>
      </c>
      <c r="L897">
        <f>K897+energy_grid_portfolio_dataset!H897</f>
        <v>4174.8</v>
      </c>
      <c r="M897">
        <f t="shared" si="27"/>
        <v>7</v>
      </c>
    </row>
    <row r="898" spans="1:13" x14ac:dyDescent="0.3">
      <c r="A898" s="1">
        <v>46275.333333333336</v>
      </c>
      <c r="B898" t="s">
        <v>12</v>
      </c>
      <c r="C898">
        <v>21.9</v>
      </c>
      <c r="D898">
        <v>39.1</v>
      </c>
      <c r="E898">
        <v>3.2</v>
      </c>
      <c r="F898">
        <v>856.6</v>
      </c>
      <c r="G898">
        <v>3.3</v>
      </c>
      <c r="H898">
        <v>4000</v>
      </c>
      <c r="I898">
        <v>4960.7</v>
      </c>
      <c r="J898">
        <v>1</v>
      </c>
      <c r="K898">
        <f t="shared" si="26"/>
        <v>859.9</v>
      </c>
      <c r="L898">
        <f>K898+energy_grid_portfolio_dataset!H898</f>
        <v>4859.8999999999996</v>
      </c>
      <c r="M898">
        <f t="shared" si="27"/>
        <v>8</v>
      </c>
    </row>
    <row r="899" spans="1:13" x14ac:dyDescent="0.3">
      <c r="A899" s="1">
        <v>46275.375</v>
      </c>
      <c r="B899" t="s">
        <v>12</v>
      </c>
      <c r="C899">
        <v>24.7</v>
      </c>
      <c r="D899">
        <v>92.1</v>
      </c>
      <c r="E899">
        <v>7.8</v>
      </c>
      <c r="F899">
        <v>412.2</v>
      </c>
      <c r="G899">
        <v>45.8</v>
      </c>
      <c r="H899">
        <v>4000</v>
      </c>
      <c r="I899">
        <v>5135.8999999999996</v>
      </c>
      <c r="J899">
        <v>1</v>
      </c>
      <c r="K899">
        <f t="shared" ref="K899:K962" si="28">F899+G899</f>
        <v>458</v>
      </c>
      <c r="L899">
        <f>K899+energy_grid_portfolio_dataset!H899</f>
        <v>4458</v>
      </c>
      <c r="M899">
        <f t="shared" ref="M899:M962" si="29">HOUR(A899)</f>
        <v>9</v>
      </c>
    </row>
    <row r="900" spans="1:13" x14ac:dyDescent="0.3">
      <c r="A900" s="1">
        <v>46275.416666666664</v>
      </c>
      <c r="B900" t="s">
        <v>12</v>
      </c>
      <c r="C900">
        <v>23.4</v>
      </c>
      <c r="D900">
        <v>97.8</v>
      </c>
      <c r="E900">
        <v>9.4</v>
      </c>
      <c r="F900">
        <v>392.4</v>
      </c>
      <c r="G900">
        <v>80.7</v>
      </c>
      <c r="H900">
        <v>4000</v>
      </c>
      <c r="I900">
        <v>7495.5</v>
      </c>
      <c r="J900">
        <v>1</v>
      </c>
      <c r="K900">
        <f t="shared" si="28"/>
        <v>473.09999999999997</v>
      </c>
      <c r="L900">
        <f>K900+energy_grid_portfolio_dataset!H900</f>
        <v>4473.1000000000004</v>
      </c>
      <c r="M900">
        <f t="shared" si="29"/>
        <v>10</v>
      </c>
    </row>
    <row r="901" spans="1:13" x14ac:dyDescent="0.3">
      <c r="A901" s="1">
        <v>46275.458333333336</v>
      </c>
      <c r="B901" t="s">
        <v>12</v>
      </c>
      <c r="C901">
        <v>28.8</v>
      </c>
      <c r="D901">
        <v>70.099999999999994</v>
      </c>
      <c r="E901">
        <v>5.3</v>
      </c>
      <c r="F901">
        <v>856.6</v>
      </c>
      <c r="G901">
        <v>14.4</v>
      </c>
      <c r="H901">
        <v>4000</v>
      </c>
      <c r="I901">
        <v>7004</v>
      </c>
      <c r="J901">
        <v>1</v>
      </c>
      <c r="K901">
        <f t="shared" si="28"/>
        <v>871</v>
      </c>
      <c r="L901">
        <f>K901+energy_grid_portfolio_dataset!H901</f>
        <v>4871</v>
      </c>
      <c r="M901">
        <f t="shared" si="29"/>
        <v>11</v>
      </c>
    </row>
    <row r="902" spans="1:13" x14ac:dyDescent="0.3">
      <c r="A902" s="1">
        <v>46275.5</v>
      </c>
      <c r="B902" t="s">
        <v>12</v>
      </c>
      <c r="C902">
        <v>25.6</v>
      </c>
      <c r="D902">
        <v>100</v>
      </c>
      <c r="E902">
        <v>6</v>
      </c>
      <c r="F902">
        <v>400</v>
      </c>
      <c r="G902">
        <v>20.8</v>
      </c>
      <c r="H902">
        <v>4000</v>
      </c>
      <c r="I902">
        <v>7026.4</v>
      </c>
      <c r="J902">
        <v>1</v>
      </c>
      <c r="K902">
        <f t="shared" si="28"/>
        <v>420.8</v>
      </c>
      <c r="L902">
        <f>K902+energy_grid_portfolio_dataset!H902</f>
        <v>4420.8</v>
      </c>
      <c r="M902">
        <f t="shared" si="29"/>
        <v>12</v>
      </c>
    </row>
    <row r="903" spans="1:13" x14ac:dyDescent="0.3">
      <c r="A903" s="1">
        <v>46275.541666666664</v>
      </c>
      <c r="B903" t="s">
        <v>12</v>
      </c>
      <c r="C903">
        <v>25.2</v>
      </c>
      <c r="D903">
        <v>36.6</v>
      </c>
      <c r="E903">
        <v>9.1999999999999993</v>
      </c>
      <c r="F903">
        <v>1378.9</v>
      </c>
      <c r="G903">
        <v>75.900000000000006</v>
      </c>
      <c r="H903">
        <v>4000</v>
      </c>
      <c r="I903">
        <v>7267.3</v>
      </c>
      <c r="J903">
        <v>1</v>
      </c>
      <c r="K903">
        <f t="shared" si="28"/>
        <v>1454.8000000000002</v>
      </c>
      <c r="L903">
        <f>K903+energy_grid_portfolio_dataset!H903</f>
        <v>5454.8</v>
      </c>
      <c r="M903">
        <f t="shared" si="29"/>
        <v>13</v>
      </c>
    </row>
    <row r="904" spans="1:13" x14ac:dyDescent="0.3">
      <c r="A904" s="1">
        <v>46275.583333333336</v>
      </c>
      <c r="B904" t="s">
        <v>12</v>
      </c>
      <c r="C904">
        <v>25.5</v>
      </c>
      <c r="D904">
        <v>61</v>
      </c>
      <c r="E904">
        <v>6.3</v>
      </c>
      <c r="F904">
        <v>922.3</v>
      </c>
      <c r="G904">
        <v>24.4</v>
      </c>
      <c r="H904">
        <v>4000</v>
      </c>
      <c r="I904">
        <v>6947.6</v>
      </c>
      <c r="J904">
        <v>1</v>
      </c>
      <c r="K904">
        <f t="shared" si="28"/>
        <v>946.69999999999993</v>
      </c>
      <c r="L904">
        <f>K904+energy_grid_portfolio_dataset!H904</f>
        <v>4946.7</v>
      </c>
      <c r="M904">
        <f t="shared" si="29"/>
        <v>14</v>
      </c>
    </row>
    <row r="905" spans="1:13" x14ac:dyDescent="0.3">
      <c r="A905" s="1">
        <v>46275.625</v>
      </c>
      <c r="B905" t="s">
        <v>12</v>
      </c>
      <c r="C905">
        <v>26.3</v>
      </c>
      <c r="D905">
        <v>80.8</v>
      </c>
      <c r="E905">
        <v>8.1999999999999993</v>
      </c>
      <c r="F905">
        <v>553.1</v>
      </c>
      <c r="G905">
        <v>53</v>
      </c>
      <c r="H905">
        <v>4000</v>
      </c>
      <c r="I905">
        <v>4923.1000000000004</v>
      </c>
      <c r="J905">
        <v>1</v>
      </c>
      <c r="K905">
        <f t="shared" si="28"/>
        <v>606.1</v>
      </c>
      <c r="L905">
        <f>K905+energy_grid_portfolio_dataset!H905</f>
        <v>4606.1000000000004</v>
      </c>
      <c r="M905">
        <f t="shared" si="29"/>
        <v>15</v>
      </c>
    </row>
    <row r="906" spans="1:13" x14ac:dyDescent="0.3">
      <c r="A906" s="1">
        <v>46275.666666666664</v>
      </c>
      <c r="B906" t="s">
        <v>12</v>
      </c>
      <c r="C906">
        <v>23.9</v>
      </c>
      <c r="D906">
        <v>95.8</v>
      </c>
      <c r="E906">
        <v>8.6999999999999993</v>
      </c>
      <c r="F906">
        <v>290.89999999999998</v>
      </c>
      <c r="G906">
        <v>62.9</v>
      </c>
      <c r="H906">
        <v>4000</v>
      </c>
      <c r="I906">
        <v>4802.1000000000004</v>
      </c>
      <c r="J906">
        <v>1</v>
      </c>
      <c r="K906">
        <f t="shared" si="28"/>
        <v>353.79999999999995</v>
      </c>
      <c r="L906">
        <f>K906+energy_grid_portfolio_dataset!H906</f>
        <v>4353.8</v>
      </c>
      <c r="M906">
        <f t="shared" si="29"/>
        <v>16</v>
      </c>
    </row>
    <row r="907" spans="1:13" x14ac:dyDescent="0.3">
      <c r="A907" s="1">
        <v>46275.708333333336</v>
      </c>
      <c r="B907" t="s">
        <v>12</v>
      </c>
      <c r="C907">
        <v>24</v>
      </c>
      <c r="D907">
        <v>0.7</v>
      </c>
      <c r="E907">
        <v>6.1</v>
      </c>
      <c r="F907">
        <v>863.2</v>
      </c>
      <c r="G907">
        <v>22.2</v>
      </c>
      <c r="H907">
        <v>3858.7</v>
      </c>
      <c r="I907">
        <v>4744.1000000000004</v>
      </c>
      <c r="J907">
        <v>0</v>
      </c>
      <c r="K907">
        <f t="shared" si="28"/>
        <v>885.40000000000009</v>
      </c>
      <c r="L907">
        <f>K907+energy_grid_portfolio_dataset!H907</f>
        <v>4744.1000000000004</v>
      </c>
      <c r="M907">
        <f t="shared" si="29"/>
        <v>17</v>
      </c>
    </row>
    <row r="908" spans="1:13" x14ac:dyDescent="0.3">
      <c r="A908" s="1">
        <v>46275.75</v>
      </c>
      <c r="B908" t="s">
        <v>12</v>
      </c>
      <c r="C908">
        <v>20.100000000000001</v>
      </c>
      <c r="D908">
        <v>35</v>
      </c>
      <c r="E908">
        <v>8.3000000000000007</v>
      </c>
      <c r="F908">
        <v>320.5</v>
      </c>
      <c r="G908">
        <v>54.7</v>
      </c>
      <c r="H908">
        <v>4000</v>
      </c>
      <c r="I908">
        <v>7984.7</v>
      </c>
      <c r="J908">
        <v>1</v>
      </c>
      <c r="K908">
        <f t="shared" si="28"/>
        <v>375.2</v>
      </c>
      <c r="L908">
        <f>K908+energy_grid_portfolio_dataset!H908</f>
        <v>4375.2</v>
      </c>
      <c r="M908">
        <f t="shared" si="29"/>
        <v>18</v>
      </c>
    </row>
    <row r="909" spans="1:13" x14ac:dyDescent="0.3">
      <c r="A909" s="1">
        <v>46275.791666666664</v>
      </c>
      <c r="B909" t="s">
        <v>12</v>
      </c>
      <c r="C909">
        <v>19.399999999999999</v>
      </c>
      <c r="D909">
        <v>77.900000000000006</v>
      </c>
      <c r="E909">
        <v>4.0999999999999996</v>
      </c>
      <c r="F909">
        <v>0</v>
      </c>
      <c r="G909">
        <v>6.6</v>
      </c>
      <c r="H909">
        <v>4000</v>
      </c>
      <c r="I909">
        <v>7468.6</v>
      </c>
      <c r="J909">
        <v>1</v>
      </c>
      <c r="K909">
        <f t="shared" si="28"/>
        <v>6.6</v>
      </c>
      <c r="L909">
        <f>K909+energy_grid_portfolio_dataset!H909</f>
        <v>4006.6</v>
      </c>
      <c r="M909">
        <f t="shared" si="29"/>
        <v>19</v>
      </c>
    </row>
    <row r="910" spans="1:13" x14ac:dyDescent="0.3">
      <c r="A910" s="1">
        <v>46275.833333333336</v>
      </c>
      <c r="B910" t="s">
        <v>12</v>
      </c>
      <c r="C910">
        <v>21</v>
      </c>
      <c r="D910">
        <v>72.599999999999994</v>
      </c>
      <c r="E910">
        <v>6.8</v>
      </c>
      <c r="F910">
        <v>0</v>
      </c>
      <c r="G910">
        <v>30.2</v>
      </c>
      <c r="H910">
        <v>4000</v>
      </c>
      <c r="I910">
        <v>7664.6</v>
      </c>
      <c r="J910">
        <v>1</v>
      </c>
      <c r="K910">
        <f t="shared" si="28"/>
        <v>30.2</v>
      </c>
      <c r="L910">
        <f>K910+energy_grid_portfolio_dataset!H910</f>
        <v>4030.2</v>
      </c>
      <c r="M910">
        <f t="shared" si="29"/>
        <v>20</v>
      </c>
    </row>
    <row r="911" spans="1:13" x14ac:dyDescent="0.3">
      <c r="A911" s="1">
        <v>46275.875</v>
      </c>
      <c r="B911" t="s">
        <v>12</v>
      </c>
      <c r="C911">
        <v>19.2</v>
      </c>
      <c r="D911">
        <v>56.3</v>
      </c>
      <c r="E911">
        <v>7.4</v>
      </c>
      <c r="F911">
        <v>0</v>
      </c>
      <c r="G911">
        <v>38.5</v>
      </c>
      <c r="H911">
        <v>4000</v>
      </c>
      <c r="I911">
        <v>7649.1</v>
      </c>
      <c r="J911">
        <v>1</v>
      </c>
      <c r="K911">
        <f t="shared" si="28"/>
        <v>38.5</v>
      </c>
      <c r="L911">
        <f>K911+energy_grid_portfolio_dataset!H911</f>
        <v>4038.5</v>
      </c>
      <c r="M911">
        <f t="shared" si="29"/>
        <v>21</v>
      </c>
    </row>
    <row r="912" spans="1:13" x14ac:dyDescent="0.3">
      <c r="A912" s="1">
        <v>46275.916666666664</v>
      </c>
      <c r="B912" t="s">
        <v>12</v>
      </c>
      <c r="C912">
        <v>17.3</v>
      </c>
      <c r="D912">
        <v>30.3</v>
      </c>
      <c r="E912">
        <v>5.9</v>
      </c>
      <c r="F912">
        <v>0</v>
      </c>
      <c r="G912">
        <v>19.7</v>
      </c>
      <c r="H912">
        <v>4000</v>
      </c>
      <c r="I912">
        <v>4875.5</v>
      </c>
      <c r="J912">
        <v>1</v>
      </c>
      <c r="K912">
        <f t="shared" si="28"/>
        <v>19.7</v>
      </c>
      <c r="L912">
        <f>K912+energy_grid_portfolio_dataset!H912</f>
        <v>4019.7</v>
      </c>
      <c r="M912">
        <f t="shared" si="29"/>
        <v>22</v>
      </c>
    </row>
    <row r="913" spans="1:13" x14ac:dyDescent="0.3">
      <c r="A913" s="1">
        <v>46275.958333333336</v>
      </c>
      <c r="B913" t="s">
        <v>12</v>
      </c>
      <c r="C913">
        <v>14.9</v>
      </c>
      <c r="D913">
        <v>67.8</v>
      </c>
      <c r="E913">
        <v>6.6</v>
      </c>
      <c r="F913">
        <v>0</v>
      </c>
      <c r="G913">
        <v>28.1</v>
      </c>
      <c r="H913">
        <v>4000</v>
      </c>
      <c r="I913">
        <v>4828.3</v>
      </c>
      <c r="J913">
        <v>1</v>
      </c>
      <c r="K913">
        <f t="shared" si="28"/>
        <v>28.1</v>
      </c>
      <c r="L913">
        <f>K913+energy_grid_portfolio_dataset!H913</f>
        <v>4028.1</v>
      </c>
      <c r="M913">
        <f t="shared" si="29"/>
        <v>23</v>
      </c>
    </row>
    <row r="914" spans="1:13" x14ac:dyDescent="0.3">
      <c r="A914" s="1">
        <v>46276</v>
      </c>
      <c r="B914" t="s">
        <v>12</v>
      </c>
      <c r="C914">
        <v>16.100000000000001</v>
      </c>
      <c r="D914">
        <v>72.2</v>
      </c>
      <c r="E914">
        <v>7.7</v>
      </c>
      <c r="F914">
        <v>0</v>
      </c>
      <c r="G914">
        <v>43</v>
      </c>
      <c r="H914">
        <v>4000</v>
      </c>
      <c r="I914">
        <v>5067.3999999999996</v>
      </c>
      <c r="J914">
        <v>1</v>
      </c>
      <c r="K914">
        <f t="shared" si="28"/>
        <v>43</v>
      </c>
      <c r="L914">
        <f>K914+energy_grid_portfolio_dataset!H914</f>
        <v>4043</v>
      </c>
      <c r="M914">
        <f t="shared" si="29"/>
        <v>0</v>
      </c>
    </row>
    <row r="915" spans="1:13" x14ac:dyDescent="0.3">
      <c r="A915" s="1">
        <v>46276.041666666664</v>
      </c>
      <c r="B915" t="s">
        <v>12</v>
      </c>
      <c r="C915">
        <v>15.5</v>
      </c>
      <c r="D915">
        <v>64.5</v>
      </c>
      <c r="E915">
        <v>7.1</v>
      </c>
      <c r="F915">
        <v>0</v>
      </c>
      <c r="G915">
        <v>34.200000000000003</v>
      </c>
      <c r="H915">
        <v>4000</v>
      </c>
      <c r="I915">
        <v>5016.7</v>
      </c>
      <c r="J915">
        <v>1</v>
      </c>
      <c r="K915">
        <f t="shared" si="28"/>
        <v>34.200000000000003</v>
      </c>
      <c r="L915">
        <f>K915+energy_grid_portfolio_dataset!H915</f>
        <v>4034.2</v>
      </c>
      <c r="M915">
        <f t="shared" si="29"/>
        <v>1</v>
      </c>
    </row>
    <row r="916" spans="1:13" x14ac:dyDescent="0.3">
      <c r="A916" s="1">
        <v>46276.083333333336</v>
      </c>
      <c r="B916" t="s">
        <v>12</v>
      </c>
      <c r="C916">
        <v>13.5</v>
      </c>
      <c r="D916">
        <v>64.8</v>
      </c>
      <c r="E916">
        <v>12.6</v>
      </c>
      <c r="F916">
        <v>0</v>
      </c>
      <c r="G916">
        <v>193.8</v>
      </c>
      <c r="H916">
        <v>4000</v>
      </c>
      <c r="I916">
        <v>4951.1000000000004</v>
      </c>
      <c r="J916">
        <v>1</v>
      </c>
      <c r="K916">
        <f t="shared" si="28"/>
        <v>193.8</v>
      </c>
      <c r="L916">
        <f>K916+energy_grid_portfolio_dataset!H916</f>
        <v>4193.8</v>
      </c>
      <c r="M916">
        <f t="shared" si="29"/>
        <v>2</v>
      </c>
    </row>
    <row r="917" spans="1:13" x14ac:dyDescent="0.3">
      <c r="A917" s="1">
        <v>46276.125</v>
      </c>
      <c r="B917" t="s">
        <v>12</v>
      </c>
      <c r="C917">
        <v>17</v>
      </c>
      <c r="D917">
        <v>71.2</v>
      </c>
      <c r="E917">
        <v>6.9</v>
      </c>
      <c r="F917">
        <v>0</v>
      </c>
      <c r="G917">
        <v>32</v>
      </c>
      <c r="H917">
        <v>4000</v>
      </c>
      <c r="I917">
        <v>4896</v>
      </c>
      <c r="J917">
        <v>1</v>
      </c>
      <c r="K917">
        <f t="shared" si="28"/>
        <v>32</v>
      </c>
      <c r="L917">
        <f>K917+energy_grid_portfolio_dataset!H917</f>
        <v>4032</v>
      </c>
      <c r="M917">
        <f t="shared" si="29"/>
        <v>3</v>
      </c>
    </row>
    <row r="918" spans="1:13" x14ac:dyDescent="0.3">
      <c r="A918" s="1">
        <v>46276.166666666664</v>
      </c>
      <c r="B918" t="s">
        <v>12</v>
      </c>
      <c r="C918">
        <v>17</v>
      </c>
      <c r="D918">
        <v>81.900000000000006</v>
      </c>
      <c r="E918">
        <v>7.8</v>
      </c>
      <c r="F918">
        <v>0</v>
      </c>
      <c r="G918">
        <v>45.1</v>
      </c>
      <c r="H918">
        <v>4000</v>
      </c>
      <c r="I918">
        <v>5128.8999999999996</v>
      </c>
      <c r="J918">
        <v>1</v>
      </c>
      <c r="K918">
        <f t="shared" si="28"/>
        <v>45.1</v>
      </c>
      <c r="L918">
        <f>K918+energy_grid_portfolio_dataset!H918</f>
        <v>4045.1</v>
      </c>
      <c r="M918">
        <f t="shared" si="29"/>
        <v>4</v>
      </c>
    </row>
    <row r="919" spans="1:13" x14ac:dyDescent="0.3">
      <c r="A919" s="1">
        <v>46276.208333333336</v>
      </c>
      <c r="B919" t="s">
        <v>12</v>
      </c>
      <c r="C919">
        <v>21.4</v>
      </c>
      <c r="D919">
        <v>90.9</v>
      </c>
      <c r="E919">
        <v>8.6</v>
      </c>
      <c r="F919">
        <v>0</v>
      </c>
      <c r="G919">
        <v>61.4</v>
      </c>
      <c r="H919">
        <v>4000</v>
      </c>
      <c r="I919">
        <v>4928.7</v>
      </c>
      <c r="J919">
        <v>1</v>
      </c>
      <c r="K919">
        <f t="shared" si="28"/>
        <v>61.4</v>
      </c>
      <c r="L919">
        <f>K919+energy_grid_portfolio_dataset!H919</f>
        <v>4061.4</v>
      </c>
      <c r="M919">
        <f t="shared" si="29"/>
        <v>5</v>
      </c>
    </row>
    <row r="920" spans="1:13" x14ac:dyDescent="0.3">
      <c r="A920" s="1">
        <v>46276.25</v>
      </c>
      <c r="B920" t="s">
        <v>12</v>
      </c>
      <c r="C920">
        <v>23.6</v>
      </c>
      <c r="D920">
        <v>58.1</v>
      </c>
      <c r="E920">
        <v>6.2</v>
      </c>
      <c r="F920">
        <v>238.3</v>
      </c>
      <c r="G920">
        <v>23.1</v>
      </c>
      <c r="H920">
        <v>4000</v>
      </c>
      <c r="I920">
        <v>4778.5</v>
      </c>
      <c r="J920">
        <v>1</v>
      </c>
      <c r="K920">
        <f t="shared" si="28"/>
        <v>261.40000000000003</v>
      </c>
      <c r="L920">
        <f>K920+energy_grid_portfolio_dataset!H920</f>
        <v>4261.3999999999996</v>
      </c>
      <c r="M920">
        <f t="shared" si="29"/>
        <v>6</v>
      </c>
    </row>
    <row r="921" spans="1:13" x14ac:dyDescent="0.3">
      <c r="A921" s="1">
        <v>46276.291666666664</v>
      </c>
      <c r="B921" t="s">
        <v>12</v>
      </c>
      <c r="C921">
        <v>23</v>
      </c>
      <c r="D921">
        <v>95.8</v>
      </c>
      <c r="E921">
        <v>5.7</v>
      </c>
      <c r="F921">
        <v>203</v>
      </c>
      <c r="G921">
        <v>18.2</v>
      </c>
      <c r="H921">
        <v>4000</v>
      </c>
      <c r="I921">
        <v>4961</v>
      </c>
      <c r="J921">
        <v>1</v>
      </c>
      <c r="K921">
        <f t="shared" si="28"/>
        <v>221.2</v>
      </c>
      <c r="L921">
        <f>K921+energy_grid_portfolio_dataset!H921</f>
        <v>4221.2</v>
      </c>
      <c r="M921">
        <f t="shared" si="29"/>
        <v>7</v>
      </c>
    </row>
    <row r="922" spans="1:13" x14ac:dyDescent="0.3">
      <c r="A922" s="1">
        <v>46276.333333333336</v>
      </c>
      <c r="B922" t="s">
        <v>12</v>
      </c>
      <c r="C922">
        <v>23.7</v>
      </c>
      <c r="D922">
        <v>65.400000000000006</v>
      </c>
      <c r="E922">
        <v>9.6999999999999993</v>
      </c>
      <c r="F922">
        <v>595</v>
      </c>
      <c r="G922">
        <v>87.3</v>
      </c>
      <c r="H922">
        <v>4000</v>
      </c>
      <c r="I922">
        <v>4782.1000000000004</v>
      </c>
      <c r="J922">
        <v>1</v>
      </c>
      <c r="K922">
        <f t="shared" si="28"/>
        <v>682.3</v>
      </c>
      <c r="L922">
        <f>K922+energy_grid_portfolio_dataset!H922</f>
        <v>4682.3</v>
      </c>
      <c r="M922">
        <f t="shared" si="29"/>
        <v>8</v>
      </c>
    </row>
    <row r="923" spans="1:13" x14ac:dyDescent="0.3">
      <c r="A923" s="1">
        <v>46276.375</v>
      </c>
      <c r="B923" t="s">
        <v>12</v>
      </c>
      <c r="C923">
        <v>23.8</v>
      </c>
      <c r="D923">
        <v>100</v>
      </c>
      <c r="E923">
        <v>6.8</v>
      </c>
      <c r="F923">
        <v>312.7</v>
      </c>
      <c r="G923">
        <v>30.1</v>
      </c>
      <c r="H923">
        <v>4000</v>
      </c>
      <c r="I923">
        <v>5040.5</v>
      </c>
      <c r="J923">
        <v>1</v>
      </c>
      <c r="K923">
        <f t="shared" si="28"/>
        <v>342.8</v>
      </c>
      <c r="L923">
        <f>K923+energy_grid_portfolio_dataset!H923</f>
        <v>4342.8</v>
      </c>
      <c r="M923">
        <f t="shared" si="29"/>
        <v>9</v>
      </c>
    </row>
    <row r="924" spans="1:13" x14ac:dyDescent="0.3">
      <c r="A924" s="1">
        <v>46276.416666666664</v>
      </c>
      <c r="B924" t="s">
        <v>12</v>
      </c>
      <c r="C924">
        <v>26</v>
      </c>
      <c r="D924">
        <v>76</v>
      </c>
      <c r="E924">
        <v>8.5</v>
      </c>
      <c r="F924">
        <v>706.3</v>
      </c>
      <c r="G924">
        <v>59.3</v>
      </c>
      <c r="H924">
        <v>4000</v>
      </c>
      <c r="I924">
        <v>7341.3</v>
      </c>
      <c r="J924">
        <v>1</v>
      </c>
      <c r="K924">
        <f t="shared" si="28"/>
        <v>765.59999999999991</v>
      </c>
      <c r="L924">
        <f>K924+energy_grid_portfolio_dataset!H924</f>
        <v>4765.6000000000004</v>
      </c>
      <c r="M924">
        <f t="shared" si="29"/>
        <v>10</v>
      </c>
    </row>
    <row r="925" spans="1:13" x14ac:dyDescent="0.3">
      <c r="A925" s="1">
        <v>46276.458333333336</v>
      </c>
      <c r="B925" t="s">
        <v>12</v>
      </c>
      <c r="C925">
        <v>28.9</v>
      </c>
      <c r="D925">
        <v>86.2</v>
      </c>
      <c r="E925">
        <v>5.0999999999999996</v>
      </c>
      <c r="F925">
        <v>605.79999999999995</v>
      </c>
      <c r="G925">
        <v>12.4</v>
      </c>
      <c r="H925">
        <v>4000</v>
      </c>
      <c r="I925">
        <v>7332.7</v>
      </c>
      <c r="J925">
        <v>1</v>
      </c>
      <c r="K925">
        <f t="shared" si="28"/>
        <v>618.19999999999993</v>
      </c>
      <c r="L925">
        <f>K925+energy_grid_portfolio_dataset!H925</f>
        <v>4618.2</v>
      </c>
      <c r="M925">
        <f t="shared" si="29"/>
        <v>11</v>
      </c>
    </row>
    <row r="926" spans="1:13" x14ac:dyDescent="0.3">
      <c r="A926" s="1">
        <v>46276.5</v>
      </c>
      <c r="B926" t="s">
        <v>12</v>
      </c>
      <c r="C926">
        <v>27.7</v>
      </c>
      <c r="D926">
        <v>88</v>
      </c>
      <c r="E926">
        <v>5.3</v>
      </c>
      <c r="F926">
        <v>592.1</v>
      </c>
      <c r="G926">
        <v>14.6</v>
      </c>
      <c r="H926">
        <v>4000</v>
      </c>
      <c r="I926">
        <v>7064.2</v>
      </c>
      <c r="J926">
        <v>1</v>
      </c>
      <c r="K926">
        <f t="shared" si="28"/>
        <v>606.70000000000005</v>
      </c>
      <c r="L926">
        <f>K926+energy_grid_portfolio_dataset!H926</f>
        <v>4606.7</v>
      </c>
      <c r="M926">
        <f t="shared" si="29"/>
        <v>12</v>
      </c>
    </row>
    <row r="927" spans="1:13" x14ac:dyDescent="0.3">
      <c r="A927" s="1">
        <v>46276.541666666664</v>
      </c>
      <c r="B927" t="s">
        <v>12</v>
      </c>
      <c r="C927">
        <v>29.7</v>
      </c>
      <c r="D927">
        <v>32.5</v>
      </c>
      <c r="E927">
        <v>3.5</v>
      </c>
      <c r="F927">
        <v>1442.7</v>
      </c>
      <c r="G927">
        <v>4.0999999999999996</v>
      </c>
      <c r="H927">
        <v>4000</v>
      </c>
      <c r="I927">
        <v>7309.8</v>
      </c>
      <c r="J927">
        <v>1</v>
      </c>
      <c r="K927">
        <f t="shared" si="28"/>
        <v>1446.8</v>
      </c>
      <c r="L927">
        <f>K927+energy_grid_portfolio_dataset!H927</f>
        <v>5446.8</v>
      </c>
      <c r="M927">
        <f t="shared" si="29"/>
        <v>13</v>
      </c>
    </row>
    <row r="928" spans="1:13" x14ac:dyDescent="0.3">
      <c r="A928" s="1">
        <v>46276.583333333336</v>
      </c>
      <c r="B928" t="s">
        <v>12</v>
      </c>
      <c r="C928">
        <v>26.9</v>
      </c>
      <c r="D928">
        <v>44.3</v>
      </c>
      <c r="E928">
        <v>10.1</v>
      </c>
      <c r="F928">
        <v>1163.9000000000001</v>
      </c>
      <c r="G928">
        <v>97.6</v>
      </c>
      <c r="H928">
        <v>4000</v>
      </c>
      <c r="I928">
        <v>7128.9</v>
      </c>
      <c r="J928">
        <v>1</v>
      </c>
      <c r="K928">
        <f t="shared" si="28"/>
        <v>1261.5</v>
      </c>
      <c r="L928">
        <f>K928+energy_grid_portfolio_dataset!H928</f>
        <v>5261.5</v>
      </c>
      <c r="M928">
        <f t="shared" si="29"/>
        <v>14</v>
      </c>
    </row>
    <row r="929" spans="1:13" x14ac:dyDescent="0.3">
      <c r="A929" s="1">
        <v>46276.625</v>
      </c>
      <c r="B929" t="s">
        <v>12</v>
      </c>
      <c r="C929">
        <v>25.6</v>
      </c>
      <c r="D929">
        <v>16.899999999999999</v>
      </c>
      <c r="E929">
        <v>2.1</v>
      </c>
      <c r="F929">
        <v>1352</v>
      </c>
      <c r="G929">
        <v>0.8</v>
      </c>
      <c r="H929">
        <v>3660.8</v>
      </c>
      <c r="I929">
        <v>5013.6000000000004</v>
      </c>
      <c r="J929">
        <v>0</v>
      </c>
      <c r="K929">
        <f t="shared" si="28"/>
        <v>1352.8</v>
      </c>
      <c r="L929">
        <f>K929+energy_grid_portfolio_dataset!H929</f>
        <v>5013.6000000000004</v>
      </c>
      <c r="M929">
        <f t="shared" si="29"/>
        <v>15</v>
      </c>
    </row>
    <row r="930" spans="1:13" x14ac:dyDescent="0.3">
      <c r="A930" s="1">
        <v>46276.666666666664</v>
      </c>
      <c r="B930" t="s">
        <v>12</v>
      </c>
      <c r="C930">
        <v>20.2</v>
      </c>
      <c r="D930">
        <v>90.4</v>
      </c>
      <c r="E930">
        <v>5.5</v>
      </c>
      <c r="F930">
        <v>345.4</v>
      </c>
      <c r="G930">
        <v>16.2</v>
      </c>
      <c r="H930">
        <v>4000</v>
      </c>
      <c r="I930">
        <v>4992.2</v>
      </c>
      <c r="J930">
        <v>1</v>
      </c>
      <c r="K930">
        <f t="shared" si="28"/>
        <v>361.59999999999997</v>
      </c>
      <c r="L930">
        <f>K930+energy_grid_portfolio_dataset!H930</f>
        <v>4361.6000000000004</v>
      </c>
      <c r="M930">
        <f t="shared" si="29"/>
        <v>16</v>
      </c>
    </row>
    <row r="931" spans="1:13" x14ac:dyDescent="0.3">
      <c r="A931" s="1">
        <v>46276.708333333336</v>
      </c>
      <c r="B931" t="s">
        <v>12</v>
      </c>
      <c r="C931">
        <v>27.9</v>
      </c>
      <c r="D931">
        <v>54.6</v>
      </c>
      <c r="E931">
        <v>5.7</v>
      </c>
      <c r="F931">
        <v>489</v>
      </c>
      <c r="G931">
        <v>17.600000000000001</v>
      </c>
      <c r="H931">
        <v>4000</v>
      </c>
      <c r="I931">
        <v>5436.5</v>
      </c>
      <c r="J931">
        <v>1</v>
      </c>
      <c r="K931">
        <f t="shared" si="28"/>
        <v>506.6</v>
      </c>
      <c r="L931">
        <f>K931+energy_grid_portfolio_dataset!H931</f>
        <v>4506.6000000000004</v>
      </c>
      <c r="M931">
        <f t="shared" si="29"/>
        <v>17</v>
      </c>
    </row>
    <row r="932" spans="1:13" x14ac:dyDescent="0.3">
      <c r="A932" s="1">
        <v>46276.75</v>
      </c>
      <c r="B932" t="s">
        <v>12</v>
      </c>
      <c r="C932">
        <v>25.4</v>
      </c>
      <c r="D932">
        <v>10.9</v>
      </c>
      <c r="E932">
        <v>0.6</v>
      </c>
      <c r="F932">
        <v>406.4</v>
      </c>
      <c r="G932">
        <v>0</v>
      </c>
      <c r="H932">
        <v>4000</v>
      </c>
      <c r="I932">
        <v>7849.3</v>
      </c>
      <c r="J932">
        <v>1</v>
      </c>
      <c r="K932">
        <f t="shared" si="28"/>
        <v>406.4</v>
      </c>
      <c r="L932">
        <f>K932+energy_grid_portfolio_dataset!H932</f>
        <v>4406.3999999999996</v>
      </c>
      <c r="M932">
        <f t="shared" si="29"/>
        <v>18</v>
      </c>
    </row>
    <row r="933" spans="1:13" x14ac:dyDescent="0.3">
      <c r="A933" s="1">
        <v>46276.791666666664</v>
      </c>
      <c r="B933" t="s">
        <v>12</v>
      </c>
      <c r="C933">
        <v>21.9</v>
      </c>
      <c r="D933">
        <v>74.900000000000006</v>
      </c>
      <c r="E933">
        <v>9.1999999999999993</v>
      </c>
      <c r="F933">
        <v>0</v>
      </c>
      <c r="G933">
        <v>75</v>
      </c>
      <c r="H933">
        <v>4000</v>
      </c>
      <c r="I933">
        <v>7606.7</v>
      </c>
      <c r="J933">
        <v>1</v>
      </c>
      <c r="K933">
        <f t="shared" si="28"/>
        <v>75</v>
      </c>
      <c r="L933">
        <f>K933+energy_grid_portfolio_dataset!H933</f>
        <v>4075</v>
      </c>
      <c r="M933">
        <f t="shared" si="29"/>
        <v>19</v>
      </c>
    </row>
    <row r="934" spans="1:13" x14ac:dyDescent="0.3">
      <c r="A934" s="1">
        <v>46276.833333333336</v>
      </c>
      <c r="B934" t="s">
        <v>12</v>
      </c>
      <c r="C934">
        <v>14.9</v>
      </c>
      <c r="D934">
        <v>85.7</v>
      </c>
      <c r="E934">
        <v>3.5</v>
      </c>
      <c r="F934">
        <v>0</v>
      </c>
      <c r="G934">
        <v>4.2</v>
      </c>
      <c r="H934">
        <v>4000</v>
      </c>
      <c r="I934">
        <v>7520</v>
      </c>
      <c r="J934">
        <v>1</v>
      </c>
      <c r="K934">
        <f t="shared" si="28"/>
        <v>4.2</v>
      </c>
      <c r="L934">
        <f>K934+energy_grid_portfolio_dataset!H934</f>
        <v>4004.2</v>
      </c>
      <c r="M934">
        <f t="shared" si="29"/>
        <v>20</v>
      </c>
    </row>
    <row r="935" spans="1:13" x14ac:dyDescent="0.3">
      <c r="A935" s="1">
        <v>46276.875</v>
      </c>
      <c r="B935" t="s">
        <v>12</v>
      </c>
      <c r="C935">
        <v>18.8</v>
      </c>
      <c r="D935">
        <v>83.8</v>
      </c>
      <c r="E935">
        <v>5.6</v>
      </c>
      <c r="F935">
        <v>0</v>
      </c>
      <c r="G935">
        <v>17.2</v>
      </c>
      <c r="H935">
        <v>4000</v>
      </c>
      <c r="I935">
        <v>7397.2</v>
      </c>
      <c r="J935">
        <v>1</v>
      </c>
      <c r="K935">
        <f t="shared" si="28"/>
        <v>17.2</v>
      </c>
      <c r="L935">
        <f>K935+energy_grid_portfolio_dataset!H935</f>
        <v>4017.2</v>
      </c>
      <c r="M935">
        <f t="shared" si="29"/>
        <v>21</v>
      </c>
    </row>
    <row r="936" spans="1:13" x14ac:dyDescent="0.3">
      <c r="A936" s="1">
        <v>46276.916666666664</v>
      </c>
      <c r="B936" t="s">
        <v>12</v>
      </c>
      <c r="C936">
        <v>17.399999999999999</v>
      </c>
      <c r="D936">
        <v>48.9</v>
      </c>
      <c r="E936">
        <v>2</v>
      </c>
      <c r="F936">
        <v>0</v>
      </c>
      <c r="G936">
        <v>0.7</v>
      </c>
      <c r="H936">
        <v>4000</v>
      </c>
      <c r="I936">
        <v>4881.3</v>
      </c>
      <c r="J936">
        <v>1</v>
      </c>
      <c r="K936">
        <f t="shared" si="28"/>
        <v>0.7</v>
      </c>
      <c r="L936">
        <f>K936+energy_grid_portfolio_dataset!H936</f>
        <v>4000.7</v>
      </c>
      <c r="M936">
        <f t="shared" si="29"/>
        <v>22</v>
      </c>
    </row>
    <row r="937" spans="1:13" x14ac:dyDescent="0.3">
      <c r="A937" s="1">
        <v>46276.958333333336</v>
      </c>
      <c r="B937" t="s">
        <v>12</v>
      </c>
      <c r="C937">
        <v>18.2</v>
      </c>
      <c r="D937">
        <v>69.7</v>
      </c>
      <c r="E937">
        <v>6.5</v>
      </c>
      <c r="F937">
        <v>0</v>
      </c>
      <c r="G937">
        <v>26.4</v>
      </c>
      <c r="H937">
        <v>4000</v>
      </c>
      <c r="I937">
        <v>4842.8</v>
      </c>
      <c r="J937">
        <v>1</v>
      </c>
      <c r="K937">
        <f t="shared" si="28"/>
        <v>26.4</v>
      </c>
      <c r="L937">
        <f>K937+energy_grid_portfolio_dataset!H937</f>
        <v>4026.4</v>
      </c>
      <c r="M937">
        <f t="shared" si="29"/>
        <v>23</v>
      </c>
    </row>
    <row r="938" spans="1:13" x14ac:dyDescent="0.3">
      <c r="A938" s="1">
        <v>46277</v>
      </c>
      <c r="B938" t="s">
        <v>12</v>
      </c>
      <c r="C938">
        <v>16.600000000000001</v>
      </c>
      <c r="D938">
        <v>0</v>
      </c>
      <c r="E938">
        <v>6.5</v>
      </c>
      <c r="F938">
        <v>0</v>
      </c>
      <c r="G938">
        <v>26.8</v>
      </c>
      <c r="H938">
        <v>4000</v>
      </c>
      <c r="I938">
        <v>4170.7</v>
      </c>
      <c r="J938">
        <v>1</v>
      </c>
      <c r="K938">
        <f t="shared" si="28"/>
        <v>26.8</v>
      </c>
      <c r="L938">
        <f>K938+energy_grid_portfolio_dataset!H938</f>
        <v>4026.8</v>
      </c>
      <c r="M938">
        <f t="shared" si="29"/>
        <v>0</v>
      </c>
    </row>
    <row r="939" spans="1:13" x14ac:dyDescent="0.3">
      <c r="A939" s="1">
        <v>46277.041666666664</v>
      </c>
      <c r="B939" t="s">
        <v>12</v>
      </c>
      <c r="C939">
        <v>14.2</v>
      </c>
      <c r="D939">
        <v>42.4</v>
      </c>
      <c r="E939">
        <v>7</v>
      </c>
      <c r="F939">
        <v>0</v>
      </c>
      <c r="G939">
        <v>32.700000000000003</v>
      </c>
      <c r="H939">
        <v>4000</v>
      </c>
      <c r="I939">
        <v>4534.3</v>
      </c>
      <c r="J939">
        <v>1</v>
      </c>
      <c r="K939">
        <f t="shared" si="28"/>
        <v>32.700000000000003</v>
      </c>
      <c r="L939">
        <f>K939+energy_grid_portfolio_dataset!H939</f>
        <v>4032.7</v>
      </c>
      <c r="M939">
        <f t="shared" si="29"/>
        <v>1</v>
      </c>
    </row>
    <row r="940" spans="1:13" x14ac:dyDescent="0.3">
      <c r="A940" s="1">
        <v>46277.083333333336</v>
      </c>
      <c r="B940" t="s">
        <v>12</v>
      </c>
      <c r="C940">
        <v>16.8</v>
      </c>
      <c r="D940">
        <v>39.200000000000003</v>
      </c>
      <c r="E940">
        <v>0.1</v>
      </c>
      <c r="F940">
        <v>0</v>
      </c>
      <c r="G940">
        <v>0</v>
      </c>
      <c r="H940">
        <v>4000</v>
      </c>
      <c r="I940">
        <v>4507.8999999999996</v>
      </c>
      <c r="J940">
        <v>1</v>
      </c>
      <c r="K940">
        <f t="shared" si="28"/>
        <v>0</v>
      </c>
      <c r="L940">
        <f>K940+energy_grid_portfolio_dataset!H940</f>
        <v>4000</v>
      </c>
      <c r="M940">
        <f t="shared" si="29"/>
        <v>2</v>
      </c>
    </row>
    <row r="941" spans="1:13" x14ac:dyDescent="0.3">
      <c r="A941" s="1">
        <v>46277.125</v>
      </c>
      <c r="B941" t="s">
        <v>12</v>
      </c>
      <c r="C941">
        <v>22.5</v>
      </c>
      <c r="D941">
        <v>68.3</v>
      </c>
      <c r="E941">
        <v>5.9</v>
      </c>
      <c r="F941">
        <v>0</v>
      </c>
      <c r="G941">
        <v>20.100000000000001</v>
      </c>
      <c r="H941">
        <v>4000</v>
      </c>
      <c r="I941">
        <v>4335.5</v>
      </c>
      <c r="J941">
        <v>1</v>
      </c>
      <c r="K941">
        <f t="shared" si="28"/>
        <v>20.100000000000001</v>
      </c>
      <c r="L941">
        <f>K941+energy_grid_portfolio_dataset!H941</f>
        <v>4020.1</v>
      </c>
      <c r="M941">
        <f t="shared" si="29"/>
        <v>3</v>
      </c>
    </row>
    <row r="942" spans="1:13" x14ac:dyDescent="0.3">
      <c r="A942" s="1">
        <v>46277.166666666664</v>
      </c>
      <c r="B942" t="s">
        <v>12</v>
      </c>
      <c r="C942">
        <v>19.5</v>
      </c>
      <c r="D942">
        <v>35.6</v>
      </c>
      <c r="E942">
        <v>8.5</v>
      </c>
      <c r="F942">
        <v>0</v>
      </c>
      <c r="G942">
        <v>58.3</v>
      </c>
      <c r="H942">
        <v>4000</v>
      </c>
      <c r="I942">
        <v>4368.3</v>
      </c>
      <c r="J942">
        <v>1</v>
      </c>
      <c r="K942">
        <f t="shared" si="28"/>
        <v>58.3</v>
      </c>
      <c r="L942">
        <f>K942+energy_grid_portfolio_dataset!H942</f>
        <v>4058.3</v>
      </c>
      <c r="M942">
        <f t="shared" si="29"/>
        <v>4</v>
      </c>
    </row>
    <row r="943" spans="1:13" x14ac:dyDescent="0.3">
      <c r="A943" s="1">
        <v>46277.208333333336</v>
      </c>
      <c r="B943" t="s">
        <v>12</v>
      </c>
      <c r="C943">
        <v>20.7</v>
      </c>
      <c r="D943">
        <v>30.7</v>
      </c>
      <c r="E943">
        <v>9.9</v>
      </c>
      <c r="F943">
        <v>0</v>
      </c>
      <c r="G943">
        <v>93.4</v>
      </c>
      <c r="H943">
        <v>4000</v>
      </c>
      <c r="I943">
        <v>4353.8999999999996</v>
      </c>
      <c r="J943">
        <v>1</v>
      </c>
      <c r="K943">
        <f t="shared" si="28"/>
        <v>93.4</v>
      </c>
      <c r="L943">
        <f>K943+energy_grid_portfolio_dataset!H943</f>
        <v>4093.4</v>
      </c>
      <c r="M943">
        <f t="shared" si="29"/>
        <v>5</v>
      </c>
    </row>
    <row r="944" spans="1:13" x14ac:dyDescent="0.3">
      <c r="A944" s="1">
        <v>46277.25</v>
      </c>
      <c r="B944" t="s">
        <v>12</v>
      </c>
      <c r="C944">
        <v>20.9</v>
      </c>
      <c r="D944">
        <v>90.1</v>
      </c>
      <c r="E944">
        <v>4.5</v>
      </c>
      <c r="F944">
        <v>124.4</v>
      </c>
      <c r="G944">
        <v>8.8000000000000007</v>
      </c>
      <c r="H944">
        <v>4000</v>
      </c>
      <c r="I944">
        <v>4419.7</v>
      </c>
      <c r="J944">
        <v>1</v>
      </c>
      <c r="K944">
        <f t="shared" si="28"/>
        <v>133.20000000000002</v>
      </c>
      <c r="L944">
        <f>K944+energy_grid_portfolio_dataset!H944</f>
        <v>4133.2</v>
      </c>
      <c r="M944">
        <f t="shared" si="29"/>
        <v>6</v>
      </c>
    </row>
    <row r="945" spans="1:13" x14ac:dyDescent="0.3">
      <c r="A945" s="1">
        <v>46277.291666666664</v>
      </c>
      <c r="B945" t="s">
        <v>12</v>
      </c>
      <c r="C945">
        <v>21.8</v>
      </c>
      <c r="D945">
        <v>6.9</v>
      </c>
      <c r="E945">
        <v>7.4</v>
      </c>
      <c r="F945">
        <v>820.1</v>
      </c>
      <c r="G945">
        <v>39.1</v>
      </c>
      <c r="H945">
        <v>3343.5</v>
      </c>
      <c r="I945">
        <v>4202.7</v>
      </c>
      <c r="J945">
        <v>0</v>
      </c>
      <c r="K945">
        <f t="shared" si="28"/>
        <v>859.2</v>
      </c>
      <c r="L945">
        <f>K945+energy_grid_portfolio_dataset!H945</f>
        <v>4202.7</v>
      </c>
      <c r="M945">
        <f t="shared" si="29"/>
        <v>7</v>
      </c>
    </row>
    <row r="946" spans="1:13" x14ac:dyDescent="0.3">
      <c r="A946" s="1">
        <v>46277.333333333336</v>
      </c>
      <c r="B946" t="s">
        <v>12</v>
      </c>
      <c r="C946">
        <v>22</v>
      </c>
      <c r="D946">
        <v>0</v>
      </c>
      <c r="E946">
        <v>5.7</v>
      </c>
      <c r="F946">
        <v>1247</v>
      </c>
      <c r="G946">
        <v>18.2</v>
      </c>
      <c r="H946">
        <v>2780.1</v>
      </c>
      <c r="I946">
        <v>4045.3</v>
      </c>
      <c r="J946">
        <v>0</v>
      </c>
      <c r="K946">
        <f t="shared" si="28"/>
        <v>1265.2</v>
      </c>
      <c r="L946">
        <f>K946+energy_grid_portfolio_dataset!H946</f>
        <v>4045.3</v>
      </c>
      <c r="M946">
        <f t="shared" si="29"/>
        <v>8</v>
      </c>
    </row>
    <row r="947" spans="1:13" x14ac:dyDescent="0.3">
      <c r="A947" s="1">
        <v>46277.375</v>
      </c>
      <c r="B947" t="s">
        <v>12</v>
      </c>
      <c r="C947">
        <v>24.9</v>
      </c>
      <c r="D947">
        <v>28.7</v>
      </c>
      <c r="E947">
        <v>2.5</v>
      </c>
      <c r="F947">
        <v>1204.4000000000001</v>
      </c>
      <c r="G947">
        <v>1.5</v>
      </c>
      <c r="H947">
        <v>3091.6</v>
      </c>
      <c r="I947">
        <v>4297.5</v>
      </c>
      <c r="J947">
        <v>0</v>
      </c>
      <c r="K947">
        <f t="shared" si="28"/>
        <v>1205.9000000000001</v>
      </c>
      <c r="L947">
        <f>K947+energy_grid_portfolio_dataset!H947</f>
        <v>4297.5</v>
      </c>
      <c r="M947">
        <f t="shared" si="29"/>
        <v>9</v>
      </c>
    </row>
    <row r="948" spans="1:13" x14ac:dyDescent="0.3">
      <c r="A948" s="1">
        <v>46277.416666666664</v>
      </c>
      <c r="B948" t="s">
        <v>12</v>
      </c>
      <c r="C948">
        <v>25.2</v>
      </c>
      <c r="D948">
        <v>69.5</v>
      </c>
      <c r="E948">
        <v>3.3</v>
      </c>
      <c r="F948">
        <v>800.2</v>
      </c>
      <c r="G948">
        <v>3.6</v>
      </c>
      <c r="H948">
        <v>4000</v>
      </c>
      <c r="I948">
        <v>6309.7</v>
      </c>
      <c r="J948">
        <v>1</v>
      </c>
      <c r="K948">
        <f t="shared" si="28"/>
        <v>803.80000000000007</v>
      </c>
      <c r="L948">
        <f>K948+energy_grid_portfolio_dataset!H948</f>
        <v>4803.8</v>
      </c>
      <c r="M948">
        <f t="shared" si="29"/>
        <v>10</v>
      </c>
    </row>
    <row r="949" spans="1:13" x14ac:dyDescent="0.3">
      <c r="A949" s="1">
        <v>46277.458333333336</v>
      </c>
      <c r="B949" t="s">
        <v>12</v>
      </c>
      <c r="C949">
        <v>29.4</v>
      </c>
      <c r="D949">
        <v>77.599999999999994</v>
      </c>
      <c r="E949">
        <v>4.8</v>
      </c>
      <c r="F949">
        <v>739.6</v>
      </c>
      <c r="G949">
        <v>10.4</v>
      </c>
      <c r="H949">
        <v>4000</v>
      </c>
      <c r="I949">
        <v>6267.2</v>
      </c>
      <c r="J949">
        <v>1</v>
      </c>
      <c r="K949">
        <f t="shared" si="28"/>
        <v>750</v>
      </c>
      <c r="L949">
        <f>K949+energy_grid_portfolio_dataset!H949</f>
        <v>4750</v>
      </c>
      <c r="M949">
        <f t="shared" si="29"/>
        <v>11</v>
      </c>
    </row>
    <row r="950" spans="1:13" x14ac:dyDescent="0.3">
      <c r="A950" s="1">
        <v>46277.5</v>
      </c>
      <c r="B950" t="s">
        <v>12</v>
      </c>
      <c r="C950">
        <v>26.5</v>
      </c>
      <c r="D950">
        <v>60.2</v>
      </c>
      <c r="E950">
        <v>5</v>
      </c>
      <c r="F950">
        <v>1036.2</v>
      </c>
      <c r="G950">
        <v>12.2</v>
      </c>
      <c r="H950">
        <v>4000</v>
      </c>
      <c r="I950">
        <v>6278.6</v>
      </c>
      <c r="J950">
        <v>1</v>
      </c>
      <c r="K950">
        <f t="shared" si="28"/>
        <v>1048.4000000000001</v>
      </c>
      <c r="L950">
        <f>K950+energy_grid_portfolio_dataset!H950</f>
        <v>5048.3999999999996</v>
      </c>
      <c r="M950">
        <f t="shared" si="29"/>
        <v>12</v>
      </c>
    </row>
    <row r="951" spans="1:13" x14ac:dyDescent="0.3">
      <c r="A951" s="1">
        <v>46277.541666666664</v>
      </c>
      <c r="B951" t="s">
        <v>12</v>
      </c>
      <c r="C951">
        <v>27.3</v>
      </c>
      <c r="D951">
        <v>30.2</v>
      </c>
      <c r="E951">
        <v>3</v>
      </c>
      <c r="F951">
        <v>1478.8</v>
      </c>
      <c r="G951">
        <v>2.5</v>
      </c>
      <c r="H951">
        <v>4000</v>
      </c>
      <c r="I951">
        <v>6215.3</v>
      </c>
      <c r="J951">
        <v>1</v>
      </c>
      <c r="K951">
        <f t="shared" si="28"/>
        <v>1481.3</v>
      </c>
      <c r="L951">
        <f>K951+energy_grid_portfolio_dataset!H951</f>
        <v>5481.3</v>
      </c>
      <c r="M951">
        <f t="shared" si="29"/>
        <v>13</v>
      </c>
    </row>
    <row r="952" spans="1:13" x14ac:dyDescent="0.3">
      <c r="A952" s="1">
        <v>46277.583333333336</v>
      </c>
      <c r="B952" t="s">
        <v>12</v>
      </c>
      <c r="C952">
        <v>23.1</v>
      </c>
      <c r="D952">
        <v>23.5</v>
      </c>
      <c r="E952">
        <v>6.5</v>
      </c>
      <c r="F952">
        <v>1463.4</v>
      </c>
      <c r="G952">
        <v>26.1</v>
      </c>
      <c r="H952">
        <v>4000</v>
      </c>
      <c r="I952">
        <v>6031.7</v>
      </c>
      <c r="J952">
        <v>1</v>
      </c>
      <c r="K952">
        <f t="shared" si="28"/>
        <v>1489.5</v>
      </c>
      <c r="L952">
        <f>K952+energy_grid_portfolio_dataset!H952</f>
        <v>5489.5</v>
      </c>
      <c r="M952">
        <f t="shared" si="29"/>
        <v>14</v>
      </c>
    </row>
    <row r="953" spans="1:13" x14ac:dyDescent="0.3">
      <c r="A953" s="1">
        <v>46277.625</v>
      </c>
      <c r="B953" t="s">
        <v>12</v>
      </c>
      <c r="C953">
        <v>26.6</v>
      </c>
      <c r="D953">
        <v>61</v>
      </c>
      <c r="E953">
        <v>0.1</v>
      </c>
      <c r="F953">
        <v>800.1</v>
      </c>
      <c r="G953">
        <v>0</v>
      </c>
      <c r="H953">
        <v>3386</v>
      </c>
      <c r="I953">
        <v>4186.1000000000004</v>
      </c>
      <c r="J953">
        <v>0</v>
      </c>
      <c r="K953">
        <f t="shared" si="28"/>
        <v>800.1</v>
      </c>
      <c r="L953">
        <f>K953+energy_grid_portfolio_dataset!H953</f>
        <v>4186.1000000000004</v>
      </c>
      <c r="M953">
        <f t="shared" si="29"/>
        <v>15</v>
      </c>
    </row>
    <row r="954" spans="1:13" x14ac:dyDescent="0.3">
      <c r="A954" s="1">
        <v>46277.666666666664</v>
      </c>
      <c r="B954" t="s">
        <v>12</v>
      </c>
      <c r="C954">
        <v>26.1</v>
      </c>
      <c r="D954">
        <v>30.2</v>
      </c>
      <c r="E954">
        <v>7.3</v>
      </c>
      <c r="F954">
        <v>945.9</v>
      </c>
      <c r="G954">
        <v>36.700000000000003</v>
      </c>
      <c r="H954">
        <v>3435.6</v>
      </c>
      <c r="I954">
        <v>4418.2</v>
      </c>
      <c r="J954">
        <v>0</v>
      </c>
      <c r="K954">
        <f t="shared" si="28"/>
        <v>982.6</v>
      </c>
      <c r="L954">
        <f>K954+energy_grid_portfolio_dataset!H954</f>
        <v>4418.2</v>
      </c>
      <c r="M954">
        <f t="shared" si="29"/>
        <v>16</v>
      </c>
    </row>
    <row r="955" spans="1:13" x14ac:dyDescent="0.3">
      <c r="A955" s="1">
        <v>46277.708333333336</v>
      </c>
      <c r="B955" t="s">
        <v>12</v>
      </c>
      <c r="C955">
        <v>23.5</v>
      </c>
      <c r="D955">
        <v>22.1</v>
      </c>
      <c r="E955">
        <v>0.6</v>
      </c>
      <c r="F955">
        <v>714.6</v>
      </c>
      <c r="G955">
        <v>0</v>
      </c>
      <c r="H955">
        <v>3476.9</v>
      </c>
      <c r="I955">
        <v>4191.5</v>
      </c>
      <c r="J955">
        <v>0</v>
      </c>
      <c r="K955">
        <f t="shared" si="28"/>
        <v>714.6</v>
      </c>
      <c r="L955">
        <f>K955+energy_grid_portfolio_dataset!H955</f>
        <v>4191.5</v>
      </c>
      <c r="M955">
        <f t="shared" si="29"/>
        <v>17</v>
      </c>
    </row>
    <row r="956" spans="1:13" x14ac:dyDescent="0.3">
      <c r="A956" s="1">
        <v>46277.75</v>
      </c>
      <c r="B956" t="s">
        <v>12</v>
      </c>
      <c r="C956">
        <v>21.8</v>
      </c>
      <c r="D956">
        <v>48.1</v>
      </c>
      <c r="E956">
        <v>2.4</v>
      </c>
      <c r="F956">
        <v>273.89999999999998</v>
      </c>
      <c r="G956">
        <v>1.4</v>
      </c>
      <c r="H956">
        <v>4000</v>
      </c>
      <c r="I956">
        <v>6662.6</v>
      </c>
      <c r="J956">
        <v>1</v>
      </c>
      <c r="K956">
        <f t="shared" si="28"/>
        <v>275.29999999999995</v>
      </c>
      <c r="L956">
        <f>K956+energy_grid_portfolio_dataset!H956</f>
        <v>4275.3</v>
      </c>
      <c r="M956">
        <f t="shared" si="29"/>
        <v>18</v>
      </c>
    </row>
    <row r="957" spans="1:13" x14ac:dyDescent="0.3">
      <c r="A957" s="1">
        <v>46277.791666666664</v>
      </c>
      <c r="B957" t="s">
        <v>12</v>
      </c>
      <c r="C957">
        <v>21.2</v>
      </c>
      <c r="D957">
        <v>58.7</v>
      </c>
      <c r="E957">
        <v>6.5</v>
      </c>
      <c r="F957">
        <v>0</v>
      </c>
      <c r="G957">
        <v>26.9</v>
      </c>
      <c r="H957">
        <v>4000</v>
      </c>
      <c r="I957">
        <v>6660</v>
      </c>
      <c r="J957">
        <v>1</v>
      </c>
      <c r="K957">
        <f t="shared" si="28"/>
        <v>26.9</v>
      </c>
      <c r="L957">
        <f>K957+energy_grid_portfolio_dataset!H957</f>
        <v>4026.9</v>
      </c>
      <c r="M957">
        <f t="shared" si="29"/>
        <v>19</v>
      </c>
    </row>
    <row r="958" spans="1:13" x14ac:dyDescent="0.3">
      <c r="A958" s="1">
        <v>46277.833333333336</v>
      </c>
      <c r="B958" t="s">
        <v>12</v>
      </c>
      <c r="C958">
        <v>21.8</v>
      </c>
      <c r="D958">
        <v>24.7</v>
      </c>
      <c r="E958">
        <v>7.5</v>
      </c>
      <c r="F958">
        <v>0</v>
      </c>
      <c r="G958">
        <v>39.9</v>
      </c>
      <c r="H958">
        <v>4000</v>
      </c>
      <c r="I958">
        <v>6619.5</v>
      </c>
      <c r="J958">
        <v>1</v>
      </c>
      <c r="K958">
        <f t="shared" si="28"/>
        <v>39.9</v>
      </c>
      <c r="L958">
        <f>K958+energy_grid_portfolio_dataset!H958</f>
        <v>4039.9</v>
      </c>
      <c r="M958">
        <f t="shared" si="29"/>
        <v>20</v>
      </c>
    </row>
    <row r="959" spans="1:13" x14ac:dyDescent="0.3">
      <c r="A959" s="1">
        <v>46277.875</v>
      </c>
      <c r="B959" t="s">
        <v>12</v>
      </c>
      <c r="C959">
        <v>19.399999999999999</v>
      </c>
      <c r="D959">
        <v>53.9</v>
      </c>
      <c r="E959">
        <v>4.4000000000000004</v>
      </c>
      <c r="F959">
        <v>0</v>
      </c>
      <c r="G959">
        <v>8.3000000000000007</v>
      </c>
      <c r="H959">
        <v>4000</v>
      </c>
      <c r="I959">
        <v>6897.3</v>
      </c>
      <c r="J959">
        <v>1</v>
      </c>
      <c r="K959">
        <f t="shared" si="28"/>
        <v>8.3000000000000007</v>
      </c>
      <c r="L959">
        <f>K959+energy_grid_portfolio_dataset!H959</f>
        <v>4008.3</v>
      </c>
      <c r="M959">
        <f t="shared" si="29"/>
        <v>21</v>
      </c>
    </row>
    <row r="960" spans="1:13" x14ac:dyDescent="0.3">
      <c r="A960" s="1">
        <v>46277.916666666664</v>
      </c>
      <c r="B960" t="s">
        <v>12</v>
      </c>
      <c r="C960">
        <v>14.8</v>
      </c>
      <c r="D960">
        <v>30.9</v>
      </c>
      <c r="E960">
        <v>4.8</v>
      </c>
      <c r="F960">
        <v>0</v>
      </c>
      <c r="G960">
        <v>10.7</v>
      </c>
      <c r="H960">
        <v>4000</v>
      </c>
      <c r="I960">
        <v>4475.3999999999996</v>
      </c>
      <c r="J960">
        <v>1</v>
      </c>
      <c r="K960">
        <f t="shared" si="28"/>
        <v>10.7</v>
      </c>
      <c r="L960">
        <f>K960+energy_grid_portfolio_dataset!H960</f>
        <v>4010.7</v>
      </c>
      <c r="M960">
        <f t="shared" si="29"/>
        <v>22</v>
      </c>
    </row>
    <row r="961" spans="1:13" x14ac:dyDescent="0.3">
      <c r="A961" s="1">
        <v>46277.958333333336</v>
      </c>
      <c r="B961" t="s">
        <v>12</v>
      </c>
      <c r="C961">
        <v>17.899999999999999</v>
      </c>
      <c r="D961">
        <v>31</v>
      </c>
      <c r="E961">
        <v>5.0999999999999996</v>
      </c>
      <c r="F961">
        <v>0</v>
      </c>
      <c r="G961">
        <v>12.5</v>
      </c>
      <c r="H961">
        <v>4000</v>
      </c>
      <c r="I961">
        <v>4505.6000000000004</v>
      </c>
      <c r="J961">
        <v>1</v>
      </c>
      <c r="K961">
        <f t="shared" si="28"/>
        <v>12.5</v>
      </c>
      <c r="L961">
        <f>K961+energy_grid_portfolio_dataset!H961</f>
        <v>4012.5</v>
      </c>
      <c r="M961">
        <f t="shared" si="29"/>
        <v>23</v>
      </c>
    </row>
    <row r="962" spans="1:13" x14ac:dyDescent="0.3">
      <c r="A962" s="1">
        <v>46278</v>
      </c>
      <c r="B962" t="s">
        <v>12</v>
      </c>
      <c r="C962">
        <v>15.6</v>
      </c>
      <c r="D962">
        <v>89.4</v>
      </c>
      <c r="E962">
        <v>1.9</v>
      </c>
      <c r="F962">
        <v>0</v>
      </c>
      <c r="G962">
        <v>0.6</v>
      </c>
      <c r="H962">
        <v>4000</v>
      </c>
      <c r="I962">
        <v>4227.8999999999996</v>
      </c>
      <c r="J962">
        <v>1</v>
      </c>
      <c r="K962">
        <f t="shared" si="28"/>
        <v>0.6</v>
      </c>
      <c r="L962">
        <f>K962+energy_grid_portfolio_dataset!H962</f>
        <v>4000.6</v>
      </c>
      <c r="M962">
        <f t="shared" si="29"/>
        <v>0</v>
      </c>
    </row>
    <row r="963" spans="1:13" x14ac:dyDescent="0.3">
      <c r="A963" s="1">
        <v>46278.041666666664</v>
      </c>
      <c r="B963" t="s">
        <v>12</v>
      </c>
      <c r="C963">
        <v>18.8</v>
      </c>
      <c r="D963">
        <v>92.7</v>
      </c>
      <c r="E963">
        <v>4.5999999999999996</v>
      </c>
      <c r="F963">
        <v>0</v>
      </c>
      <c r="G963">
        <v>9.4</v>
      </c>
      <c r="H963">
        <v>4000</v>
      </c>
      <c r="I963">
        <v>4561.3</v>
      </c>
      <c r="J963">
        <v>1</v>
      </c>
      <c r="K963">
        <f t="shared" ref="K963:K1009" si="30">F963+G963</f>
        <v>9.4</v>
      </c>
      <c r="L963">
        <f>K963+energy_grid_portfolio_dataset!H963</f>
        <v>4009.4</v>
      </c>
      <c r="M963">
        <f t="shared" ref="M963:M1009" si="31">HOUR(A963)</f>
        <v>1</v>
      </c>
    </row>
    <row r="964" spans="1:13" x14ac:dyDescent="0.3">
      <c r="A964" s="1">
        <v>46278.083333333336</v>
      </c>
      <c r="B964" t="s">
        <v>12</v>
      </c>
      <c r="C964">
        <v>14.8</v>
      </c>
      <c r="D964">
        <v>44.3</v>
      </c>
      <c r="E964">
        <v>7.5</v>
      </c>
      <c r="F964">
        <v>0</v>
      </c>
      <c r="G964">
        <v>40.200000000000003</v>
      </c>
      <c r="H964">
        <v>4000</v>
      </c>
      <c r="I964">
        <v>4297.5</v>
      </c>
      <c r="J964">
        <v>1</v>
      </c>
      <c r="K964">
        <f t="shared" si="30"/>
        <v>40.200000000000003</v>
      </c>
      <c r="L964">
        <f>K964+energy_grid_portfolio_dataset!H964</f>
        <v>4040.2</v>
      </c>
      <c r="M964">
        <f t="shared" si="31"/>
        <v>2</v>
      </c>
    </row>
    <row r="965" spans="1:13" x14ac:dyDescent="0.3">
      <c r="A965" s="1">
        <v>46278.125</v>
      </c>
      <c r="B965" t="s">
        <v>12</v>
      </c>
      <c r="C965">
        <v>16.3</v>
      </c>
      <c r="D965">
        <v>49</v>
      </c>
      <c r="E965">
        <v>5.5</v>
      </c>
      <c r="F965">
        <v>0</v>
      </c>
      <c r="G965">
        <v>16.399999999999999</v>
      </c>
      <c r="H965">
        <v>4000</v>
      </c>
      <c r="I965">
        <v>4514.3999999999996</v>
      </c>
      <c r="J965">
        <v>1</v>
      </c>
      <c r="K965">
        <f t="shared" si="30"/>
        <v>16.399999999999999</v>
      </c>
      <c r="L965">
        <f>K965+energy_grid_portfolio_dataset!H965</f>
        <v>4016.4</v>
      </c>
      <c r="M965">
        <f t="shared" si="31"/>
        <v>3</v>
      </c>
    </row>
    <row r="966" spans="1:13" x14ac:dyDescent="0.3">
      <c r="A966" s="1">
        <v>46278.166666666664</v>
      </c>
      <c r="B966" t="s">
        <v>12</v>
      </c>
      <c r="C966">
        <v>20.7</v>
      </c>
      <c r="D966">
        <v>38.299999999999997</v>
      </c>
      <c r="E966">
        <v>5.4</v>
      </c>
      <c r="F966">
        <v>0</v>
      </c>
      <c r="G966">
        <v>15.2</v>
      </c>
      <c r="H966">
        <v>4000</v>
      </c>
      <c r="I966">
        <v>4110.6000000000004</v>
      </c>
      <c r="J966">
        <v>1</v>
      </c>
      <c r="K966">
        <f t="shared" si="30"/>
        <v>15.2</v>
      </c>
      <c r="L966">
        <f>K966+energy_grid_portfolio_dataset!H966</f>
        <v>4015.2</v>
      </c>
      <c r="M966">
        <f t="shared" si="31"/>
        <v>4</v>
      </c>
    </row>
    <row r="967" spans="1:13" x14ac:dyDescent="0.3">
      <c r="A967" s="1">
        <v>46278.208333333336</v>
      </c>
      <c r="B967" t="s">
        <v>12</v>
      </c>
      <c r="C967">
        <v>19.100000000000001</v>
      </c>
      <c r="D967">
        <v>59.8</v>
      </c>
      <c r="E967">
        <v>5.4</v>
      </c>
      <c r="F967">
        <v>0</v>
      </c>
      <c r="G967">
        <v>14.7</v>
      </c>
      <c r="H967">
        <v>4000</v>
      </c>
      <c r="I967">
        <v>4252.2</v>
      </c>
      <c r="J967">
        <v>1</v>
      </c>
      <c r="K967">
        <f t="shared" si="30"/>
        <v>14.7</v>
      </c>
      <c r="L967">
        <f>K967+energy_grid_portfolio_dataset!H967</f>
        <v>4014.7</v>
      </c>
      <c r="M967">
        <f t="shared" si="31"/>
        <v>5</v>
      </c>
    </row>
    <row r="968" spans="1:13" x14ac:dyDescent="0.3">
      <c r="A968" s="1">
        <v>46278.25</v>
      </c>
      <c r="B968" t="s">
        <v>12</v>
      </c>
      <c r="C968">
        <v>20.5</v>
      </c>
      <c r="D968">
        <v>69.599999999999994</v>
      </c>
      <c r="E968">
        <v>11</v>
      </c>
      <c r="F968">
        <v>197.3</v>
      </c>
      <c r="G968">
        <v>126.4</v>
      </c>
      <c r="H968">
        <v>3940.5</v>
      </c>
      <c r="I968">
        <v>4264.2</v>
      </c>
      <c r="J968">
        <v>0</v>
      </c>
      <c r="K968">
        <f t="shared" si="30"/>
        <v>323.70000000000005</v>
      </c>
      <c r="L968">
        <f>K968+energy_grid_portfolio_dataset!H968</f>
        <v>4264.2</v>
      </c>
      <c r="M968">
        <f t="shared" si="31"/>
        <v>6</v>
      </c>
    </row>
    <row r="969" spans="1:13" x14ac:dyDescent="0.3">
      <c r="A969" s="1">
        <v>46278.291666666664</v>
      </c>
      <c r="B969" t="s">
        <v>12</v>
      </c>
      <c r="C969">
        <v>25.3</v>
      </c>
      <c r="D969">
        <v>18.3</v>
      </c>
      <c r="E969">
        <v>6.5</v>
      </c>
      <c r="F969">
        <v>740.8</v>
      </c>
      <c r="G969">
        <v>26</v>
      </c>
      <c r="H969">
        <v>3574.2</v>
      </c>
      <c r="I969">
        <v>4341</v>
      </c>
      <c r="J969">
        <v>0</v>
      </c>
      <c r="K969">
        <f t="shared" si="30"/>
        <v>766.8</v>
      </c>
      <c r="L969">
        <f>K969+energy_grid_portfolio_dataset!H969</f>
        <v>4341</v>
      </c>
      <c r="M969">
        <f t="shared" si="31"/>
        <v>7</v>
      </c>
    </row>
    <row r="970" spans="1:13" x14ac:dyDescent="0.3">
      <c r="A970" s="1">
        <v>46278.333333333336</v>
      </c>
      <c r="B970" t="s">
        <v>12</v>
      </c>
      <c r="C970">
        <v>21.5</v>
      </c>
      <c r="D970">
        <v>37.799999999999997</v>
      </c>
      <c r="E970">
        <v>9.6</v>
      </c>
      <c r="F970">
        <v>869.7</v>
      </c>
      <c r="G970">
        <v>84.3</v>
      </c>
      <c r="H970">
        <v>3201.4</v>
      </c>
      <c r="I970">
        <v>4155.3999999999996</v>
      </c>
      <c r="J970">
        <v>0</v>
      </c>
      <c r="K970">
        <f t="shared" si="30"/>
        <v>954</v>
      </c>
      <c r="L970">
        <f>K970+energy_grid_portfolio_dataset!H970</f>
        <v>4155.3999999999996</v>
      </c>
      <c r="M970">
        <f t="shared" si="31"/>
        <v>8</v>
      </c>
    </row>
    <row r="971" spans="1:13" x14ac:dyDescent="0.3">
      <c r="A971" s="1">
        <v>46278.375</v>
      </c>
      <c r="B971" t="s">
        <v>12</v>
      </c>
      <c r="C971">
        <v>26</v>
      </c>
      <c r="D971">
        <v>14</v>
      </c>
      <c r="E971">
        <v>5.4</v>
      </c>
      <c r="F971">
        <v>1388.3</v>
      </c>
      <c r="G971">
        <v>15.2</v>
      </c>
      <c r="H971">
        <v>3059</v>
      </c>
      <c r="I971">
        <v>4462.5</v>
      </c>
      <c r="J971">
        <v>0</v>
      </c>
      <c r="K971">
        <f t="shared" si="30"/>
        <v>1403.5</v>
      </c>
      <c r="L971">
        <f>K971+energy_grid_portfolio_dataset!H971</f>
        <v>4462.5</v>
      </c>
      <c r="M971">
        <f t="shared" si="31"/>
        <v>9</v>
      </c>
    </row>
    <row r="972" spans="1:13" x14ac:dyDescent="0.3">
      <c r="A972" s="1">
        <v>46278.416666666664</v>
      </c>
      <c r="B972" t="s">
        <v>12</v>
      </c>
      <c r="C972">
        <v>26.7</v>
      </c>
      <c r="D972">
        <v>4.7</v>
      </c>
      <c r="E972">
        <v>3.3</v>
      </c>
      <c r="F972">
        <v>1734.4</v>
      </c>
      <c r="G972">
        <v>3.5</v>
      </c>
      <c r="H972">
        <v>4000</v>
      </c>
      <c r="I972">
        <v>6285.3</v>
      </c>
      <c r="J972">
        <v>1</v>
      </c>
      <c r="K972">
        <f t="shared" si="30"/>
        <v>1737.9</v>
      </c>
      <c r="L972">
        <f>K972+energy_grid_portfolio_dataset!H972</f>
        <v>5737.9</v>
      </c>
      <c r="M972">
        <f t="shared" si="31"/>
        <v>10</v>
      </c>
    </row>
    <row r="973" spans="1:13" x14ac:dyDescent="0.3">
      <c r="A973" s="1">
        <v>46278.458333333336</v>
      </c>
      <c r="B973" t="s">
        <v>12</v>
      </c>
      <c r="C973">
        <v>27.9</v>
      </c>
      <c r="D973">
        <v>0</v>
      </c>
      <c r="E973">
        <v>5.5</v>
      </c>
      <c r="F973">
        <v>1949.9</v>
      </c>
      <c r="G973">
        <v>16.100000000000001</v>
      </c>
      <c r="H973">
        <v>4000</v>
      </c>
      <c r="I973">
        <v>6230.4</v>
      </c>
      <c r="J973">
        <v>1</v>
      </c>
      <c r="K973">
        <f t="shared" si="30"/>
        <v>1966</v>
      </c>
      <c r="L973">
        <f>K973+energy_grid_portfolio_dataset!H973</f>
        <v>5966</v>
      </c>
      <c r="M973">
        <f t="shared" si="31"/>
        <v>11</v>
      </c>
    </row>
    <row r="974" spans="1:13" x14ac:dyDescent="0.3">
      <c r="A974" s="1">
        <v>46278.5</v>
      </c>
      <c r="B974" t="s">
        <v>12</v>
      </c>
      <c r="C974">
        <v>28.7</v>
      </c>
      <c r="D974">
        <v>80.8</v>
      </c>
      <c r="E974">
        <v>7.7</v>
      </c>
      <c r="F974">
        <v>707.4</v>
      </c>
      <c r="G974">
        <v>44.6</v>
      </c>
      <c r="H974">
        <v>4000</v>
      </c>
      <c r="I974">
        <v>6261.5</v>
      </c>
      <c r="J974">
        <v>1</v>
      </c>
      <c r="K974">
        <f t="shared" si="30"/>
        <v>752</v>
      </c>
      <c r="L974">
        <f>K974+energy_grid_portfolio_dataset!H974</f>
        <v>4752</v>
      </c>
      <c r="M974">
        <f t="shared" si="31"/>
        <v>12</v>
      </c>
    </row>
    <row r="975" spans="1:13" x14ac:dyDescent="0.3">
      <c r="A975" s="1">
        <v>46278.541666666664</v>
      </c>
      <c r="B975" t="s">
        <v>12</v>
      </c>
      <c r="C975">
        <v>23</v>
      </c>
      <c r="D975">
        <v>48.2</v>
      </c>
      <c r="E975">
        <v>9</v>
      </c>
      <c r="F975">
        <v>1197.9000000000001</v>
      </c>
      <c r="G975">
        <v>70.099999999999994</v>
      </c>
      <c r="H975">
        <v>4000</v>
      </c>
      <c r="I975">
        <v>6120</v>
      </c>
      <c r="J975">
        <v>1</v>
      </c>
      <c r="K975">
        <f t="shared" si="30"/>
        <v>1268</v>
      </c>
      <c r="L975">
        <f>K975+energy_grid_portfolio_dataset!H975</f>
        <v>5268</v>
      </c>
      <c r="M975">
        <f t="shared" si="31"/>
        <v>13</v>
      </c>
    </row>
    <row r="976" spans="1:13" x14ac:dyDescent="0.3">
      <c r="A976" s="1">
        <v>46278.583333333336</v>
      </c>
      <c r="B976" t="s">
        <v>12</v>
      </c>
      <c r="C976">
        <v>27.8</v>
      </c>
      <c r="D976">
        <v>72.900000000000006</v>
      </c>
      <c r="E976">
        <v>7.1</v>
      </c>
      <c r="F976">
        <v>751.3</v>
      </c>
      <c r="G976">
        <v>34.9</v>
      </c>
      <c r="H976">
        <v>4000</v>
      </c>
      <c r="I976">
        <v>6449</v>
      </c>
      <c r="J976">
        <v>1</v>
      </c>
      <c r="K976">
        <f t="shared" si="30"/>
        <v>786.19999999999993</v>
      </c>
      <c r="L976">
        <f>K976+energy_grid_portfolio_dataset!H976</f>
        <v>4786.2</v>
      </c>
      <c r="M976">
        <f t="shared" si="31"/>
        <v>14</v>
      </c>
    </row>
    <row r="977" spans="1:13" x14ac:dyDescent="0.3">
      <c r="A977" s="1">
        <v>46278.625</v>
      </c>
      <c r="B977" t="s">
        <v>12</v>
      </c>
      <c r="C977">
        <v>25.3</v>
      </c>
      <c r="D977">
        <v>100</v>
      </c>
      <c r="E977">
        <v>3.2</v>
      </c>
      <c r="F977">
        <v>312.7</v>
      </c>
      <c r="G977">
        <v>3.1</v>
      </c>
      <c r="H977">
        <v>3920.8</v>
      </c>
      <c r="I977">
        <v>4236.6000000000004</v>
      </c>
      <c r="J977">
        <v>0</v>
      </c>
      <c r="K977">
        <f t="shared" si="30"/>
        <v>315.8</v>
      </c>
      <c r="L977">
        <f>K977+energy_grid_portfolio_dataset!H977</f>
        <v>4236.6000000000004</v>
      </c>
      <c r="M977">
        <f t="shared" si="31"/>
        <v>15</v>
      </c>
    </row>
    <row r="978" spans="1:13" x14ac:dyDescent="0.3">
      <c r="A978" s="1">
        <v>46278.666666666664</v>
      </c>
      <c r="B978" t="s">
        <v>12</v>
      </c>
      <c r="C978">
        <v>23.9</v>
      </c>
      <c r="D978">
        <v>99.8</v>
      </c>
      <c r="E978">
        <v>1.8</v>
      </c>
      <c r="F978">
        <v>251.8</v>
      </c>
      <c r="G978">
        <v>0.5</v>
      </c>
      <c r="H978">
        <v>4000</v>
      </c>
      <c r="I978">
        <v>4562.2</v>
      </c>
      <c r="J978">
        <v>1</v>
      </c>
      <c r="K978">
        <f t="shared" si="30"/>
        <v>252.3</v>
      </c>
      <c r="L978">
        <f>K978+energy_grid_portfolio_dataset!H978</f>
        <v>4252.3</v>
      </c>
      <c r="M978">
        <f t="shared" si="31"/>
        <v>16</v>
      </c>
    </row>
    <row r="979" spans="1:13" x14ac:dyDescent="0.3">
      <c r="A979" s="1">
        <v>46278.708333333336</v>
      </c>
      <c r="B979" t="s">
        <v>12</v>
      </c>
      <c r="C979">
        <v>21.8</v>
      </c>
      <c r="D979">
        <v>17.5</v>
      </c>
      <c r="E979">
        <v>6.7</v>
      </c>
      <c r="F979">
        <v>746</v>
      </c>
      <c r="G979">
        <v>28.3</v>
      </c>
      <c r="H979">
        <v>3633.6</v>
      </c>
      <c r="I979">
        <v>4407.8999999999996</v>
      </c>
      <c r="J979">
        <v>0</v>
      </c>
      <c r="K979">
        <f t="shared" si="30"/>
        <v>774.3</v>
      </c>
      <c r="L979">
        <f>K979+energy_grid_portfolio_dataset!H979</f>
        <v>4407.8999999999996</v>
      </c>
      <c r="M979">
        <f t="shared" si="31"/>
        <v>17</v>
      </c>
    </row>
    <row r="980" spans="1:13" x14ac:dyDescent="0.3">
      <c r="A980" s="1">
        <v>46278.75</v>
      </c>
      <c r="B980" t="s">
        <v>12</v>
      </c>
      <c r="C980">
        <v>20.3</v>
      </c>
      <c r="D980">
        <v>15</v>
      </c>
      <c r="E980">
        <v>5.7</v>
      </c>
      <c r="F980">
        <v>391.5</v>
      </c>
      <c r="G980">
        <v>18</v>
      </c>
      <c r="H980">
        <v>4000</v>
      </c>
      <c r="I980">
        <v>6871.4</v>
      </c>
      <c r="J980">
        <v>1</v>
      </c>
      <c r="K980">
        <f t="shared" si="30"/>
        <v>409.5</v>
      </c>
      <c r="L980">
        <f>K980+energy_grid_portfolio_dataset!H980</f>
        <v>4409.5</v>
      </c>
      <c r="M980">
        <f t="shared" si="31"/>
        <v>18</v>
      </c>
    </row>
    <row r="981" spans="1:13" x14ac:dyDescent="0.3">
      <c r="A981" s="1">
        <v>46278.791666666664</v>
      </c>
      <c r="B981" t="s">
        <v>12</v>
      </c>
      <c r="C981">
        <v>21.8</v>
      </c>
      <c r="D981">
        <v>88.5</v>
      </c>
      <c r="E981">
        <v>5.8</v>
      </c>
      <c r="F981">
        <v>0</v>
      </c>
      <c r="G981">
        <v>18.899999999999999</v>
      </c>
      <c r="H981">
        <v>4000</v>
      </c>
      <c r="I981">
        <v>6706.9</v>
      </c>
      <c r="J981">
        <v>1</v>
      </c>
      <c r="K981">
        <f t="shared" si="30"/>
        <v>18.899999999999999</v>
      </c>
      <c r="L981">
        <f>K981+energy_grid_portfolio_dataset!H981</f>
        <v>4018.9</v>
      </c>
      <c r="M981">
        <f t="shared" si="31"/>
        <v>19</v>
      </c>
    </row>
    <row r="982" spans="1:13" x14ac:dyDescent="0.3">
      <c r="A982" s="1">
        <v>46278.833333333336</v>
      </c>
      <c r="B982" t="s">
        <v>12</v>
      </c>
      <c r="C982">
        <v>19.899999999999999</v>
      </c>
      <c r="D982">
        <v>49.6</v>
      </c>
      <c r="E982">
        <v>1.2</v>
      </c>
      <c r="F982">
        <v>0</v>
      </c>
      <c r="G982">
        <v>0.2</v>
      </c>
      <c r="H982">
        <v>4000</v>
      </c>
      <c r="I982">
        <v>6998.3</v>
      </c>
      <c r="J982">
        <v>1</v>
      </c>
      <c r="K982">
        <f t="shared" si="30"/>
        <v>0.2</v>
      </c>
      <c r="L982">
        <f>K982+energy_grid_portfolio_dataset!H982</f>
        <v>4000.2</v>
      </c>
      <c r="M982">
        <f t="shared" si="31"/>
        <v>20</v>
      </c>
    </row>
    <row r="983" spans="1:13" x14ac:dyDescent="0.3">
      <c r="A983" s="1">
        <v>46278.875</v>
      </c>
      <c r="B983" t="s">
        <v>12</v>
      </c>
      <c r="C983">
        <v>17.8</v>
      </c>
      <c r="D983">
        <v>88.8</v>
      </c>
      <c r="E983">
        <v>7.4</v>
      </c>
      <c r="F983">
        <v>0</v>
      </c>
      <c r="G983">
        <v>38.700000000000003</v>
      </c>
      <c r="H983">
        <v>4000</v>
      </c>
      <c r="I983">
        <v>6680.6</v>
      </c>
      <c r="J983">
        <v>1</v>
      </c>
      <c r="K983">
        <f t="shared" si="30"/>
        <v>38.700000000000003</v>
      </c>
      <c r="L983">
        <f>K983+energy_grid_portfolio_dataset!H983</f>
        <v>4038.7</v>
      </c>
      <c r="M983">
        <f t="shared" si="31"/>
        <v>21</v>
      </c>
    </row>
    <row r="984" spans="1:13" x14ac:dyDescent="0.3">
      <c r="A984" s="1">
        <v>46278.916666666664</v>
      </c>
      <c r="B984" t="s">
        <v>12</v>
      </c>
      <c r="C984">
        <v>18</v>
      </c>
      <c r="D984">
        <v>80.099999999999994</v>
      </c>
      <c r="E984">
        <v>10.6</v>
      </c>
      <c r="F984">
        <v>0</v>
      </c>
      <c r="G984">
        <v>113.8</v>
      </c>
      <c r="H984">
        <v>4000</v>
      </c>
      <c r="I984">
        <v>4143.1000000000004</v>
      </c>
      <c r="J984">
        <v>1</v>
      </c>
      <c r="K984">
        <f t="shared" si="30"/>
        <v>113.8</v>
      </c>
      <c r="L984">
        <f>K984+energy_grid_portfolio_dataset!H984</f>
        <v>4113.8</v>
      </c>
      <c r="M984">
        <f t="shared" si="31"/>
        <v>22</v>
      </c>
    </row>
    <row r="985" spans="1:13" x14ac:dyDescent="0.3">
      <c r="A985" s="1">
        <v>46278.958333333336</v>
      </c>
      <c r="B985" t="s">
        <v>12</v>
      </c>
      <c r="C985">
        <v>18.7</v>
      </c>
      <c r="D985">
        <v>61.8</v>
      </c>
      <c r="E985">
        <v>7.2</v>
      </c>
      <c r="F985">
        <v>0</v>
      </c>
      <c r="G985">
        <v>35.299999999999997</v>
      </c>
      <c r="H985">
        <v>4000</v>
      </c>
      <c r="I985">
        <v>4453.1000000000004</v>
      </c>
      <c r="J985">
        <v>1</v>
      </c>
      <c r="K985">
        <f t="shared" si="30"/>
        <v>35.299999999999997</v>
      </c>
      <c r="L985">
        <f>K985+energy_grid_portfolio_dataset!H985</f>
        <v>4035.3</v>
      </c>
      <c r="M985">
        <f t="shared" si="31"/>
        <v>23</v>
      </c>
    </row>
    <row r="986" spans="1:13" x14ac:dyDescent="0.3">
      <c r="A986" s="1">
        <v>46279</v>
      </c>
      <c r="B986" t="s">
        <v>12</v>
      </c>
      <c r="C986">
        <v>14.3</v>
      </c>
      <c r="D986">
        <v>49.5</v>
      </c>
      <c r="E986">
        <v>3.7</v>
      </c>
      <c r="F986">
        <v>0</v>
      </c>
      <c r="G986">
        <v>4.8</v>
      </c>
      <c r="H986">
        <v>4000</v>
      </c>
      <c r="I986">
        <v>5137.3999999999996</v>
      </c>
      <c r="J986">
        <v>1</v>
      </c>
      <c r="K986">
        <f t="shared" si="30"/>
        <v>4.8</v>
      </c>
      <c r="L986">
        <f>K986+energy_grid_portfolio_dataset!H986</f>
        <v>4004.8</v>
      </c>
      <c r="M986">
        <f t="shared" si="31"/>
        <v>0</v>
      </c>
    </row>
    <row r="987" spans="1:13" x14ac:dyDescent="0.3">
      <c r="A987" s="1">
        <v>46279.041666666664</v>
      </c>
      <c r="B987" t="s">
        <v>12</v>
      </c>
      <c r="C987">
        <v>19.600000000000001</v>
      </c>
      <c r="D987">
        <v>42.1</v>
      </c>
      <c r="E987">
        <v>0</v>
      </c>
      <c r="F987">
        <v>0</v>
      </c>
      <c r="G987">
        <v>0</v>
      </c>
      <c r="H987">
        <v>4000</v>
      </c>
      <c r="I987">
        <v>5006.8999999999996</v>
      </c>
      <c r="J987">
        <v>1</v>
      </c>
      <c r="K987">
        <f t="shared" si="30"/>
        <v>0</v>
      </c>
      <c r="L987">
        <f>K987+energy_grid_portfolio_dataset!H987</f>
        <v>4000</v>
      </c>
      <c r="M987">
        <f t="shared" si="31"/>
        <v>1</v>
      </c>
    </row>
    <row r="988" spans="1:13" x14ac:dyDescent="0.3">
      <c r="A988" s="1">
        <v>46279.083333333336</v>
      </c>
      <c r="B988" t="s">
        <v>12</v>
      </c>
      <c r="C988">
        <v>19.5</v>
      </c>
      <c r="D988">
        <v>76.099999999999994</v>
      </c>
      <c r="E988">
        <v>7.3</v>
      </c>
      <c r="F988">
        <v>0</v>
      </c>
      <c r="G988">
        <v>37.1</v>
      </c>
      <c r="H988">
        <v>4000</v>
      </c>
      <c r="I988">
        <v>4888.2</v>
      </c>
      <c r="J988">
        <v>1</v>
      </c>
      <c r="K988">
        <f t="shared" si="30"/>
        <v>37.1</v>
      </c>
      <c r="L988">
        <f>K988+energy_grid_portfolio_dataset!H988</f>
        <v>4037.1</v>
      </c>
      <c r="M988">
        <f t="shared" si="31"/>
        <v>2</v>
      </c>
    </row>
    <row r="989" spans="1:13" x14ac:dyDescent="0.3">
      <c r="A989" s="1">
        <v>46279.125</v>
      </c>
      <c r="B989" t="s">
        <v>12</v>
      </c>
      <c r="C989">
        <v>15.9</v>
      </c>
      <c r="D989">
        <v>75.5</v>
      </c>
      <c r="E989">
        <v>3.5</v>
      </c>
      <c r="F989">
        <v>0</v>
      </c>
      <c r="G989">
        <v>4.0999999999999996</v>
      </c>
      <c r="H989">
        <v>4000</v>
      </c>
      <c r="I989">
        <v>4908</v>
      </c>
      <c r="J989">
        <v>1</v>
      </c>
      <c r="K989">
        <f t="shared" si="30"/>
        <v>4.0999999999999996</v>
      </c>
      <c r="L989">
        <f>K989+energy_grid_portfolio_dataset!H989</f>
        <v>4004.1</v>
      </c>
      <c r="M989">
        <f t="shared" si="31"/>
        <v>3</v>
      </c>
    </row>
    <row r="990" spans="1:13" x14ac:dyDescent="0.3">
      <c r="A990" s="1">
        <v>46279.166666666664</v>
      </c>
      <c r="B990" t="s">
        <v>12</v>
      </c>
      <c r="C990">
        <v>20.6</v>
      </c>
      <c r="D990">
        <v>42.6</v>
      </c>
      <c r="E990">
        <v>4.2</v>
      </c>
      <c r="F990">
        <v>0</v>
      </c>
      <c r="G990">
        <v>6.9</v>
      </c>
      <c r="H990">
        <v>4000</v>
      </c>
      <c r="I990">
        <v>5277.6</v>
      </c>
      <c r="J990">
        <v>1</v>
      </c>
      <c r="K990">
        <f t="shared" si="30"/>
        <v>6.9</v>
      </c>
      <c r="L990">
        <f>K990+energy_grid_portfolio_dataset!H990</f>
        <v>4006.9</v>
      </c>
      <c r="M990">
        <f t="shared" si="31"/>
        <v>4</v>
      </c>
    </row>
    <row r="991" spans="1:13" x14ac:dyDescent="0.3">
      <c r="A991" s="1">
        <v>46279.208333333336</v>
      </c>
      <c r="B991" t="s">
        <v>12</v>
      </c>
      <c r="C991">
        <v>20.2</v>
      </c>
      <c r="D991">
        <v>93.5</v>
      </c>
      <c r="E991">
        <v>6.6</v>
      </c>
      <c r="F991">
        <v>0</v>
      </c>
      <c r="G991">
        <v>27.1</v>
      </c>
      <c r="H991">
        <v>4000</v>
      </c>
      <c r="I991">
        <v>4936.1000000000004</v>
      </c>
      <c r="J991">
        <v>1</v>
      </c>
      <c r="K991">
        <f t="shared" si="30"/>
        <v>27.1</v>
      </c>
      <c r="L991">
        <f>K991+energy_grid_portfolio_dataset!H991</f>
        <v>4027.1</v>
      </c>
      <c r="M991">
        <f t="shared" si="31"/>
        <v>5</v>
      </c>
    </row>
    <row r="992" spans="1:13" x14ac:dyDescent="0.3">
      <c r="A992" s="1">
        <v>46279.25</v>
      </c>
      <c r="B992" t="s">
        <v>12</v>
      </c>
      <c r="C992">
        <v>25.8</v>
      </c>
      <c r="D992">
        <v>61.5</v>
      </c>
      <c r="E992">
        <v>8.3000000000000007</v>
      </c>
      <c r="F992">
        <v>226.2</v>
      </c>
      <c r="G992">
        <v>55</v>
      </c>
      <c r="H992">
        <v>4000</v>
      </c>
      <c r="I992">
        <v>4840.3</v>
      </c>
      <c r="J992">
        <v>1</v>
      </c>
      <c r="K992">
        <f t="shared" si="30"/>
        <v>281.2</v>
      </c>
      <c r="L992">
        <f>K992+energy_grid_portfolio_dataset!H992</f>
        <v>4281.2</v>
      </c>
      <c r="M992">
        <f t="shared" si="31"/>
        <v>6</v>
      </c>
    </row>
    <row r="993" spans="1:13" x14ac:dyDescent="0.3">
      <c r="A993" s="1">
        <v>46279.291666666664</v>
      </c>
      <c r="B993" t="s">
        <v>12</v>
      </c>
      <c r="C993">
        <v>24</v>
      </c>
      <c r="D993">
        <v>69.3</v>
      </c>
      <c r="E993">
        <v>0.3</v>
      </c>
      <c r="F993">
        <v>386.4</v>
      </c>
      <c r="G993">
        <v>0</v>
      </c>
      <c r="H993">
        <v>4000</v>
      </c>
      <c r="I993">
        <v>4858.8</v>
      </c>
      <c r="J993">
        <v>1</v>
      </c>
      <c r="K993">
        <f t="shared" si="30"/>
        <v>386.4</v>
      </c>
      <c r="L993">
        <f>K993+energy_grid_portfolio_dataset!H993</f>
        <v>4386.3999999999996</v>
      </c>
      <c r="M993">
        <f t="shared" si="31"/>
        <v>7</v>
      </c>
    </row>
    <row r="994" spans="1:13" x14ac:dyDescent="0.3">
      <c r="A994" s="1">
        <v>46279.333333333336</v>
      </c>
      <c r="B994" t="s">
        <v>12</v>
      </c>
      <c r="C994">
        <v>27.1</v>
      </c>
      <c r="D994">
        <v>48.1</v>
      </c>
      <c r="E994">
        <v>2.7</v>
      </c>
      <c r="F994">
        <v>767.3</v>
      </c>
      <c r="G994">
        <v>1.9</v>
      </c>
      <c r="H994">
        <v>4000</v>
      </c>
      <c r="I994">
        <v>5252.3</v>
      </c>
      <c r="J994">
        <v>1</v>
      </c>
      <c r="K994">
        <f t="shared" si="30"/>
        <v>769.19999999999993</v>
      </c>
      <c r="L994">
        <f>K994+energy_grid_portfolio_dataset!H994</f>
        <v>4769.2</v>
      </c>
      <c r="M994">
        <f t="shared" si="31"/>
        <v>8</v>
      </c>
    </row>
    <row r="995" spans="1:13" x14ac:dyDescent="0.3">
      <c r="A995" s="1">
        <v>46279.375</v>
      </c>
      <c r="B995" t="s">
        <v>12</v>
      </c>
      <c r="C995">
        <v>25.7</v>
      </c>
      <c r="D995">
        <v>70.7</v>
      </c>
      <c r="E995">
        <v>6.6</v>
      </c>
      <c r="F995">
        <v>679.6</v>
      </c>
      <c r="G995">
        <v>27.3</v>
      </c>
      <c r="H995">
        <v>4000</v>
      </c>
      <c r="I995">
        <v>5002.1000000000004</v>
      </c>
      <c r="J995">
        <v>1</v>
      </c>
      <c r="K995">
        <f t="shared" si="30"/>
        <v>706.9</v>
      </c>
      <c r="L995">
        <f>K995+energy_grid_portfolio_dataset!H995</f>
        <v>4706.8999999999996</v>
      </c>
      <c r="M995">
        <f t="shared" si="31"/>
        <v>9</v>
      </c>
    </row>
    <row r="996" spans="1:13" x14ac:dyDescent="0.3">
      <c r="A996" s="1">
        <v>46279.416666666664</v>
      </c>
      <c r="B996" t="s">
        <v>12</v>
      </c>
      <c r="C996">
        <v>29.2</v>
      </c>
      <c r="D996">
        <v>77</v>
      </c>
      <c r="E996">
        <v>2.9</v>
      </c>
      <c r="F996">
        <v>691.3</v>
      </c>
      <c r="G996">
        <v>2.2000000000000002</v>
      </c>
      <c r="H996">
        <v>4000</v>
      </c>
      <c r="I996">
        <v>7225.9</v>
      </c>
      <c r="J996">
        <v>1</v>
      </c>
      <c r="K996">
        <f t="shared" si="30"/>
        <v>693.5</v>
      </c>
      <c r="L996">
        <f>K996+energy_grid_portfolio_dataset!H996</f>
        <v>4693.5</v>
      </c>
      <c r="M996">
        <f t="shared" si="31"/>
        <v>10</v>
      </c>
    </row>
    <row r="997" spans="1:13" x14ac:dyDescent="0.3">
      <c r="A997" s="1">
        <v>46279.458333333336</v>
      </c>
      <c r="B997" t="s">
        <v>12</v>
      </c>
      <c r="C997">
        <v>30.1</v>
      </c>
      <c r="D997">
        <v>100</v>
      </c>
      <c r="E997">
        <v>2.6</v>
      </c>
      <c r="F997">
        <v>390</v>
      </c>
      <c r="G997">
        <v>1.7</v>
      </c>
      <c r="H997">
        <v>4000</v>
      </c>
      <c r="I997">
        <v>7354.4</v>
      </c>
      <c r="J997">
        <v>1</v>
      </c>
      <c r="K997">
        <f t="shared" si="30"/>
        <v>391.7</v>
      </c>
      <c r="L997">
        <f>K997+energy_grid_portfolio_dataset!H997</f>
        <v>4391.7</v>
      </c>
      <c r="M997">
        <f t="shared" si="31"/>
        <v>11</v>
      </c>
    </row>
    <row r="998" spans="1:13" x14ac:dyDescent="0.3">
      <c r="A998" s="1">
        <v>46279.5</v>
      </c>
      <c r="B998" t="s">
        <v>12</v>
      </c>
      <c r="C998">
        <v>22.8</v>
      </c>
      <c r="D998">
        <v>76.599999999999994</v>
      </c>
      <c r="E998">
        <v>4.4000000000000004</v>
      </c>
      <c r="F998">
        <v>774.5</v>
      </c>
      <c r="G998">
        <v>7.9</v>
      </c>
      <c r="H998">
        <v>4000</v>
      </c>
      <c r="I998">
        <v>7186.4</v>
      </c>
      <c r="J998">
        <v>1</v>
      </c>
      <c r="K998">
        <f t="shared" si="30"/>
        <v>782.4</v>
      </c>
      <c r="L998">
        <f>K998+energy_grid_portfolio_dataset!H998</f>
        <v>4782.3999999999996</v>
      </c>
      <c r="M998">
        <f t="shared" si="31"/>
        <v>12</v>
      </c>
    </row>
    <row r="999" spans="1:13" x14ac:dyDescent="0.3">
      <c r="A999" s="1">
        <v>46279.541666666664</v>
      </c>
      <c r="B999" t="s">
        <v>12</v>
      </c>
      <c r="C999">
        <v>25.3</v>
      </c>
      <c r="D999">
        <v>9.3000000000000007</v>
      </c>
      <c r="E999">
        <v>4.5999999999999996</v>
      </c>
      <c r="F999">
        <v>1804.4</v>
      </c>
      <c r="G999">
        <v>9.3000000000000007</v>
      </c>
      <c r="H999">
        <v>4000</v>
      </c>
      <c r="I999">
        <v>7438.5</v>
      </c>
      <c r="J999">
        <v>1</v>
      </c>
      <c r="K999">
        <f t="shared" si="30"/>
        <v>1813.7</v>
      </c>
      <c r="L999">
        <f>K999+energy_grid_portfolio_dataset!H999</f>
        <v>5813.7</v>
      </c>
      <c r="M999">
        <f t="shared" si="31"/>
        <v>13</v>
      </c>
    </row>
    <row r="1000" spans="1:13" x14ac:dyDescent="0.3">
      <c r="A1000" s="1">
        <v>46279.583333333336</v>
      </c>
      <c r="B1000" t="s">
        <v>12</v>
      </c>
      <c r="C1000">
        <v>27.8</v>
      </c>
      <c r="D1000">
        <v>0</v>
      </c>
      <c r="E1000">
        <v>6.1</v>
      </c>
      <c r="F1000">
        <v>1801.9</v>
      </c>
      <c r="G1000">
        <v>21.6</v>
      </c>
      <c r="H1000">
        <v>4000</v>
      </c>
      <c r="I1000">
        <v>6853.7</v>
      </c>
      <c r="J1000">
        <v>1</v>
      </c>
      <c r="K1000">
        <f t="shared" si="30"/>
        <v>1823.5</v>
      </c>
      <c r="L1000">
        <f>K1000+energy_grid_portfolio_dataset!H1000</f>
        <v>5823.5</v>
      </c>
      <c r="M1000">
        <f t="shared" si="31"/>
        <v>14</v>
      </c>
    </row>
    <row r="1001" spans="1:13" x14ac:dyDescent="0.3">
      <c r="A1001" s="1">
        <v>46279.625</v>
      </c>
      <c r="B1001" t="s">
        <v>12</v>
      </c>
      <c r="C1001">
        <v>24.9</v>
      </c>
      <c r="D1001">
        <v>100</v>
      </c>
      <c r="E1001">
        <v>7.1</v>
      </c>
      <c r="F1001">
        <v>312.7</v>
      </c>
      <c r="G1001">
        <v>34.1</v>
      </c>
      <c r="H1001">
        <v>4000</v>
      </c>
      <c r="I1001">
        <v>4638.3</v>
      </c>
      <c r="J1001">
        <v>1</v>
      </c>
      <c r="K1001">
        <f t="shared" si="30"/>
        <v>346.8</v>
      </c>
      <c r="L1001">
        <f>K1001+energy_grid_portfolio_dataset!H1001</f>
        <v>4346.8</v>
      </c>
      <c r="M1001">
        <f t="shared" si="31"/>
        <v>15</v>
      </c>
    </row>
    <row r="1002" spans="1:13" x14ac:dyDescent="0.3">
      <c r="A1002" s="1">
        <v>46279.666666666664</v>
      </c>
      <c r="B1002" t="s">
        <v>12</v>
      </c>
      <c r="C1002">
        <v>24.4</v>
      </c>
      <c r="D1002">
        <v>60.5</v>
      </c>
      <c r="E1002">
        <v>7.4</v>
      </c>
      <c r="F1002">
        <v>643</v>
      </c>
      <c r="G1002">
        <v>39.200000000000003</v>
      </c>
      <c r="H1002">
        <v>4000</v>
      </c>
      <c r="I1002">
        <v>4820.5</v>
      </c>
      <c r="J1002">
        <v>1</v>
      </c>
      <c r="K1002">
        <f t="shared" si="30"/>
        <v>682.2</v>
      </c>
      <c r="L1002">
        <f>K1002+energy_grid_portfolio_dataset!H1002</f>
        <v>4682.2</v>
      </c>
      <c r="M1002">
        <f t="shared" si="31"/>
        <v>16</v>
      </c>
    </row>
    <row r="1003" spans="1:13" x14ac:dyDescent="0.3">
      <c r="A1003" s="1">
        <v>46279.708333333336</v>
      </c>
      <c r="B1003" t="s">
        <v>12</v>
      </c>
      <c r="C1003">
        <v>24.5</v>
      </c>
      <c r="D1003">
        <v>0</v>
      </c>
      <c r="E1003">
        <v>4.0999999999999996</v>
      </c>
      <c r="F1003">
        <v>867.8</v>
      </c>
      <c r="G1003">
        <v>6.7</v>
      </c>
      <c r="H1003">
        <v>3870.5</v>
      </c>
      <c r="I1003">
        <v>4745</v>
      </c>
      <c r="J1003">
        <v>0</v>
      </c>
      <c r="K1003">
        <f t="shared" si="30"/>
        <v>874.5</v>
      </c>
      <c r="L1003">
        <f>K1003+energy_grid_portfolio_dataset!H1003</f>
        <v>4745</v>
      </c>
      <c r="M1003">
        <f t="shared" si="31"/>
        <v>17</v>
      </c>
    </row>
    <row r="1004" spans="1:13" x14ac:dyDescent="0.3">
      <c r="A1004" s="1">
        <v>46279.75</v>
      </c>
      <c r="B1004" t="s">
        <v>12</v>
      </c>
      <c r="C1004">
        <v>23.3</v>
      </c>
      <c r="D1004">
        <v>60.7</v>
      </c>
      <c r="E1004">
        <v>1.8</v>
      </c>
      <c r="F1004">
        <v>229</v>
      </c>
      <c r="G1004">
        <v>0.5</v>
      </c>
      <c r="H1004">
        <v>4000</v>
      </c>
      <c r="I1004">
        <v>7626.8</v>
      </c>
      <c r="J1004">
        <v>1</v>
      </c>
      <c r="K1004">
        <f t="shared" si="30"/>
        <v>229.5</v>
      </c>
      <c r="L1004">
        <f>K1004+energy_grid_portfolio_dataset!H1004</f>
        <v>4229.5</v>
      </c>
      <c r="M1004">
        <f t="shared" si="31"/>
        <v>18</v>
      </c>
    </row>
    <row r="1005" spans="1:13" x14ac:dyDescent="0.3">
      <c r="A1005" s="1">
        <v>46279.791666666664</v>
      </c>
      <c r="B1005" t="s">
        <v>12</v>
      </c>
      <c r="C1005">
        <v>21.1</v>
      </c>
      <c r="D1005">
        <v>57.6</v>
      </c>
      <c r="E1005">
        <v>4.3</v>
      </c>
      <c r="F1005">
        <v>0</v>
      </c>
      <c r="G1005">
        <v>7.4</v>
      </c>
      <c r="H1005">
        <v>4000</v>
      </c>
      <c r="I1005">
        <v>7552.3</v>
      </c>
      <c r="J1005">
        <v>1</v>
      </c>
      <c r="K1005">
        <f t="shared" si="30"/>
        <v>7.4</v>
      </c>
      <c r="L1005">
        <f>K1005+energy_grid_portfolio_dataset!H1005</f>
        <v>4007.4</v>
      </c>
      <c r="M1005">
        <f t="shared" si="31"/>
        <v>19</v>
      </c>
    </row>
    <row r="1006" spans="1:13" x14ac:dyDescent="0.3">
      <c r="A1006" s="1">
        <v>46279.833333333336</v>
      </c>
      <c r="B1006" t="s">
        <v>12</v>
      </c>
      <c r="C1006">
        <v>20.9</v>
      </c>
      <c r="D1006">
        <v>44.5</v>
      </c>
      <c r="E1006">
        <v>5.7</v>
      </c>
      <c r="F1006">
        <v>0</v>
      </c>
      <c r="G1006">
        <v>18.100000000000001</v>
      </c>
      <c r="H1006">
        <v>4000</v>
      </c>
      <c r="I1006">
        <v>7627.9</v>
      </c>
      <c r="J1006">
        <v>1</v>
      </c>
      <c r="K1006">
        <f t="shared" si="30"/>
        <v>18.100000000000001</v>
      </c>
      <c r="L1006">
        <f>K1006+energy_grid_portfolio_dataset!H1006</f>
        <v>4018.1</v>
      </c>
      <c r="M1006">
        <f t="shared" si="31"/>
        <v>20</v>
      </c>
    </row>
    <row r="1007" spans="1:13" x14ac:dyDescent="0.3">
      <c r="A1007" s="1">
        <v>46279.875</v>
      </c>
      <c r="B1007" t="s">
        <v>12</v>
      </c>
      <c r="C1007">
        <v>15.6</v>
      </c>
      <c r="D1007">
        <v>4.4000000000000004</v>
      </c>
      <c r="E1007">
        <v>8.4</v>
      </c>
      <c r="F1007">
        <v>0</v>
      </c>
      <c r="G1007">
        <v>55.9</v>
      </c>
      <c r="H1007">
        <v>4000</v>
      </c>
      <c r="I1007">
        <v>8025.5</v>
      </c>
      <c r="J1007">
        <v>1</v>
      </c>
      <c r="K1007">
        <f t="shared" si="30"/>
        <v>55.9</v>
      </c>
      <c r="L1007">
        <f>K1007+energy_grid_portfolio_dataset!H1007</f>
        <v>4055.9</v>
      </c>
      <c r="M1007">
        <f t="shared" si="31"/>
        <v>21</v>
      </c>
    </row>
    <row r="1008" spans="1:13" x14ac:dyDescent="0.3">
      <c r="A1008" s="1">
        <v>46279.916666666664</v>
      </c>
      <c r="B1008" t="s">
        <v>12</v>
      </c>
      <c r="C1008">
        <v>17</v>
      </c>
      <c r="D1008">
        <v>36.6</v>
      </c>
      <c r="E1008">
        <v>5.2</v>
      </c>
      <c r="F1008">
        <v>0</v>
      </c>
      <c r="G1008">
        <v>13.7</v>
      </c>
      <c r="H1008">
        <v>4000</v>
      </c>
      <c r="I1008">
        <v>4848.2</v>
      </c>
      <c r="J1008">
        <v>1</v>
      </c>
      <c r="K1008">
        <f t="shared" si="30"/>
        <v>13.7</v>
      </c>
      <c r="L1008">
        <f>K1008+energy_grid_portfolio_dataset!H1008</f>
        <v>4013.7</v>
      </c>
      <c r="M1008">
        <f t="shared" si="31"/>
        <v>22</v>
      </c>
    </row>
    <row r="1009" spans="1:13" x14ac:dyDescent="0.3">
      <c r="A1009" s="1">
        <v>46279.958333333336</v>
      </c>
      <c r="B1009" t="s">
        <v>12</v>
      </c>
      <c r="C1009">
        <v>18.8</v>
      </c>
      <c r="D1009">
        <v>85.9</v>
      </c>
      <c r="E1009">
        <v>1.8</v>
      </c>
      <c r="F1009">
        <v>0</v>
      </c>
      <c r="G1009">
        <v>0.5</v>
      </c>
      <c r="H1009">
        <v>4000</v>
      </c>
      <c r="I1009">
        <v>5189.8</v>
      </c>
      <c r="J1009">
        <v>1</v>
      </c>
      <c r="K1009">
        <f t="shared" si="30"/>
        <v>0.5</v>
      </c>
      <c r="L1009">
        <f>K1009+energy_grid_portfolio_dataset!H1009</f>
        <v>4000.5</v>
      </c>
      <c r="M1009">
        <f t="shared" si="31"/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0D88-C6E2-4432-B8E2-B14C9D37E59A}">
  <dimension ref="A3:C7"/>
  <sheetViews>
    <sheetView workbookViewId="0">
      <selection activeCell="G29" sqref="G29"/>
    </sheetView>
  </sheetViews>
  <sheetFormatPr defaultRowHeight="14.4" x14ac:dyDescent="0.3"/>
  <cols>
    <col min="1" max="1" width="12.5546875" bestFit="1" customWidth="1"/>
    <col min="2" max="2" width="15.6640625" bestFit="1" customWidth="1"/>
    <col min="3" max="3" width="15.77734375" bestFit="1" customWidth="1"/>
  </cols>
  <sheetData>
    <row r="3" spans="1:3" x14ac:dyDescent="0.3">
      <c r="A3" s="9" t="s">
        <v>21</v>
      </c>
      <c r="B3" t="s">
        <v>23</v>
      </c>
      <c r="C3" t="s">
        <v>24</v>
      </c>
    </row>
    <row r="4" spans="1:3" x14ac:dyDescent="0.3">
      <c r="A4" s="10" t="s">
        <v>12</v>
      </c>
      <c r="B4">
        <v>129285.79999999996</v>
      </c>
      <c r="C4">
        <v>12693.80000000001</v>
      </c>
    </row>
    <row r="5" spans="1:3" x14ac:dyDescent="0.3">
      <c r="A5" s="10" t="s">
        <v>10</v>
      </c>
      <c r="B5">
        <v>306956.90000000031</v>
      </c>
      <c r="C5">
        <v>2545.9999999999991</v>
      </c>
    </row>
    <row r="6" spans="1:3" x14ac:dyDescent="0.3">
      <c r="A6" s="10" t="s">
        <v>11</v>
      </c>
      <c r="B6">
        <v>138696.49999999994</v>
      </c>
      <c r="C6">
        <v>136020.10000000009</v>
      </c>
    </row>
    <row r="7" spans="1:3" x14ac:dyDescent="0.3">
      <c r="A7" s="10" t="s">
        <v>22</v>
      </c>
      <c r="B7">
        <v>574939.20000000019</v>
      </c>
      <c r="C7">
        <v>151259.90000000011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9006-7264-4184-8739-588294C6A37B}">
  <dimension ref="A5:G36"/>
  <sheetViews>
    <sheetView topLeftCell="A13" workbookViewId="0">
      <selection activeCell="B33" sqref="B33"/>
    </sheetView>
  </sheetViews>
  <sheetFormatPr defaultRowHeight="14.4" x14ac:dyDescent="0.3"/>
  <cols>
    <col min="2" max="2" width="147.88671875" bestFit="1" customWidth="1"/>
  </cols>
  <sheetData>
    <row r="5" spans="2:7" x14ac:dyDescent="0.3">
      <c r="B5" t="s">
        <v>37</v>
      </c>
    </row>
    <row r="6" spans="2:7" x14ac:dyDescent="0.3">
      <c r="B6" s="2" t="s">
        <v>17</v>
      </c>
    </row>
    <row r="7" spans="2:7" x14ac:dyDescent="0.3">
      <c r="B7" s="7">
        <f>SUM(energy_grid_portfolio_dataset!J:J)</f>
        <v>789</v>
      </c>
    </row>
    <row r="8" spans="2:7" x14ac:dyDescent="0.3">
      <c r="B8" s="2" t="s">
        <v>18</v>
      </c>
    </row>
    <row r="9" spans="2:7" x14ac:dyDescent="0.3">
      <c r="B9" s="5">
        <f>COUNTIF(energy_grid_portfolio_dataset!J:J,1)/COUNTA(energy_grid_portfolio_dataset!A:A)</f>
        <v>0.78196233894945488</v>
      </c>
    </row>
    <row r="10" spans="2:7" x14ac:dyDescent="0.3">
      <c r="B10" s="2" t="s">
        <v>19</v>
      </c>
    </row>
    <row r="11" spans="2:7" x14ac:dyDescent="0.3">
      <c r="B11" s="5">
        <f>SUM(energy_grid_portfolio_dataset!K:K)/SUM(energy_grid_portfolio_dataset!I:I)</f>
        <v>0.12733658406161658</v>
      </c>
    </row>
    <row r="12" spans="2:7" x14ac:dyDescent="0.3">
      <c r="B12" s="2" t="s">
        <v>20</v>
      </c>
      <c r="G12" s="4"/>
    </row>
    <row r="13" spans="2:7" x14ac:dyDescent="0.3">
      <c r="B13" s="8">
        <f>AVERAGE(energy_grid_portfolio_dataset!H:H)/4000</f>
        <v>0.9673051339285712</v>
      </c>
      <c r="G13" s="4"/>
    </row>
    <row r="14" spans="2:7" x14ac:dyDescent="0.3">
      <c r="B14" s="6"/>
      <c r="G14" s="4"/>
    </row>
    <row r="15" spans="2:7" x14ac:dyDescent="0.3">
      <c r="G15" s="4"/>
    </row>
    <row r="17" spans="1:2" x14ac:dyDescent="0.3">
      <c r="B17" s="3" t="s">
        <v>30</v>
      </c>
    </row>
    <row r="18" spans="1:2" x14ac:dyDescent="0.3">
      <c r="A18">
        <v>1</v>
      </c>
      <c r="B18" s="2" t="s">
        <v>13</v>
      </c>
    </row>
    <row r="19" spans="1:2" x14ac:dyDescent="0.3">
      <c r="B19" s="4" t="s">
        <v>31</v>
      </c>
    </row>
    <row r="20" spans="1:2" ht="15.6" x14ac:dyDescent="0.3">
      <c r="B20" s="4" t="s">
        <v>33</v>
      </c>
    </row>
    <row r="21" spans="1:2" x14ac:dyDescent="0.3">
      <c r="B21" s="4" t="s">
        <v>32</v>
      </c>
    </row>
    <row r="22" spans="1:2" x14ac:dyDescent="0.3">
      <c r="B22" s="4" t="s">
        <v>14</v>
      </c>
    </row>
    <row r="23" spans="1:2" x14ac:dyDescent="0.3">
      <c r="A23">
        <v>2</v>
      </c>
      <c r="B23" s="2" t="s">
        <v>15</v>
      </c>
    </row>
    <row r="24" spans="1:2" x14ac:dyDescent="0.3">
      <c r="B24" s="4" t="s">
        <v>34</v>
      </c>
    </row>
    <row r="25" spans="1:2" ht="15.6" x14ac:dyDescent="0.3">
      <c r="B25" s="4" t="s">
        <v>35</v>
      </c>
    </row>
    <row r="26" spans="1:2" x14ac:dyDescent="0.3">
      <c r="B26" s="4" t="s">
        <v>36</v>
      </c>
    </row>
    <row r="27" spans="1:2" x14ac:dyDescent="0.3">
      <c r="B27" s="3"/>
    </row>
    <row r="28" spans="1:2" x14ac:dyDescent="0.3">
      <c r="B28" s="4"/>
    </row>
    <row r="29" spans="1:2" x14ac:dyDescent="0.3">
      <c r="B29" s="4"/>
    </row>
    <row r="31" spans="1:2" x14ac:dyDescent="0.3">
      <c r="B31" s="4" t="s">
        <v>38</v>
      </c>
    </row>
    <row r="32" spans="1:2" ht="26.4" x14ac:dyDescent="0.3">
      <c r="B32" s="11" t="s">
        <v>42</v>
      </c>
    </row>
    <row r="33" spans="2:2" x14ac:dyDescent="0.3">
      <c r="B33" s="11" t="s">
        <v>39</v>
      </c>
    </row>
    <row r="34" spans="2:2" ht="26.4" x14ac:dyDescent="0.3">
      <c r="B34" s="11" t="s">
        <v>40</v>
      </c>
    </row>
    <row r="35" spans="2:2" ht="26.4" x14ac:dyDescent="0.3">
      <c r="B35" s="11" t="s">
        <v>41</v>
      </c>
    </row>
    <row r="36" spans="2:2" x14ac:dyDescent="0.3">
      <c r="B36" s="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DF695-A490-4847-B91F-3CAF008A4732}">
  <dimension ref="A3:C27"/>
  <sheetViews>
    <sheetView topLeftCell="A2" workbookViewId="0">
      <selection activeCell="I26" sqref="I26"/>
    </sheetView>
  </sheetViews>
  <sheetFormatPr defaultRowHeight="14.4" x14ac:dyDescent="0.3"/>
  <cols>
    <col min="1" max="1" width="7.33203125" bestFit="1" customWidth="1"/>
    <col min="2" max="2" width="26.33203125" bestFit="1" customWidth="1"/>
    <col min="3" max="3" width="21" bestFit="1" customWidth="1"/>
  </cols>
  <sheetData>
    <row r="3" spans="1:3" x14ac:dyDescent="0.3">
      <c r="A3" s="9" t="s">
        <v>29</v>
      </c>
      <c r="B3" t="s">
        <v>26</v>
      </c>
      <c r="C3" t="s">
        <v>28</v>
      </c>
    </row>
    <row r="4" spans="1:3" x14ac:dyDescent="0.3">
      <c r="A4">
        <v>0</v>
      </c>
      <c r="B4">
        <v>4771.75238095238</v>
      </c>
      <c r="C4">
        <v>4088.6047619047617</v>
      </c>
    </row>
    <row r="5" spans="1:3" x14ac:dyDescent="0.3">
      <c r="A5">
        <v>1</v>
      </c>
      <c r="B5">
        <v>4772.4357142857143</v>
      </c>
      <c r="C5">
        <v>4101.5047619047618</v>
      </c>
    </row>
    <row r="6" spans="1:3" x14ac:dyDescent="0.3">
      <c r="A6">
        <v>2</v>
      </c>
      <c r="B6">
        <v>4764.8238095238094</v>
      </c>
      <c r="C6">
        <v>4136.9547619047617</v>
      </c>
    </row>
    <row r="7" spans="1:3" x14ac:dyDescent="0.3">
      <c r="A7">
        <v>3</v>
      </c>
      <c r="B7">
        <v>4764.4690476190472</v>
      </c>
      <c r="C7">
        <v>4103.7333333333336</v>
      </c>
    </row>
    <row r="8" spans="1:3" x14ac:dyDescent="0.3">
      <c r="A8">
        <v>4</v>
      </c>
      <c r="B8">
        <v>4776.8809523809514</v>
      </c>
      <c r="C8">
        <v>4111.5952380952376</v>
      </c>
    </row>
    <row r="9" spans="1:3" x14ac:dyDescent="0.3">
      <c r="A9">
        <v>5</v>
      </c>
      <c r="B9">
        <v>4792.2190476190481</v>
      </c>
      <c r="C9">
        <v>4090.0857142857144</v>
      </c>
    </row>
    <row r="10" spans="1:3" x14ac:dyDescent="0.3">
      <c r="A10">
        <v>6</v>
      </c>
      <c r="B10">
        <v>4747.695238095238</v>
      </c>
      <c r="C10">
        <v>4422.4547619047617</v>
      </c>
    </row>
    <row r="11" spans="1:3" x14ac:dyDescent="0.3">
      <c r="A11">
        <v>7</v>
      </c>
      <c r="B11">
        <v>4803.9238095238088</v>
      </c>
      <c r="C11">
        <v>4610.0404761904774</v>
      </c>
    </row>
    <row r="12" spans="1:3" x14ac:dyDescent="0.3">
      <c r="A12">
        <v>8</v>
      </c>
      <c r="B12">
        <v>4775.7595238095219</v>
      </c>
      <c r="C12">
        <v>4676.9761904761908</v>
      </c>
    </row>
    <row r="13" spans="1:3" x14ac:dyDescent="0.3">
      <c r="A13">
        <v>9</v>
      </c>
      <c r="B13">
        <v>4788.4595238095244</v>
      </c>
      <c r="C13">
        <v>4681.1428571428578</v>
      </c>
    </row>
    <row r="14" spans="1:3" x14ac:dyDescent="0.3">
      <c r="A14">
        <v>10</v>
      </c>
      <c r="B14">
        <v>6912.023809523811</v>
      </c>
      <c r="C14">
        <v>5486.4190476190479</v>
      </c>
    </row>
    <row r="15" spans="1:3" x14ac:dyDescent="0.3">
      <c r="A15">
        <v>11</v>
      </c>
      <c r="B15">
        <v>6921.3404761904785</v>
      </c>
      <c r="C15">
        <v>5543.911904761907</v>
      </c>
    </row>
    <row r="16" spans="1:3" x14ac:dyDescent="0.3">
      <c r="A16">
        <v>12</v>
      </c>
      <c r="B16">
        <v>6919.9357142857143</v>
      </c>
      <c r="C16">
        <v>5636.6738095238097</v>
      </c>
    </row>
    <row r="17" spans="1:3" x14ac:dyDescent="0.3">
      <c r="A17">
        <v>13</v>
      </c>
      <c r="B17">
        <v>6901.4785714285726</v>
      </c>
      <c r="C17">
        <v>5664.3190476190484</v>
      </c>
    </row>
    <row r="18" spans="1:3" x14ac:dyDescent="0.3">
      <c r="A18">
        <v>14</v>
      </c>
      <c r="B18">
        <v>6891.9928571428572</v>
      </c>
      <c r="C18">
        <v>5628.8666666666686</v>
      </c>
    </row>
    <row r="19" spans="1:3" x14ac:dyDescent="0.3">
      <c r="A19">
        <v>15</v>
      </c>
      <c r="B19">
        <v>4784.4476190476189</v>
      </c>
      <c r="C19">
        <v>4718.5333333333328</v>
      </c>
    </row>
    <row r="20" spans="1:3" x14ac:dyDescent="0.3">
      <c r="A20">
        <v>16</v>
      </c>
      <c r="B20">
        <v>4752.4714285714308</v>
      </c>
      <c r="C20">
        <v>4683.6047619047622</v>
      </c>
    </row>
    <row r="21" spans="1:3" x14ac:dyDescent="0.3">
      <c r="A21">
        <v>17</v>
      </c>
      <c r="B21">
        <v>4765.2119047619053</v>
      </c>
      <c r="C21">
        <v>4617.5714285714303</v>
      </c>
    </row>
    <row r="22" spans="1:3" x14ac:dyDescent="0.3">
      <c r="A22">
        <v>18</v>
      </c>
      <c r="B22">
        <v>7422.723809523809</v>
      </c>
      <c r="C22">
        <v>4486.3404761904749</v>
      </c>
    </row>
    <row r="23" spans="1:3" x14ac:dyDescent="0.3">
      <c r="A23">
        <v>19</v>
      </c>
      <c r="B23">
        <v>7417.2738095238083</v>
      </c>
      <c r="C23">
        <v>4137.9999999999991</v>
      </c>
    </row>
    <row r="24" spans="1:3" x14ac:dyDescent="0.3">
      <c r="A24">
        <v>20</v>
      </c>
      <c r="B24">
        <v>7410.0142857142855</v>
      </c>
      <c r="C24">
        <v>4131.692857142858</v>
      </c>
    </row>
    <row r="25" spans="1:3" x14ac:dyDescent="0.3">
      <c r="A25">
        <v>21</v>
      </c>
      <c r="B25">
        <v>7442.9761904761881</v>
      </c>
      <c r="C25">
        <v>4190.0452380952383</v>
      </c>
    </row>
    <row r="26" spans="1:3" x14ac:dyDescent="0.3">
      <c r="A26">
        <v>22</v>
      </c>
      <c r="B26">
        <v>4732.50238095238</v>
      </c>
      <c r="C26">
        <v>4101.9833333333345</v>
      </c>
    </row>
    <row r="27" spans="1:3" x14ac:dyDescent="0.3">
      <c r="A27">
        <v>23</v>
      </c>
      <c r="B27">
        <v>4752.6333333333314</v>
      </c>
      <c r="C27">
        <v>4100.6928571428562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C40DA-E4A1-437B-A515-7DE87D520641}">
  <dimension ref="A3:B6"/>
  <sheetViews>
    <sheetView workbookViewId="0">
      <selection activeCell="A3" sqref="A3"/>
    </sheetView>
  </sheetViews>
  <sheetFormatPr defaultRowHeight="14.4" x14ac:dyDescent="0.3"/>
  <cols>
    <col min="1" max="1" width="11.33203125" bestFit="1" customWidth="1"/>
    <col min="2" max="2" width="23.33203125" bestFit="1" customWidth="1"/>
  </cols>
  <sheetData>
    <row r="3" spans="1:2" x14ac:dyDescent="0.3">
      <c r="A3" s="9" t="s">
        <v>1</v>
      </c>
      <c r="B3" t="s">
        <v>25</v>
      </c>
    </row>
    <row r="4" spans="1:2" x14ac:dyDescent="0.3">
      <c r="A4" t="s">
        <v>12</v>
      </c>
      <c r="B4">
        <v>1329930.8999999999</v>
      </c>
    </row>
    <row r="5" spans="1:2" x14ac:dyDescent="0.3">
      <c r="A5" t="s">
        <v>10</v>
      </c>
      <c r="B5">
        <v>1272898.5000000007</v>
      </c>
    </row>
    <row r="6" spans="1:2" x14ac:dyDescent="0.3">
      <c r="A6" t="s">
        <v>11</v>
      </c>
      <c r="B6">
        <v>1297344.9000000001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C131-F00F-47DA-A67B-89A512CF3FC0}">
  <dimension ref="A3:B6"/>
  <sheetViews>
    <sheetView workbookViewId="0">
      <selection activeCell="A3" sqref="A3"/>
    </sheetView>
  </sheetViews>
  <sheetFormatPr defaultRowHeight="14.4" x14ac:dyDescent="0.3"/>
  <cols>
    <col min="1" max="1" width="11.33203125" bestFit="1" customWidth="1"/>
    <col min="2" max="2" width="15.6640625" bestFit="1" customWidth="1"/>
  </cols>
  <sheetData>
    <row r="3" spans="1:2" x14ac:dyDescent="0.3">
      <c r="A3" s="9" t="s">
        <v>1</v>
      </c>
      <c r="B3" t="s">
        <v>23</v>
      </c>
    </row>
    <row r="4" spans="1:2" x14ac:dyDescent="0.3">
      <c r="A4" t="s">
        <v>12</v>
      </c>
      <c r="B4">
        <v>129285.79999999996</v>
      </c>
    </row>
    <row r="5" spans="1:2" x14ac:dyDescent="0.3">
      <c r="A5" t="s">
        <v>10</v>
      </c>
      <c r="B5">
        <v>306956.90000000031</v>
      </c>
    </row>
    <row r="6" spans="1:2" x14ac:dyDescent="0.3">
      <c r="A6" t="s">
        <v>11</v>
      </c>
      <c r="B6">
        <v>138696.49999999994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C0EDE4-560E-4E7F-A757-D202A55F66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energy_timestamp_sql</vt:lpstr>
      <vt:lpstr>energy_grid_portfolio_dataset</vt:lpstr>
      <vt:lpstr>region id vs fuel</vt:lpstr>
      <vt:lpstr>Dashboard prequisites</vt:lpstr>
      <vt:lpstr>hour graph</vt:lpstr>
      <vt:lpstr>backup by region</vt:lpstr>
      <vt:lpstr>solar by tregion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Sachin R</cp:lastModifiedBy>
  <dcterms:created xsi:type="dcterms:W3CDTF">2026-10-04T08:07:03Z</dcterms:created>
  <dcterms:modified xsi:type="dcterms:W3CDTF">2026-10-04T09:56:21Z</dcterms:modified>
</cp:coreProperties>
</file>